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rmanlong-my.sharepoint.com/personal/adminph_dormanlongeng_com/Documents/Desktop/SITE IMPREST1/IMPREST DL2601/"/>
    </mc:Choice>
  </mc:AlternateContent>
  <xr:revisionPtr revIDLastSave="44" documentId="8_{B4DF4903-24B6-4070-A322-E8FEF319E7CD}" xr6:coauthVersionLast="47" xr6:coauthVersionMax="47" xr10:uidLastSave="{AF3B5584-CEAB-4CD3-9C30-55943A07B0E7}"/>
  <bookViews>
    <workbookView xWindow="-120" yWindow="-120" windowWidth="20730" windowHeight="11160" xr2:uid="{414AD22D-490F-48E1-A9E7-7EAA78879048}"/>
  </bookViews>
  <sheets>
    <sheet name="DL260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6" i="1" l="1"/>
  <c r="E27" i="1"/>
  <c r="E28" i="1" s="1"/>
  <c r="E29" i="1" s="1"/>
  <c r="E24" i="1"/>
  <c r="E23" i="1"/>
  <c r="E22" i="1"/>
  <c r="E20" i="1"/>
  <c r="E21" i="1" s="1"/>
  <c r="D27" i="1"/>
  <c r="D23" i="1"/>
  <c r="D15" i="1" l="1"/>
  <c r="D7" i="1"/>
  <c r="D6" i="1"/>
  <c r="D5" i="1"/>
  <c r="E4" i="1"/>
  <c r="E5" i="1" l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5" i="1" s="1"/>
</calcChain>
</file>

<file path=xl/sharedStrings.xml><?xml version="1.0" encoding="utf-8"?>
<sst xmlns="http://schemas.openxmlformats.org/spreadsheetml/2006/main" count="111" uniqueCount="41">
  <si>
    <t xml:space="preserve">Date </t>
  </si>
  <si>
    <t>Description</t>
  </si>
  <si>
    <t>Amount withdrawn</t>
  </si>
  <si>
    <t>Amount Spent</t>
  </si>
  <si>
    <t>Balance</t>
  </si>
  <si>
    <t>Approved by</t>
  </si>
  <si>
    <t>Project Code</t>
  </si>
  <si>
    <t>Inflow</t>
  </si>
  <si>
    <t>IDRIS</t>
  </si>
  <si>
    <t>DL2601</t>
  </si>
  <si>
    <t>750,000.00 issued site imprest</t>
  </si>
  <si>
    <t>1 dozen combination gloves + 8 pairs mechanic gloves + Transportation</t>
  </si>
  <si>
    <t>PMS (8.67ltrs)</t>
  </si>
  <si>
    <t>2 pcs Hact face masks + 1 4pin 32Amh industrial plug + delivery</t>
  </si>
  <si>
    <t>Acommodation gen</t>
  </si>
  <si>
    <t>Delivery of welding materials to Phc</t>
  </si>
  <si>
    <t>Office use</t>
  </si>
  <si>
    <t>Office/Vehicle use</t>
  </si>
  <si>
    <t>32 Amps M/F socket 4pin + 63 Amps M/F socket 4pin + Transportation</t>
  </si>
  <si>
    <t>Offshore materials</t>
  </si>
  <si>
    <t>PMS (33.33ltrs)</t>
  </si>
  <si>
    <t>PMS (22.55ltrs)</t>
  </si>
  <si>
    <t>Jacksaw and Panel saw</t>
  </si>
  <si>
    <t>Burning Nozzle for plate cutting</t>
  </si>
  <si>
    <t>4 Nos 21x22 rachet spanner +3 nos safety tags</t>
  </si>
  <si>
    <t>PMS</t>
  </si>
  <si>
    <t>For corolla (To PHRC)</t>
  </si>
  <si>
    <t>Delivery of scaffold belts to Bristow</t>
  </si>
  <si>
    <t>Logistics to Bristow for offshore personnel clearance</t>
  </si>
  <si>
    <t>Taxi to deliver Clocking machine at Phc airport</t>
  </si>
  <si>
    <t>Taxi to pick up parcel from airport</t>
  </si>
  <si>
    <t>Laser level &amp; water hose</t>
  </si>
  <si>
    <t>Procurement of laser level and water hose</t>
  </si>
  <si>
    <t>Logistics to &amp; fro PHRC</t>
  </si>
  <si>
    <t>Transport to and fro refinery</t>
  </si>
  <si>
    <t>Prepaid meter recharge</t>
  </si>
  <si>
    <t>Acommodation(Emmanuel Okpe)</t>
  </si>
  <si>
    <t>1 pc of Dewall Laser Line + 40 meters of water level hose 10mm</t>
  </si>
  <si>
    <t>4pcs of 10m Measuring Tape + 1pc Hard saw + 1 pkt(100) 3mm Brass Chipping needle + Transport</t>
  </si>
  <si>
    <t>1 Roll of binding wire</t>
  </si>
  <si>
    <t>900,000 issued site imprest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</si>
</sst>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/mmm/yy;@"/>
    <numFmt numFmtId="165" formatCode="_-* #,##0.00\ [$₦-467]_-;\-* #,##0.00\ [$₦-467]_-;_-* &quot;-&quot;??\ [$₦-467]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2" xfId="0" applyBorder="1"/>
    <xf numFmtId="0" fontId="0" fillId="0" borderId="2" xfId="0" applyBorder="1" applyAlignment="1">
      <alignment horizontal="center"/>
    </xf>
    <xf numFmtId="43" fontId="0" fillId="0" borderId="2" xfId="1" applyFont="1" applyBorder="1" applyAlignment="1">
      <alignment horizontal="center"/>
    </xf>
    <xf numFmtId="0" fontId="0" fillId="0" borderId="3" xfId="0" applyBorder="1"/>
    <xf numFmtId="0" fontId="0" fillId="4" borderId="3" xfId="0" applyFill="1" applyBorder="1"/>
    <xf numFmtId="0" fontId="0" fillId="0" borderId="5" xfId="0" applyBorder="1"/>
    <xf numFmtId="0" fontId="0" fillId="0" borderId="6" xfId="0" applyBorder="1"/>
    <xf numFmtId="0" fontId="2" fillId="3" borderId="9" xfId="0" applyFont="1" applyFill="1" applyBorder="1" applyAlignment="1">
      <alignment vertical="center" wrapText="1"/>
    </xf>
    <xf numFmtId="0" fontId="2" fillId="3" borderId="9" xfId="0" applyFont="1" applyFill="1" applyBorder="1" applyAlignment="1">
      <alignment horizontal="center" vertical="center" wrapText="1"/>
    </xf>
    <xf numFmtId="43" fontId="2" fillId="3" borderId="9" xfId="1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/>
    </xf>
    <xf numFmtId="43" fontId="2" fillId="3" borderId="12" xfId="1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43" fontId="0" fillId="0" borderId="2" xfId="0" applyNumberFormat="1" applyBorder="1"/>
    <xf numFmtId="43" fontId="0" fillId="0" borderId="5" xfId="0" applyNumberFormat="1" applyBorder="1"/>
    <xf numFmtId="0" fontId="0" fillId="5" borderId="2" xfId="0" applyFill="1" applyBorder="1"/>
    <xf numFmtId="43" fontId="0" fillId="5" borderId="2" xfId="1" applyFont="1" applyFill="1" applyBorder="1" applyAlignment="1">
      <alignment horizontal="center"/>
    </xf>
    <xf numFmtId="43" fontId="0" fillId="5" borderId="2" xfId="0" applyNumberForma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/>
    <xf numFmtId="14" fontId="2" fillId="3" borderId="11" xfId="0" applyNumberFormat="1" applyFont="1" applyFill="1" applyBorder="1" applyAlignment="1">
      <alignment horizontal="left" vertical="center" wrapText="1"/>
    </xf>
    <xf numFmtId="14" fontId="2" fillId="3" borderId="8" xfId="0" applyNumberFormat="1" applyFont="1" applyFill="1" applyBorder="1" applyAlignment="1">
      <alignment horizontal="left" vertical="center" wrapText="1"/>
    </xf>
    <xf numFmtId="14" fontId="0" fillId="0" borderId="1" xfId="0" applyNumberFormat="1" applyBorder="1"/>
    <xf numFmtId="14" fontId="0" fillId="0" borderId="4" xfId="0" applyNumberFormat="1" applyBorder="1"/>
    <xf numFmtId="14" fontId="0" fillId="0" borderId="7" xfId="0" applyNumberFormat="1" applyBorder="1"/>
    <xf numFmtId="164" fontId="2" fillId="0" borderId="1" xfId="0" applyNumberFormat="1" applyFont="1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0" borderId="1" xfId="0" applyNumberFormat="1" applyBorder="1"/>
    <xf numFmtId="43" fontId="0" fillId="5" borderId="9" xfId="0" applyNumberFormat="1" applyFill="1" applyBorder="1" applyAlignment="1">
      <alignment horizontal="center" vertical="center"/>
    </xf>
    <xf numFmtId="165" fontId="0" fillId="5" borderId="2" xfId="2" applyNumberFormat="1" applyFont="1" applyFill="1" applyBorder="1"/>
    <xf numFmtId="165" fontId="0" fillId="0" borderId="2" xfId="2" applyNumberFormat="1" applyFont="1" applyFill="1" applyBorder="1"/>
    <xf numFmtId="43" fontId="0" fillId="0" borderId="9" xfId="0" applyNumberFormat="1" applyBorder="1" applyAlignment="1">
      <alignment horizontal="center" vertical="center"/>
    </xf>
    <xf numFmtId="43" fontId="0" fillId="0" borderId="14" xfId="0" applyNumberFormat="1" applyBorder="1" applyAlignment="1">
      <alignment horizontal="center" vertical="center"/>
    </xf>
    <xf numFmtId="43" fontId="0" fillId="0" borderId="15" xfId="0" applyNumberFormat="1" applyBorder="1" applyAlignment="1">
      <alignment horizontal="center" vertical="center"/>
    </xf>
    <xf numFmtId="43" fontId="0" fillId="0" borderId="9" xfId="0" applyNumberFormat="1" applyBorder="1" applyAlignment="1">
      <alignment horizontal="center" vertical="center"/>
    </xf>
    <xf numFmtId="0" fontId="0" fillId="0" borderId="0" xfId="0" applyAlignment="1">
      <alignment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8AFC2-8A11-44A6-847A-A807F8001166}">
  <dimension ref="A1:H54"/>
  <sheetViews>
    <sheetView tabSelected="1" workbookViewId="0">
      <selection activeCell="A4" sqref="A4"/>
    </sheetView>
  </sheetViews>
  <sheetFormatPr defaultRowHeight="15" x14ac:dyDescent="0.25"/>
  <cols>
    <col min="1" max="1" width="17.42578125" style="28" customWidth="1"/>
    <col min="2" max="2" width="64.140625" customWidth="1"/>
    <col min="3" max="3" width="13.5703125" bestFit="1" customWidth="1"/>
    <col min="4" max="4" width="16.5703125" customWidth="1"/>
    <col min="5" max="5" width="15.140625" customWidth="1"/>
    <col min="6" max="6" width="14.140625" customWidth="1"/>
    <col min="7" max="7" width="13" customWidth="1"/>
    <col min="8" max="8" width="47.28515625" customWidth="1"/>
  </cols>
  <sheetData>
    <row r="1" spans="1:8" ht="30.75" thickBot="1" x14ac:dyDescent="0.3">
      <c r="A1" s="24" t="s">
        <v>0</v>
      </c>
      <c r="B1" s="12" t="s">
        <v>1</v>
      </c>
      <c r="C1" s="13" t="s">
        <v>2</v>
      </c>
      <c r="D1" s="14" t="s">
        <v>3</v>
      </c>
      <c r="E1" s="15" t="s">
        <v>4</v>
      </c>
      <c r="F1" s="14" t="s">
        <v>5</v>
      </c>
      <c r="G1" s="14" t="s">
        <v>6</v>
      </c>
      <c r="H1" s="16"/>
    </row>
    <row r="2" spans="1:8" x14ac:dyDescent="0.25">
      <c r="A2" s="25"/>
      <c r="B2" s="8"/>
      <c r="C2" s="9"/>
      <c r="D2" s="9"/>
      <c r="E2" s="10"/>
      <c r="F2" s="9"/>
      <c r="G2" s="9"/>
      <c r="H2" s="11"/>
    </row>
    <row r="3" spans="1:8" x14ac:dyDescent="0.25">
      <c r="A3" s="29"/>
      <c r="B3" s="1"/>
      <c r="C3" s="2"/>
      <c r="D3" s="2"/>
      <c r="E3" s="3"/>
      <c r="F3" s="2"/>
      <c r="G3" s="2"/>
      <c r="H3" s="4"/>
    </row>
    <row r="4" spans="1:8" x14ac:dyDescent="0.25">
      <c r="A4" s="30">
        <v>46180</v>
      </c>
      <c r="B4" s="19" t="s">
        <v>7</v>
      </c>
      <c r="C4" s="20">
        <v>750000</v>
      </c>
      <c r="D4" s="21"/>
      <c r="E4" s="20">
        <f>E2+C4</f>
        <v>750000</v>
      </c>
      <c r="F4" s="22" t="s">
        <v>8</v>
      </c>
      <c r="G4" s="22" t="s">
        <v>9</v>
      </c>
      <c r="H4" s="23" t="s">
        <v>10</v>
      </c>
    </row>
    <row r="5" spans="1:8" x14ac:dyDescent="0.25">
      <c r="A5" s="30">
        <v>46227</v>
      </c>
      <c r="B5" s="1" t="s">
        <v>24</v>
      </c>
      <c r="C5" s="3"/>
      <c r="D5" s="3">
        <f>60000+6000</f>
        <v>66000</v>
      </c>
      <c r="E5" s="3">
        <f>E4-D5</f>
        <v>684000</v>
      </c>
      <c r="F5" s="2" t="s">
        <v>8</v>
      </c>
      <c r="G5" s="2" t="s">
        <v>9</v>
      </c>
      <c r="H5" s="4" t="s">
        <v>19</v>
      </c>
    </row>
    <row r="6" spans="1:8" x14ac:dyDescent="0.25">
      <c r="A6" s="30">
        <v>46199</v>
      </c>
      <c r="B6" s="1" t="s">
        <v>13</v>
      </c>
      <c r="C6" s="1"/>
      <c r="D6" s="17">
        <f>24000+20000+6000</f>
        <v>50000</v>
      </c>
      <c r="E6" s="3">
        <f t="shared" ref="E6:E14" si="0">E5-D6</f>
        <v>634000</v>
      </c>
      <c r="F6" s="2" t="s">
        <v>8</v>
      </c>
      <c r="G6" s="2" t="s">
        <v>9</v>
      </c>
      <c r="H6" s="4" t="s">
        <v>19</v>
      </c>
    </row>
    <row r="7" spans="1:8" x14ac:dyDescent="0.25">
      <c r="A7" s="30">
        <v>46212</v>
      </c>
      <c r="B7" s="1" t="s">
        <v>11</v>
      </c>
      <c r="C7" s="1"/>
      <c r="D7" s="17">
        <f>24000+64000+2000</f>
        <v>90000</v>
      </c>
      <c r="E7" s="3">
        <f t="shared" si="0"/>
        <v>544000</v>
      </c>
      <c r="F7" s="2" t="s">
        <v>8</v>
      </c>
      <c r="G7" s="2" t="s">
        <v>9</v>
      </c>
      <c r="H7" s="4" t="s">
        <v>19</v>
      </c>
    </row>
    <row r="8" spans="1:8" x14ac:dyDescent="0.25">
      <c r="A8" s="30">
        <v>46213</v>
      </c>
      <c r="B8" s="1" t="s">
        <v>12</v>
      </c>
      <c r="C8" s="1"/>
      <c r="D8" s="17">
        <v>10500</v>
      </c>
      <c r="E8" s="3">
        <f t="shared" si="0"/>
        <v>533500</v>
      </c>
      <c r="F8" s="2" t="s">
        <v>8</v>
      </c>
      <c r="G8" s="2" t="s">
        <v>9</v>
      </c>
      <c r="H8" s="4" t="s">
        <v>14</v>
      </c>
    </row>
    <row r="9" spans="1:8" x14ac:dyDescent="0.25">
      <c r="A9" s="30">
        <v>46216</v>
      </c>
      <c r="B9" s="1" t="s">
        <v>15</v>
      </c>
      <c r="C9" s="1"/>
      <c r="D9" s="17">
        <v>185000</v>
      </c>
      <c r="E9" s="3">
        <f t="shared" si="0"/>
        <v>348500</v>
      </c>
      <c r="F9" s="2" t="s">
        <v>8</v>
      </c>
      <c r="G9" s="2" t="s">
        <v>9</v>
      </c>
      <c r="H9" s="4" t="s">
        <v>19</v>
      </c>
    </row>
    <row r="10" spans="1:8" x14ac:dyDescent="0.25">
      <c r="A10" s="30">
        <v>46209</v>
      </c>
      <c r="B10" s="1" t="s">
        <v>21</v>
      </c>
      <c r="C10" s="1"/>
      <c r="D10" s="17">
        <v>30000</v>
      </c>
      <c r="E10" s="3">
        <f t="shared" si="0"/>
        <v>318500</v>
      </c>
      <c r="F10" s="2" t="s">
        <v>8</v>
      </c>
      <c r="G10" s="2" t="s">
        <v>9</v>
      </c>
      <c r="H10" s="5" t="s">
        <v>16</v>
      </c>
    </row>
    <row r="11" spans="1:8" x14ac:dyDescent="0.25">
      <c r="A11" s="30">
        <v>46218</v>
      </c>
      <c r="B11" s="1" t="s">
        <v>21</v>
      </c>
      <c r="C11" s="1"/>
      <c r="D11" s="17">
        <v>30000</v>
      </c>
      <c r="E11" s="3">
        <f t="shared" si="0"/>
        <v>288500</v>
      </c>
      <c r="F11" s="2" t="s">
        <v>8</v>
      </c>
      <c r="G11" s="2" t="s">
        <v>9</v>
      </c>
      <c r="H11" s="5" t="s">
        <v>16</v>
      </c>
    </row>
    <row r="12" spans="1:8" x14ac:dyDescent="0.25">
      <c r="A12" s="30">
        <v>46224</v>
      </c>
      <c r="B12" s="1" t="s">
        <v>20</v>
      </c>
      <c r="C12" s="1"/>
      <c r="D12" s="17">
        <v>40000</v>
      </c>
      <c r="E12" s="3">
        <f t="shared" si="0"/>
        <v>248500</v>
      </c>
      <c r="F12" s="2" t="s">
        <v>8</v>
      </c>
      <c r="G12" s="2" t="s">
        <v>9</v>
      </c>
      <c r="H12" s="4" t="s">
        <v>17</v>
      </c>
    </row>
    <row r="13" spans="1:8" x14ac:dyDescent="0.25">
      <c r="A13" s="30">
        <v>46224</v>
      </c>
      <c r="B13" s="1" t="s">
        <v>22</v>
      </c>
      <c r="C13" s="1"/>
      <c r="D13" s="17">
        <v>24000</v>
      </c>
      <c r="E13" s="3">
        <f t="shared" si="0"/>
        <v>224500</v>
      </c>
      <c r="F13" s="2" t="s">
        <v>8</v>
      </c>
      <c r="G13" s="2" t="s">
        <v>9</v>
      </c>
      <c r="H13" s="4" t="s">
        <v>19</v>
      </c>
    </row>
    <row r="14" spans="1:8" x14ac:dyDescent="0.25">
      <c r="A14" s="30">
        <v>46224</v>
      </c>
      <c r="B14" s="1" t="s">
        <v>23</v>
      </c>
      <c r="C14" s="1"/>
      <c r="D14" s="17">
        <v>138000</v>
      </c>
      <c r="E14" s="3">
        <f t="shared" si="0"/>
        <v>86500</v>
      </c>
      <c r="F14" s="2" t="s">
        <v>8</v>
      </c>
      <c r="G14" s="2" t="s">
        <v>9</v>
      </c>
      <c r="H14" s="4" t="s">
        <v>19</v>
      </c>
    </row>
    <row r="15" spans="1:8" x14ac:dyDescent="0.25">
      <c r="A15" s="30">
        <v>46226</v>
      </c>
      <c r="B15" s="1" t="s">
        <v>18</v>
      </c>
      <c r="C15" s="1"/>
      <c r="D15" s="17">
        <f>80000+95000+3000</f>
        <v>178000</v>
      </c>
      <c r="E15" s="3">
        <f>E14-D15</f>
        <v>-91500</v>
      </c>
      <c r="F15" s="2" t="s">
        <v>8</v>
      </c>
      <c r="G15" s="2" t="s">
        <v>9</v>
      </c>
      <c r="H15" s="4" t="s">
        <v>19</v>
      </c>
    </row>
    <row r="16" spans="1:8" x14ac:dyDescent="0.25">
      <c r="A16" s="30">
        <v>46248</v>
      </c>
      <c r="B16" s="1" t="s">
        <v>28</v>
      </c>
      <c r="C16" s="1"/>
      <c r="D16" s="36">
        <v>15000</v>
      </c>
      <c r="E16" s="3">
        <f t="shared" ref="E16:E23" si="1">E15-D16</f>
        <v>-106500</v>
      </c>
      <c r="F16" s="2" t="s">
        <v>8</v>
      </c>
      <c r="G16" s="2" t="s">
        <v>9</v>
      </c>
      <c r="H16" s="4" t="s">
        <v>28</v>
      </c>
    </row>
    <row r="17" spans="1:8" x14ac:dyDescent="0.25">
      <c r="A17" s="30">
        <v>46249</v>
      </c>
      <c r="B17" s="1" t="s">
        <v>28</v>
      </c>
      <c r="C17" s="1"/>
      <c r="D17" s="37"/>
      <c r="E17" s="3">
        <f t="shared" si="1"/>
        <v>-106500</v>
      </c>
      <c r="F17" s="2" t="s">
        <v>8</v>
      </c>
      <c r="G17" s="2" t="s">
        <v>9</v>
      </c>
      <c r="H17" s="4" t="s">
        <v>28</v>
      </c>
    </row>
    <row r="18" spans="1:8" x14ac:dyDescent="0.25">
      <c r="A18" s="30">
        <v>46251</v>
      </c>
      <c r="B18" s="1" t="s">
        <v>28</v>
      </c>
      <c r="C18" s="1"/>
      <c r="D18" s="38"/>
      <c r="E18" s="3">
        <f t="shared" si="1"/>
        <v>-106500</v>
      </c>
      <c r="F18" s="2" t="s">
        <v>8</v>
      </c>
      <c r="G18" s="2" t="s">
        <v>9</v>
      </c>
      <c r="H18" s="4" t="s">
        <v>28</v>
      </c>
    </row>
    <row r="19" spans="1:8" x14ac:dyDescent="0.25">
      <c r="A19" s="30">
        <v>46255</v>
      </c>
      <c r="B19" s="1" t="s">
        <v>25</v>
      </c>
      <c r="C19" s="1"/>
      <c r="D19" s="17">
        <v>15000</v>
      </c>
      <c r="E19" s="3">
        <f t="shared" si="1"/>
        <v>-121500</v>
      </c>
      <c r="F19" s="2" t="s">
        <v>8</v>
      </c>
      <c r="G19" s="2" t="s">
        <v>9</v>
      </c>
      <c r="H19" s="4" t="s">
        <v>26</v>
      </c>
    </row>
    <row r="20" spans="1:8" x14ac:dyDescent="0.25">
      <c r="A20" s="30">
        <v>46259</v>
      </c>
      <c r="B20" s="1" t="s">
        <v>30</v>
      </c>
      <c r="C20" s="1"/>
      <c r="D20" s="36">
        <v>35000</v>
      </c>
      <c r="E20" s="3">
        <f t="shared" si="1"/>
        <v>-156500</v>
      </c>
      <c r="F20" s="2" t="s">
        <v>8</v>
      </c>
      <c r="G20" s="2" t="s">
        <v>9</v>
      </c>
      <c r="H20" s="4" t="s">
        <v>30</v>
      </c>
    </row>
    <row r="21" spans="1:8" x14ac:dyDescent="0.25">
      <c r="A21" s="30">
        <v>46260</v>
      </c>
      <c r="B21" s="1" t="s">
        <v>27</v>
      </c>
      <c r="C21" s="1"/>
      <c r="D21" s="37"/>
      <c r="E21" s="3">
        <f t="shared" si="1"/>
        <v>-156500</v>
      </c>
      <c r="F21" s="2" t="s">
        <v>8</v>
      </c>
      <c r="G21" s="2" t="s">
        <v>9</v>
      </c>
      <c r="H21" s="4" t="s">
        <v>27</v>
      </c>
    </row>
    <row r="22" spans="1:8" x14ac:dyDescent="0.25">
      <c r="A22" s="30">
        <v>46261</v>
      </c>
      <c r="B22" s="1" t="s">
        <v>29</v>
      </c>
      <c r="C22" s="1"/>
      <c r="D22" s="38"/>
      <c r="E22" s="3">
        <f t="shared" si="1"/>
        <v>-156500</v>
      </c>
      <c r="F22" s="2" t="s">
        <v>8</v>
      </c>
      <c r="G22" s="2" t="s">
        <v>9</v>
      </c>
      <c r="H22" s="4" t="s">
        <v>29</v>
      </c>
    </row>
    <row r="23" spans="1:8" x14ac:dyDescent="0.25">
      <c r="A23" s="30">
        <v>46277</v>
      </c>
      <c r="B23" s="1" t="s">
        <v>37</v>
      </c>
      <c r="C23" s="1"/>
      <c r="D23" s="35">
        <f>220000+80000</f>
        <v>300000</v>
      </c>
      <c r="E23" s="3">
        <f t="shared" si="1"/>
        <v>-456500</v>
      </c>
      <c r="F23" s="2" t="s">
        <v>8</v>
      </c>
      <c r="G23" s="2" t="s">
        <v>9</v>
      </c>
      <c r="H23" s="4" t="s">
        <v>19</v>
      </c>
    </row>
    <row r="24" spans="1:8" x14ac:dyDescent="0.25">
      <c r="A24" s="30">
        <v>46282</v>
      </c>
      <c r="B24" s="19" t="s">
        <v>7</v>
      </c>
      <c r="C24" s="33">
        <v>900000</v>
      </c>
      <c r="D24" s="32"/>
      <c r="E24" s="33">
        <f>E23+C24</f>
        <v>443500</v>
      </c>
      <c r="F24" s="22" t="s">
        <v>8</v>
      </c>
      <c r="G24" s="22" t="s">
        <v>9</v>
      </c>
      <c r="H24" s="23" t="s">
        <v>40</v>
      </c>
    </row>
    <row r="25" spans="1:8" x14ac:dyDescent="0.25">
      <c r="A25" s="30">
        <v>46277</v>
      </c>
      <c r="B25" s="1" t="s">
        <v>31</v>
      </c>
      <c r="C25" s="1"/>
      <c r="D25" s="17">
        <v>7000</v>
      </c>
      <c r="E25" s="34">
        <f>E24-D25</f>
        <v>436500</v>
      </c>
      <c r="F25" s="2" t="s">
        <v>8</v>
      </c>
      <c r="G25" s="2" t="s">
        <v>9</v>
      </c>
      <c r="H25" s="4" t="s">
        <v>32</v>
      </c>
    </row>
    <row r="26" spans="1:8" x14ac:dyDescent="0.25">
      <c r="A26" s="30">
        <v>46287</v>
      </c>
      <c r="B26" s="1" t="s">
        <v>33</v>
      </c>
      <c r="C26" s="1"/>
      <c r="D26" s="17">
        <v>7000</v>
      </c>
      <c r="E26" s="34">
        <f t="shared" ref="E26:E29" si="2">E25-D26</f>
        <v>429500</v>
      </c>
      <c r="F26" s="2" t="s">
        <v>8</v>
      </c>
      <c r="G26" s="2" t="s">
        <v>9</v>
      </c>
      <c r="H26" s="4" t="s">
        <v>34</v>
      </c>
    </row>
    <row r="27" spans="1:8" ht="30" x14ac:dyDescent="0.25">
      <c r="A27" s="30">
        <v>46289</v>
      </c>
      <c r="B27" s="39" t="s">
        <v>38</v>
      </c>
      <c r="C27" s="1"/>
      <c r="D27" s="17">
        <f>20000+14500+350000+5500</f>
        <v>390000</v>
      </c>
      <c r="E27" s="34">
        <f t="shared" si="2"/>
        <v>39500</v>
      </c>
      <c r="F27" s="2" t="s">
        <v>8</v>
      </c>
      <c r="G27" s="2" t="s">
        <v>9</v>
      </c>
      <c r="H27" s="4" t="s">
        <v>19</v>
      </c>
    </row>
    <row r="28" spans="1:8" x14ac:dyDescent="0.25">
      <c r="A28" s="30">
        <v>46295</v>
      </c>
      <c r="B28" t="s">
        <v>39</v>
      </c>
      <c r="C28" s="1"/>
      <c r="D28" s="17">
        <v>34500</v>
      </c>
      <c r="E28" s="34">
        <f t="shared" si="2"/>
        <v>5000</v>
      </c>
      <c r="F28" s="2" t="s">
        <v>8</v>
      </c>
      <c r="G28" s="2" t="s">
        <v>9</v>
      </c>
      <c r="H28" s="4" t="s">
        <v>19</v>
      </c>
    </row>
    <row r="29" spans="1:8" x14ac:dyDescent="0.25">
      <c r="A29" s="30">
        <v>46302</v>
      </c>
      <c r="B29" s="1" t="s">
        <v>35</v>
      </c>
      <c r="C29" s="1"/>
      <c r="D29" s="17">
        <v>3000</v>
      </c>
      <c r="E29" s="34">
        <f t="shared" si="2"/>
        <v>2000</v>
      </c>
      <c r="F29" s="2" t="s">
        <v>8</v>
      </c>
      <c r="G29" s="2" t="s">
        <v>9</v>
      </c>
      <c r="H29" s="4" t="s">
        <v>36</v>
      </c>
    </row>
    <row r="30" spans="1:8" x14ac:dyDescent="0.25">
      <c r="A30" s="31"/>
      <c r="B30" s="1"/>
      <c r="C30" s="1"/>
      <c r="D30" s="17"/>
      <c r="E30" s="1"/>
      <c r="F30" s="1"/>
      <c r="G30" s="2"/>
      <c r="H30" s="4"/>
    </row>
    <row r="31" spans="1:8" x14ac:dyDescent="0.25">
      <c r="A31" s="31"/>
      <c r="B31" s="1"/>
      <c r="C31" s="1"/>
      <c r="D31" s="17"/>
      <c r="E31" s="1"/>
      <c r="F31" s="1"/>
      <c r="G31" s="2"/>
      <c r="H31" s="4"/>
    </row>
    <row r="32" spans="1:8" x14ac:dyDescent="0.25">
      <c r="A32" s="31"/>
      <c r="B32" s="1"/>
      <c r="C32" s="1"/>
      <c r="D32" s="17"/>
      <c r="E32" s="1"/>
      <c r="F32" s="1"/>
      <c r="G32" s="2"/>
      <c r="H32" s="4"/>
    </row>
    <row r="33" spans="1:8" x14ac:dyDescent="0.25">
      <c r="A33" s="31"/>
      <c r="B33" s="1"/>
      <c r="C33" s="1"/>
      <c r="D33" s="17"/>
      <c r="E33" s="1"/>
      <c r="F33" s="1"/>
      <c r="G33" s="2"/>
      <c r="H33" s="4"/>
    </row>
    <row r="34" spans="1:8" x14ac:dyDescent="0.25">
      <c r="A34" s="31"/>
      <c r="B34" s="1"/>
      <c r="C34" s="1"/>
      <c r="D34" s="17"/>
      <c r="E34" s="1"/>
      <c r="F34" s="1"/>
      <c r="G34" s="2"/>
      <c r="H34" s="4"/>
    </row>
    <row r="35" spans="1:8" x14ac:dyDescent="0.25">
      <c r="A35" s="31"/>
      <c r="B35" s="1"/>
      <c r="C35" s="1"/>
      <c r="D35" s="17"/>
      <c r="E35" s="1"/>
      <c r="F35" s="1"/>
      <c r="G35" s="2"/>
      <c r="H35" s="4"/>
    </row>
    <row r="36" spans="1:8" x14ac:dyDescent="0.25">
      <c r="A36" s="31"/>
      <c r="B36" s="1"/>
      <c r="C36" s="1"/>
      <c r="D36" s="17"/>
      <c r="E36" s="1"/>
      <c r="F36" s="1"/>
      <c r="G36" s="2"/>
      <c r="H36" s="4"/>
    </row>
    <row r="37" spans="1:8" x14ac:dyDescent="0.25">
      <c r="A37" s="31"/>
      <c r="B37" s="1"/>
      <c r="C37" s="1"/>
      <c r="D37" s="17"/>
      <c r="E37" s="1"/>
      <c r="F37" s="1"/>
      <c r="G37" s="2"/>
      <c r="H37" s="4"/>
    </row>
    <row r="38" spans="1:8" x14ac:dyDescent="0.25">
      <c r="A38" s="31"/>
      <c r="B38" s="1"/>
      <c r="C38" s="1"/>
      <c r="D38" s="17"/>
      <c r="E38" s="1"/>
      <c r="F38" s="1"/>
      <c r="G38" s="2"/>
      <c r="H38" s="4"/>
    </row>
    <row r="39" spans="1:8" x14ac:dyDescent="0.25">
      <c r="A39" s="31"/>
      <c r="B39" s="1"/>
      <c r="C39" s="1"/>
      <c r="D39" s="17"/>
      <c r="E39" s="1"/>
      <c r="F39" s="1"/>
      <c r="G39" s="2"/>
      <c r="H39" s="4"/>
    </row>
    <row r="40" spans="1:8" x14ac:dyDescent="0.25">
      <c r="A40" s="31"/>
      <c r="B40" s="1"/>
      <c r="C40" s="1"/>
      <c r="D40" s="17"/>
      <c r="E40" s="1"/>
      <c r="F40" s="1"/>
      <c r="G40" s="2"/>
      <c r="H40" s="4"/>
    </row>
    <row r="41" spans="1:8" x14ac:dyDescent="0.25">
      <c r="A41" s="31"/>
      <c r="B41" s="1"/>
      <c r="C41" s="1"/>
      <c r="D41" s="17"/>
      <c r="E41" s="1"/>
      <c r="F41" s="1"/>
      <c r="G41" s="2"/>
      <c r="H41" s="4"/>
    </row>
    <row r="42" spans="1:8" x14ac:dyDescent="0.25">
      <c r="A42" s="31"/>
      <c r="B42" s="1"/>
      <c r="C42" s="1"/>
      <c r="D42" s="17"/>
      <c r="E42" s="1"/>
      <c r="F42" s="1"/>
      <c r="G42" s="2"/>
      <c r="H42" s="4"/>
    </row>
    <row r="43" spans="1:8" x14ac:dyDescent="0.25">
      <c r="A43" s="31"/>
      <c r="B43" s="1"/>
      <c r="C43" s="1"/>
      <c r="D43" s="17"/>
      <c r="E43" s="1"/>
      <c r="F43" s="1"/>
      <c r="G43" s="2"/>
      <c r="H43" s="4"/>
    </row>
    <row r="44" spans="1:8" x14ac:dyDescent="0.25">
      <c r="A44" s="31"/>
      <c r="B44" s="1"/>
      <c r="C44" s="1"/>
      <c r="D44" s="17"/>
      <c r="E44" s="1"/>
      <c r="F44" s="1"/>
      <c r="G44" s="2"/>
      <c r="H44" s="4"/>
    </row>
    <row r="45" spans="1:8" x14ac:dyDescent="0.25">
      <c r="A45" s="31"/>
      <c r="B45" s="1"/>
      <c r="C45" s="1"/>
      <c r="D45" s="17"/>
      <c r="E45" s="1"/>
      <c r="F45" s="1"/>
      <c r="G45" s="2"/>
      <c r="H45" s="4"/>
    </row>
    <row r="46" spans="1:8" x14ac:dyDescent="0.25">
      <c r="A46" s="31"/>
      <c r="B46" s="1"/>
      <c r="C46" s="1"/>
      <c r="D46" s="17"/>
      <c r="E46" s="1"/>
      <c r="F46" s="1"/>
      <c r="G46" s="1"/>
      <c r="H46" s="4"/>
    </row>
    <row r="47" spans="1:8" x14ac:dyDescent="0.25">
      <c r="A47" s="31"/>
      <c r="B47" s="1"/>
      <c r="C47" s="1"/>
      <c r="D47" s="17"/>
      <c r="E47" s="1"/>
      <c r="F47" s="1"/>
      <c r="G47" s="1"/>
      <c r="H47" s="4"/>
    </row>
    <row r="48" spans="1:8" x14ac:dyDescent="0.25">
      <c r="A48" s="31"/>
      <c r="B48" s="1"/>
      <c r="C48" s="1"/>
      <c r="D48" s="17"/>
      <c r="E48" s="1"/>
      <c r="F48" s="1"/>
      <c r="G48" s="1"/>
      <c r="H48" s="4"/>
    </row>
    <row r="49" spans="1:8" x14ac:dyDescent="0.25">
      <c r="A49" s="31"/>
      <c r="B49" s="1"/>
      <c r="C49" s="1"/>
      <c r="D49" s="17"/>
      <c r="E49" s="1"/>
      <c r="F49" s="1"/>
      <c r="G49" s="1"/>
      <c r="H49" s="4"/>
    </row>
    <row r="50" spans="1:8" x14ac:dyDescent="0.25">
      <c r="A50" s="26"/>
      <c r="B50" s="1"/>
      <c r="C50" s="1"/>
      <c r="D50" s="17"/>
      <c r="E50" s="1"/>
      <c r="F50" s="1"/>
      <c r="G50" s="1"/>
      <c r="H50" s="4"/>
    </row>
    <row r="51" spans="1:8" x14ac:dyDescent="0.25">
      <c r="A51" s="26"/>
      <c r="B51" s="1"/>
      <c r="C51" s="1"/>
      <c r="D51" s="17"/>
      <c r="E51" s="1"/>
      <c r="F51" s="1"/>
      <c r="G51" s="1"/>
      <c r="H51" s="4"/>
    </row>
    <row r="52" spans="1:8" x14ac:dyDescent="0.25">
      <c r="A52" s="26"/>
      <c r="B52" s="1"/>
      <c r="C52" s="1"/>
      <c r="D52" s="17"/>
      <c r="E52" s="1"/>
      <c r="F52" s="1"/>
      <c r="G52" s="1"/>
      <c r="H52" s="4"/>
    </row>
    <row r="53" spans="1:8" x14ac:dyDescent="0.25">
      <c r="A53" s="26"/>
      <c r="B53" s="1"/>
      <c r="C53" s="1"/>
      <c r="D53" s="17"/>
      <c r="E53" s="1"/>
      <c r="F53" s="1"/>
      <c r="G53" s="1"/>
      <c r="H53" s="4"/>
    </row>
    <row r="54" spans="1:8" ht="15.75" thickBot="1" x14ac:dyDescent="0.3">
      <c r="A54" s="27"/>
      <c r="B54" s="6"/>
      <c r="C54" s="6"/>
      <c r="D54" s="18"/>
      <c r="E54" s="6"/>
      <c r="F54" s="6"/>
      <c r="G54" s="6"/>
      <c r="H54" s="7"/>
    </row>
  </sheetData>
  <mergeCells count="2">
    <mergeCell ref="D20:D22"/>
    <mergeCell ref="D16:D18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DL2601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PHC</dc:creator>
  <cp:lastModifiedBy>Admin PHC</cp:lastModifiedBy>
  <dcterms:created xsi:type="dcterms:W3CDTF">2026-07-17T10:37:06Z</dcterms:created>
  <dcterms:modified xsi:type="dcterms:W3CDTF">2026-10-10T13:50:01Z</dcterms:modified>
</cp:coreProperties>
</file>