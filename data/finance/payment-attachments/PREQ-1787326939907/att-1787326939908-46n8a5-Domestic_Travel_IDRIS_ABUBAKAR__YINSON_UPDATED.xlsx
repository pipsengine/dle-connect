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YINSON/"/>
    </mc:Choice>
  </mc:AlternateContent>
  <xr:revisionPtr revIDLastSave="280" documentId="8_{13F6935F-CF53-459D-9B6F-A3BC14E52B4F}" xr6:coauthVersionLast="47" xr6:coauthVersionMax="47" xr10:uidLastSave="{C6AE4590-4423-4F0A-9F74-5C27254E161D}"/>
  <bookViews>
    <workbookView xWindow="19090" yWindow="-110" windowWidth="19420" windowHeight="10300" firstSheet="1" activeTab="1" xr2:uid="{9DCBAF53-D269-4DBA-8842-4A9D0E601B3A}"/>
  </bookViews>
  <sheets>
    <sheet name="Sheet1" sheetId="1" state="hidden" r:id="rId1"/>
    <sheet name="Domestic Travel allowance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B17" i="1"/>
  <c r="B7" i="1"/>
  <c r="H3" i="2" l="1"/>
</calcChain>
</file>

<file path=xl/sharedStrings.xml><?xml version="1.0" encoding="utf-8"?>
<sst xmlns="http://schemas.openxmlformats.org/spreadsheetml/2006/main" count="27" uniqueCount="18">
  <si>
    <t>Airport Taxi (one-off)</t>
  </si>
  <si>
    <t>Hotel Rates (per nights)</t>
  </si>
  <si>
    <t>Meal Allowance ( per day)</t>
  </si>
  <si>
    <t>Local Taxi (per day)</t>
  </si>
  <si>
    <t>Out of station (per day)</t>
  </si>
  <si>
    <t>Total</t>
  </si>
  <si>
    <t>SENIOR STAFF</t>
  </si>
  <si>
    <t>MANAGEMENT STAFF</t>
  </si>
  <si>
    <t>N</t>
  </si>
  <si>
    <t>Job Level</t>
  </si>
  <si>
    <t>Employee Name</t>
  </si>
  <si>
    <t>S/N</t>
  </si>
  <si>
    <t>Idris Abubakar</t>
  </si>
  <si>
    <t>Management</t>
  </si>
  <si>
    <t>Meal allowance</t>
  </si>
  <si>
    <t>No of days</t>
  </si>
  <si>
    <t>Outstation</t>
  </si>
  <si>
    <t>No of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</si>
</sst>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6BC3A-FF97-49F6-BFBF-4D98E108358F}" name="Table1" displayName="Table1" ref="A1:H3" totalsRowCount="1" headerRowDxfId="8" tableBorderDxfId="7">
  <autoFilter ref="A1:H2" xr:uid="{53B6BC3A-FF97-49F6-BFBF-4D98E108358F}"/>
  <tableColumns count="8">
    <tableColumn id="1" xr3:uid="{F74E8937-880F-4A49-89FA-CF684D1C6061}" name="S/N" totalsRowLabel="Total" dataDxfId="6" totalsRowDxfId="5"/>
    <tableColumn id="2" xr3:uid="{7AFBE167-06C3-4D83-A6FB-B8C8B8177F21}" name="Employee Name" dataDxfId="4" totalsRowDxfId="3"/>
    <tableColumn id="3" xr3:uid="{2EE149A7-B077-4957-9864-039BD2CCFA70}" name="Job Level"/>
    <tableColumn id="4" xr3:uid="{6214460D-B1C2-486C-92A2-EC330C05B355}" name="Meal allowance">
      <calculatedColumnFormula>SUM(D1:D1)</calculatedColumnFormula>
    </tableColumn>
    <tableColumn id="5" xr3:uid="{1E58260C-DDEA-430D-BB3B-17A62EB58A97}" name="Outstation" dataDxfId="2"/>
    <tableColumn id="7" xr3:uid="{E7B74A9D-9BCC-448B-A714-43229DE0A260}" name="No of days"/>
    <tableColumn id="8" xr3:uid="{72A23FA1-E3FE-450B-8A57-36573E708E24}" name="No of nights"/>
    <tableColumn id="6" xr3:uid="{DE0DC44E-C21D-45F2-B086-9E9D57D8F8D1}" name="Total" totalsRowFunction="sum" dataDxfId="1" totalsRowDxfId="0">
      <calculatedColumnFormula>SUM(Table1[[#This Row],[Meal allowance]]*Table1[[#This Row],[No of days]],Table1[[#This Row],[Outstation]]*Table1[[#This Row],[No of nights]])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A063-3D27-4278-9F54-7AC1CC6DCDE0}">
  <dimension ref="A1:B17"/>
  <sheetViews>
    <sheetView workbookViewId="0">
      <selection activeCell="B4" sqref="B4"/>
    </sheetView>
  </sheetViews>
  <sheetFormatPr defaultRowHeight="14.4" x14ac:dyDescent="0.3"/>
  <cols>
    <col min="1" max="1" width="24.77734375" customWidth="1"/>
    <col min="2" max="2" width="8.44140625" bestFit="1" customWidth="1"/>
  </cols>
  <sheetData>
    <row r="1" spans="1:2" x14ac:dyDescent="0.3">
      <c r="A1" s="3" t="s">
        <v>6</v>
      </c>
      <c r="B1" s="1" t="s">
        <v>8</v>
      </c>
    </row>
    <row r="2" spans="1:2" x14ac:dyDescent="0.3">
      <c r="A2" s="1" t="s">
        <v>0</v>
      </c>
      <c r="B2" s="2">
        <v>80000</v>
      </c>
    </row>
    <row r="3" spans="1:2" x14ac:dyDescent="0.3">
      <c r="A3" s="1" t="s">
        <v>1</v>
      </c>
      <c r="B3" s="2">
        <v>45000</v>
      </c>
    </row>
    <row r="4" spans="1:2" x14ac:dyDescent="0.3">
      <c r="A4" s="1" t="s">
        <v>2</v>
      </c>
      <c r="B4" s="2">
        <v>15000</v>
      </c>
    </row>
    <row r="5" spans="1:2" x14ac:dyDescent="0.3">
      <c r="A5" s="1" t="s">
        <v>3</v>
      </c>
      <c r="B5" s="2">
        <v>10000</v>
      </c>
    </row>
    <row r="6" spans="1:2" x14ac:dyDescent="0.3">
      <c r="A6" s="1" t="s">
        <v>4</v>
      </c>
      <c r="B6" s="2">
        <v>10000</v>
      </c>
    </row>
    <row r="7" spans="1:2" x14ac:dyDescent="0.3">
      <c r="A7" s="1" t="s">
        <v>5</v>
      </c>
      <c r="B7" s="2">
        <f>SUM(B2:B6)</f>
        <v>160000</v>
      </c>
    </row>
    <row r="11" spans="1:2" x14ac:dyDescent="0.3">
      <c r="A11" s="3" t="s">
        <v>7</v>
      </c>
      <c r="B11" s="1" t="s">
        <v>8</v>
      </c>
    </row>
    <row r="12" spans="1:2" x14ac:dyDescent="0.3">
      <c r="A12" s="1" t="s">
        <v>0</v>
      </c>
      <c r="B12" s="1">
        <v>80000</v>
      </c>
    </row>
    <row r="13" spans="1:2" x14ac:dyDescent="0.3">
      <c r="A13" s="1" t="s">
        <v>1</v>
      </c>
      <c r="B13" s="2">
        <v>60000</v>
      </c>
    </row>
    <row r="14" spans="1:2" x14ac:dyDescent="0.3">
      <c r="A14" s="1" t="s">
        <v>2</v>
      </c>
      <c r="B14" s="2">
        <v>30000</v>
      </c>
    </row>
    <row r="15" spans="1:2" x14ac:dyDescent="0.3">
      <c r="A15" s="1" t="s">
        <v>3</v>
      </c>
      <c r="B15" s="1">
        <v>10000</v>
      </c>
    </row>
    <row r="16" spans="1:2" x14ac:dyDescent="0.3">
      <c r="A16" s="1" t="s">
        <v>4</v>
      </c>
      <c r="B16" s="2">
        <v>15000</v>
      </c>
    </row>
    <row r="17" spans="1:2" x14ac:dyDescent="0.3">
      <c r="A17" s="1" t="s">
        <v>5</v>
      </c>
      <c r="B17" s="1">
        <f>SUM(B12:B16)</f>
        <v>195000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7FB6-CACD-47AA-9840-F0BAE0D6F5E3}">
  <sheetPr>
    <pageSetUpPr fitToPage="1"/>
  </sheetPr>
  <dimension ref="A1:H12"/>
  <sheetViews>
    <sheetView tabSelected="1" workbookViewId="0">
      <selection activeCell="D6" sqref="D6"/>
    </sheetView>
  </sheetViews>
  <sheetFormatPr defaultRowHeight="14.4" x14ac:dyDescent="0.3"/>
  <cols>
    <col min="1" max="1" width="5.88671875" customWidth="1"/>
    <col min="2" max="2" width="16.6640625" customWidth="1"/>
    <col min="3" max="3" width="18.21875" customWidth="1"/>
    <col min="4" max="4" width="16.21875" customWidth="1"/>
    <col min="5" max="7" width="14" customWidth="1"/>
    <col min="8" max="8" width="11" customWidth="1"/>
  </cols>
  <sheetData>
    <row r="1" spans="1:8" s="4" customFormat="1" x14ac:dyDescent="0.3">
      <c r="A1" s="8" t="s">
        <v>11</v>
      </c>
      <c r="B1" s="3" t="s">
        <v>10</v>
      </c>
      <c r="C1" s="3" t="s">
        <v>9</v>
      </c>
      <c r="D1" s="7" t="s">
        <v>14</v>
      </c>
      <c r="E1" s="4" t="s">
        <v>16</v>
      </c>
      <c r="F1" s="4" t="s">
        <v>15</v>
      </c>
      <c r="G1" s="4" t="s">
        <v>17</v>
      </c>
      <c r="H1" s="12" t="s">
        <v>5</v>
      </c>
    </row>
    <row r="2" spans="1:8" x14ac:dyDescent="0.3">
      <c r="A2" s="9">
        <v>1</v>
      </c>
      <c r="B2" s="1" t="s">
        <v>12</v>
      </c>
      <c r="C2" s="1" t="s">
        <v>13</v>
      </c>
      <c r="D2" s="2">
        <v>40000</v>
      </c>
      <c r="E2" s="13">
        <v>20000</v>
      </c>
      <c r="F2">
        <v>10</v>
      </c>
      <c r="G2">
        <v>10</v>
      </c>
      <c r="H2" s="13">
        <f>SUM(Table1[[#This Row],[Meal allowance]]*Table1[[#This Row],[No of days]],Table1[[#This Row],[Outstation]]*Table1[[#This Row],[No of nights]])</f>
        <v>600000</v>
      </c>
    </row>
    <row r="3" spans="1:8" x14ac:dyDescent="0.3">
      <c r="A3" s="10" t="s">
        <v>5</v>
      </c>
      <c r="B3" s="11"/>
      <c r="H3" s="13">
        <f>SUBTOTAL(109,Table1[Total])</f>
        <v>600000</v>
      </c>
    </row>
    <row r="6" spans="1:8" x14ac:dyDescent="0.3">
      <c r="C6" s="5"/>
      <c r="D6" s="5"/>
    </row>
    <row r="7" spans="1:8" x14ac:dyDescent="0.3">
      <c r="C7" s="5"/>
    </row>
    <row r="8" spans="1:8" x14ac:dyDescent="0.3">
      <c r="C8" s="5"/>
    </row>
    <row r="9" spans="1:8" x14ac:dyDescent="0.3">
      <c r="C9" s="5"/>
    </row>
    <row r="10" spans="1:8" x14ac:dyDescent="0.3">
      <c r="C10" s="5"/>
    </row>
    <row r="11" spans="1:8" x14ac:dyDescent="0.3">
      <c r="C11" s="5"/>
    </row>
    <row r="12" spans="1:8" x14ac:dyDescent="0.3">
      <c r="C12" s="6"/>
    </row>
  </sheetData>
  <pageMargins left="0.7" right="0.7" top="0.75" bottom="0.75" header="0.3" footer="0.3"/>
  <pageSetup paperSize="9" scale="79" orientation="portrait" r:id="rId1"/>
  <ignoredErrors>
    <ignoredError sqref="D2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Domestic Travel allowance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cp:lastPrinted>2026-07-20T08:15:54Z</cp:lastPrinted>
  <dcterms:created xsi:type="dcterms:W3CDTF">2025-07-08T07:50:55Z</dcterms:created>
  <dcterms:modified xsi:type="dcterms:W3CDTF">2026-08-10T14:18:22Z</dcterms:modified>
</cp:coreProperties>
</file>