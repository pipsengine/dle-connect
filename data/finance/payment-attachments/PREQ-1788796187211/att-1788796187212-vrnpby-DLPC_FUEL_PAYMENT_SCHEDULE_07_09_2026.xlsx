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ormanlong-my.sharepoint.com/personal/oreoluwamafo_dormanlongeng_com/Documents/Compensation and Benefits/"/>
    </mc:Choice>
  </mc:AlternateContent>
  <xr:revisionPtr revIDLastSave="0" documentId="8_{9C3D8641-3ACE-42F8-9B90-C7C9405F2C0D}" xr6:coauthVersionLast="47" xr6:coauthVersionMax="47" xr10:uidLastSave="{00000000-0000-0000-0000-000000000000}"/>
  <bookViews>
    <workbookView xWindow="28680" yWindow="-120" windowWidth="29040" windowHeight="15720" xr2:uid="{422E5FD5-CD93-4F0D-9322-5009F7C4A58E}"/>
  </bookViews>
  <sheets>
    <sheet name="AGEG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9" i="1" l="1"/>
  <c r="F9" i="1"/>
  <c r="E9" i="1"/>
  <c r="B9" i="1"/>
  <c r="G8" i="1"/>
  <c r="G7" i="1"/>
  <c r="G6" i="1"/>
  <c r="G9" i="1" l="1"/>
</calcChain>
</file>

<file path=xl/sharedStrings.xml><?xml version="1.0" encoding="utf-8"?>
<sst xmlns="http://schemas.openxmlformats.org/spreadsheetml/2006/main" count="27" uniqueCount="22">
  <si>
    <t>S/N</t>
  </si>
  <si>
    <t>VEHICLE</t>
  </si>
  <si>
    <t>DETAILS</t>
  </si>
  <si>
    <t>LOCATION</t>
  </si>
  <si>
    <t>FUEL AMOUNT</t>
  </si>
  <si>
    <t>OTHER EXP</t>
  </si>
  <si>
    <t>TOTAL</t>
  </si>
  <si>
    <t>ACCOUNT NO</t>
  </si>
  <si>
    <t>BANK</t>
  </si>
  <si>
    <t>NAME</t>
  </si>
  <si>
    <t>AGEGE</t>
  </si>
  <si>
    <t>Fidelity</t>
  </si>
  <si>
    <t>Ibrahim Kelani</t>
  </si>
  <si>
    <t>BDG 708 BM</t>
  </si>
  <si>
    <t>Cost of fueling</t>
  </si>
  <si>
    <t>UBA</t>
  </si>
  <si>
    <t>Uma Ukpai</t>
  </si>
  <si>
    <t>Total</t>
  </si>
  <si>
    <t>Fueling of car, weekend work @3,000</t>
  </si>
  <si>
    <t>JJJ 938 BG</t>
  </si>
  <si>
    <t>AGL 444 FJ</t>
  </si>
  <si>
    <t>DLPC FUEL PAYMENT SCHEDULE 07/09/2026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</si>
</sst>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373440" cy="477753"/>
    <xdr:pic>
      <xdr:nvPicPr>
        <xdr:cNvPr id="2" name="Picture 1">
          <a:extLst>
            <a:ext uri="{FF2B5EF4-FFF2-40B4-BE49-F238E27FC236}">
              <a16:creationId xmlns:a16="http://schemas.microsoft.com/office/drawing/2014/main" id="{0065E1DC-B4B0-4378-9D65-F51F09F441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373440" cy="47775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B0763CC-539E-4493-A3F3-C45430B3E8A7}" name="Table1" displayName="Table1" ref="A5:J9" totalsRowCount="1">
  <autoFilter ref="A5:J8" xr:uid="{72461C22-B828-4441-8330-37B324542EA4}"/>
  <tableColumns count="10">
    <tableColumn id="1" xr3:uid="{55DC2D99-AF79-410F-BE73-A72D7EDEFC59}" name="S/N" totalsRowLabel="Total"/>
    <tableColumn id="2" xr3:uid="{AF41699D-7F7B-4C0A-A2F6-F0544FB67C65}" name="VEHICLE" totalsRowFunction="count"/>
    <tableColumn id="3" xr3:uid="{EF0C2AC2-1010-484F-A024-CC27A626B842}" name="DETAILS"/>
    <tableColumn id="4" xr3:uid="{415116FB-414D-4C0B-8E6B-3C7D227336B1}" name="LOCATION"/>
    <tableColumn id="10" xr3:uid="{99D845BB-A038-4109-963D-6909B35C8583}" name="FUEL AMOUNT" totalsRowFunction="sum" dataDxfId="4" totalsRowDxfId="5"/>
    <tableColumn id="9" xr3:uid="{D7ABB337-9E63-4B03-AD87-98BCA618ABC8}" name="OTHER EXP" totalsRowFunction="sum" dataDxfId="2" totalsRowDxfId="3"/>
    <tableColumn id="5" xr3:uid="{6CE82DC5-2BD5-4646-AE01-BAF403B3D269}" name="TOTAL" totalsRowFunction="sum" dataDxfId="0" totalsRowDxfId="1">
      <calculatedColumnFormula>Table1[[#This Row],[FUEL AMOUNT]]+Table1[[#This Row],[OTHER EXP]]</calculatedColumnFormula>
    </tableColumn>
    <tableColumn id="6" xr3:uid="{09830A32-DFF0-4CE2-8F60-FC7471D45FB5}" name="ACCOUNT NO"/>
    <tableColumn id="7" xr3:uid="{57271B48-1482-4EB0-9579-2E97E88628DD}" name="BANK"/>
    <tableColumn id="8" xr3:uid="{E0DC403D-0D1D-4827-BD59-682F3C54C481}" name="NAME" totalsRowFunction="count"/>
  </tableColumns>
  <tableStyleInfo name="TableStyleLight15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3FD830-7D0A-464D-A7C7-4D456C642846}">
  <dimension ref="A4:J9"/>
  <sheetViews>
    <sheetView tabSelected="1" workbookViewId="0">
      <selection activeCell="B13" sqref="B13"/>
    </sheetView>
  </sheetViews>
  <sheetFormatPr defaultRowHeight="14.5" x14ac:dyDescent="0.35"/>
  <cols>
    <col min="2" max="2" width="12.453125" customWidth="1"/>
    <col min="3" max="3" width="45.08984375" bestFit="1" customWidth="1"/>
    <col min="4" max="4" width="12" bestFit="1" customWidth="1"/>
    <col min="5" max="5" width="15.90625" bestFit="1" customWidth="1"/>
    <col min="6" max="6" width="12.6328125" bestFit="1" customWidth="1"/>
    <col min="7" max="7" width="10.90625" customWidth="1"/>
    <col min="8" max="8" width="14.453125" customWidth="1"/>
    <col min="9" max="9" width="12" customWidth="1"/>
    <col min="10" max="10" width="15.81640625" bestFit="1" customWidth="1"/>
  </cols>
  <sheetData>
    <row r="4" spans="1:10" ht="23.5" x14ac:dyDescent="0.55000000000000004">
      <c r="A4" s="1" t="s">
        <v>21</v>
      </c>
      <c r="B4" s="1"/>
      <c r="C4" s="1"/>
    </row>
    <row r="5" spans="1:10" x14ac:dyDescent="0.35">
      <c r="A5" t="s">
        <v>0</v>
      </c>
      <c r="B5" t="s">
        <v>1</v>
      </c>
      <c r="C5" t="s">
        <v>2</v>
      </c>
      <c r="D5" t="s">
        <v>3</v>
      </c>
      <c r="E5" t="s">
        <v>4</v>
      </c>
      <c r="F5" t="s">
        <v>5</v>
      </c>
      <c r="G5" t="s">
        <v>6</v>
      </c>
      <c r="H5" t="s">
        <v>7</v>
      </c>
      <c r="I5" t="s">
        <v>8</v>
      </c>
      <c r="J5" t="s">
        <v>9</v>
      </c>
    </row>
    <row r="6" spans="1:10" x14ac:dyDescent="0.35">
      <c r="A6">
        <v>1</v>
      </c>
      <c r="B6" t="s">
        <v>20</v>
      </c>
      <c r="C6" s="2" t="s">
        <v>18</v>
      </c>
      <c r="D6" t="s">
        <v>10</v>
      </c>
      <c r="E6" s="3">
        <v>65000</v>
      </c>
      <c r="F6" s="3">
        <v>3000</v>
      </c>
      <c r="G6" s="3">
        <f>Table1[[#This Row],[FUEL AMOUNT]]+Table1[[#This Row],[OTHER EXP]]</f>
        <v>68000</v>
      </c>
      <c r="H6">
        <v>6312059324</v>
      </c>
      <c r="I6" t="s">
        <v>11</v>
      </c>
      <c r="J6" t="s">
        <v>12</v>
      </c>
    </row>
    <row r="7" spans="1:10" x14ac:dyDescent="0.35">
      <c r="A7">
        <v>2</v>
      </c>
      <c r="B7" t="s">
        <v>13</v>
      </c>
      <c r="C7" s="2" t="s">
        <v>14</v>
      </c>
      <c r="D7" t="s">
        <v>10</v>
      </c>
      <c r="E7" s="3">
        <v>78000</v>
      </c>
      <c r="F7" s="3">
        <v>0</v>
      </c>
      <c r="G7" s="3">
        <f>Table1[[#This Row],[FUEL AMOUNT]]+Table1[[#This Row],[OTHER EXP]]</f>
        <v>78000</v>
      </c>
      <c r="H7">
        <v>2202934873</v>
      </c>
      <c r="I7" t="s">
        <v>15</v>
      </c>
      <c r="J7" t="s">
        <v>16</v>
      </c>
    </row>
    <row r="8" spans="1:10" x14ac:dyDescent="0.35">
      <c r="A8">
        <v>3</v>
      </c>
      <c r="B8" t="s">
        <v>19</v>
      </c>
      <c r="C8" s="2" t="s">
        <v>14</v>
      </c>
      <c r="D8" t="s">
        <v>10</v>
      </c>
      <c r="E8" s="3">
        <v>65000</v>
      </c>
      <c r="F8" s="3">
        <v>0</v>
      </c>
      <c r="G8" s="3">
        <f>Table1[[#This Row],[FUEL AMOUNT]]+Table1[[#This Row],[OTHER EXP]]</f>
        <v>65000</v>
      </c>
      <c r="H8">
        <v>6312059324</v>
      </c>
      <c r="I8" t="s">
        <v>11</v>
      </c>
      <c r="J8" t="s">
        <v>12</v>
      </c>
    </row>
    <row r="9" spans="1:10" x14ac:dyDescent="0.35">
      <c r="A9" t="s">
        <v>17</v>
      </c>
      <c r="B9">
        <f>SUBTOTAL(103,Table1[VEHICLE])</f>
        <v>3</v>
      </c>
      <c r="E9" s="3">
        <f>SUBTOTAL(109,Table1[FUEL AMOUNT])</f>
        <v>208000</v>
      </c>
      <c r="F9" s="3">
        <f>SUBTOTAL(109,Table1[OTHER EXP])</f>
        <v>3000</v>
      </c>
      <c r="G9" s="3">
        <f>SUBTOTAL(109,Table1[TOTAL])</f>
        <v>211000</v>
      </c>
      <c r="J9">
        <f>SUBTOTAL(103,Table1[NAME])</f>
        <v>3</v>
      </c>
    </row>
  </sheetData>
  <mergeCells count="1">
    <mergeCell ref="A4:C4"/>
  </mergeCells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AGEGE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Oreoluwa Mafo</dc:creator>
  <cp:lastModifiedBy>Oreoluwa Mafo</cp:lastModifiedBy>
  <dcterms:created xsi:type="dcterms:W3CDTF">2026-09-07T14:49:32Z</dcterms:created>
  <dcterms:modified xsi:type="dcterms:W3CDTF">2026-09-07T14:56:19Z</dcterms:modified>
</cp:coreProperties>
</file>