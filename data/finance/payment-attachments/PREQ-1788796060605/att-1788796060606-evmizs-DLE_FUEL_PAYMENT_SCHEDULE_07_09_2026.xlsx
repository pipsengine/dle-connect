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oreoluwamafo_dormanlongeng_com/Documents/Compensation and Benefits/"/>
    </mc:Choice>
  </mc:AlternateContent>
  <xr:revisionPtr revIDLastSave="2" documentId="8_{FDC0AF66-7112-4AC7-B16D-1D6FED098A18}" xr6:coauthVersionLast="47" xr6:coauthVersionMax="47" xr10:uidLastSave="{16DF3148-DF71-4ADE-AAED-740F9972FF62}"/>
  <bookViews>
    <workbookView xWindow="28680" yWindow="-120" windowWidth="29040" windowHeight="15720" xr2:uid="{C07FCA73-97AC-41CF-B289-1A2659EB439F}"/>
  </bookViews>
  <sheets>
    <sheet name="IDI O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J14" i="1"/>
  <c r="F14" i="1"/>
  <c r="E14" i="1"/>
  <c r="B14" i="1"/>
  <c r="G12" i="1"/>
  <c r="G11" i="1"/>
  <c r="G10" i="1"/>
  <c r="G9" i="1"/>
  <c r="G8" i="1"/>
  <c r="G7" i="1"/>
  <c r="G6" i="1"/>
  <c r="G14" i="1" l="1"/>
</calcChain>
</file>

<file path=xl/sharedStrings.xml><?xml version="1.0" encoding="utf-8"?>
<sst xmlns="http://schemas.openxmlformats.org/spreadsheetml/2006/main" count="56" uniqueCount="45">
  <si>
    <t>S/N</t>
  </si>
  <si>
    <t>VEHICLE</t>
  </si>
  <si>
    <t>DETAILS</t>
  </si>
  <si>
    <t>LOCATION</t>
  </si>
  <si>
    <t>FUEL AMOUNT</t>
  </si>
  <si>
    <t>OTHER EXP</t>
  </si>
  <si>
    <t>TOTAL</t>
  </si>
  <si>
    <t>ACCOUNT NO</t>
  </si>
  <si>
    <t>BANK</t>
  </si>
  <si>
    <t>NAME</t>
  </si>
  <si>
    <t>EKY 312 CP</t>
  </si>
  <si>
    <t>IDI-ORO</t>
  </si>
  <si>
    <t>GTB</t>
  </si>
  <si>
    <t>Biskuka Maxwell</t>
  </si>
  <si>
    <t>MUS 589 DS</t>
  </si>
  <si>
    <t>0011786224</t>
  </si>
  <si>
    <t>Samuel Ogundele</t>
  </si>
  <si>
    <t>AAA 109 QR</t>
  </si>
  <si>
    <t>0238930428</t>
  </si>
  <si>
    <t>Sulaimon Ojo</t>
  </si>
  <si>
    <t>EPE 242 GE</t>
  </si>
  <si>
    <t xml:space="preserve">Access </t>
  </si>
  <si>
    <t>Samuel Ajayi</t>
  </si>
  <si>
    <t>0071663068</t>
  </si>
  <si>
    <t>Reuben Audu</t>
  </si>
  <si>
    <t>KRD 468 GF</t>
  </si>
  <si>
    <t>0814993991</t>
  </si>
  <si>
    <t>Gt bank</t>
  </si>
  <si>
    <t>David Akpantuk</t>
  </si>
  <si>
    <t>AKD 744 FJ</t>
  </si>
  <si>
    <t>0036648861</t>
  </si>
  <si>
    <t>Nwaubani Ifeanyi</t>
  </si>
  <si>
    <t>Total</t>
  </si>
  <si>
    <t>Fueling of car</t>
  </si>
  <si>
    <t>Fueling of car, Patching two tubless tyres @ 4,000, Saturday Transport, Parking Fee @ 1,500</t>
  </si>
  <si>
    <t>Fueling of motorcyle, toll gate and car parking, Renewal of Tricycle/Bike Riders ID Card For LSG @15,000</t>
  </si>
  <si>
    <t>DLE FUEL PAYMENT SCHEDULE 07/09/2026</t>
  </si>
  <si>
    <t>Fueling of car, Patching and Pumping if Tyre@ 2,500, Weekend work@ 3,000 and extra fueling @25,000</t>
  </si>
  <si>
    <t>FKJ 599 FM</t>
  </si>
  <si>
    <t>Cost of fueling</t>
  </si>
  <si>
    <t>Cost of fueling, Car parking, Pumping of Two Tubeless Tyres</t>
  </si>
  <si>
    <t>Cost of fueling, car parking at 2 places @3,000</t>
  </si>
  <si>
    <t>BDG 644 BK</t>
  </si>
  <si>
    <t>Cost Of Fueling</t>
  </si>
  <si>
    <t>Dele Omokhuale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</si>
</sst>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868615</xdr:colOff>
      <xdr:row>2</xdr:row>
      <xdr:rowOff>111993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228B50-CE3A-40FE-8A96-EBBFFF7B5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3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7A559C-C93C-499D-91F7-8AEEBC7D6E48}" name="Table13" displayName="Table13" ref="A5:J14" totalsRowCount="1">
  <autoFilter ref="A5:J13" xr:uid="{72461C22-B828-4441-8330-37B324542EA4}"/>
  <tableColumns count="10">
    <tableColumn id="1" xr3:uid="{70A1D29D-33A8-4AF0-88D0-C3B6C90661AC}" name="S/N" totalsRowLabel="Total"/>
    <tableColumn id="2" xr3:uid="{FB83A576-FC9B-4696-9A01-1BE6A15FC3C6}" name="VEHICLE" totalsRowFunction="count"/>
    <tableColumn id="3" xr3:uid="{F7E6A1FC-B3E2-400F-BF59-8AC9248345BA}" name="DETAILS"/>
    <tableColumn id="4" xr3:uid="{63BECC82-68AD-4E6E-86F8-0FAB70C99B4C}" name="LOCATION"/>
    <tableColumn id="10" xr3:uid="{8C02D1FB-9587-4CF2-9571-DB1DDDE2F474}" name="FUEL AMOUNT" totalsRowFunction="sum" dataDxfId="4" totalsRowDxfId="5"/>
    <tableColumn id="9" xr3:uid="{2B4E7A19-DBE5-4366-B780-C80BFAC197CF}" name="OTHER EXP" totalsRowFunction="sum" dataDxfId="2" totalsRowDxfId="3"/>
    <tableColumn id="5" xr3:uid="{F96B88B1-9B43-40A1-9161-B0DD978EA67F}" name="TOTAL" totalsRowFunction="sum" dataDxfId="0" totalsRowDxfId="1">
      <calculatedColumnFormula>Table13[[#This Row],[FUEL AMOUNT]]+Table13[[#This Row],[OTHER EXP]]</calculatedColumnFormula>
    </tableColumn>
    <tableColumn id="6" xr3:uid="{86431E1F-8436-4C5A-8C26-45069F7AEAB2}" name="ACCOUNT NO"/>
    <tableColumn id="7" xr3:uid="{91E9AC5B-7427-4739-8FEF-98BA5DA0677D}" name="BANK"/>
    <tableColumn id="8" xr3:uid="{B8115913-EDFA-4460-A414-9958F0F4F484}" name="NAME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93030-3B97-4D4B-A07F-3C6718D805A4}">
  <dimension ref="A4:J14"/>
  <sheetViews>
    <sheetView tabSelected="1" workbookViewId="0">
      <selection activeCell="G16" sqref="G16"/>
    </sheetView>
  </sheetViews>
  <sheetFormatPr defaultRowHeight="14.5" x14ac:dyDescent="0.35"/>
  <cols>
    <col min="1" max="1" width="7.1796875" customWidth="1"/>
    <col min="2" max="2" width="13.26953125" customWidth="1"/>
    <col min="3" max="3" width="48.54296875" customWidth="1"/>
    <col min="4" max="4" width="12" bestFit="1" customWidth="1"/>
    <col min="5" max="5" width="15.90625" bestFit="1" customWidth="1"/>
    <col min="6" max="6" width="12.6328125" bestFit="1" customWidth="1"/>
    <col min="7" max="7" width="10.90625" customWidth="1"/>
    <col min="8" max="8" width="14.453125" customWidth="1"/>
    <col min="9" max="9" width="12" customWidth="1"/>
    <col min="10" max="10" width="15.81640625" bestFit="1" customWidth="1"/>
  </cols>
  <sheetData>
    <row r="4" spans="1:10" ht="23.5" x14ac:dyDescent="0.55000000000000004">
      <c r="A4" s="1" t="s">
        <v>36</v>
      </c>
      <c r="B4" s="1"/>
      <c r="C4" s="1"/>
    </row>
    <row r="5" spans="1:10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 x14ac:dyDescent="0.35">
      <c r="A6">
        <v>1</v>
      </c>
      <c r="B6" t="s">
        <v>10</v>
      </c>
      <c r="C6" t="s">
        <v>33</v>
      </c>
      <c r="D6" t="s">
        <v>11</v>
      </c>
      <c r="E6" s="2">
        <v>65000</v>
      </c>
      <c r="F6" s="2">
        <v>0</v>
      </c>
      <c r="G6" s="2">
        <f>Table13[[#This Row],[FUEL AMOUNT]]+Table13[[#This Row],[OTHER EXP]]</f>
        <v>65000</v>
      </c>
      <c r="H6">
        <v>652889056</v>
      </c>
      <c r="I6" t="s">
        <v>12</v>
      </c>
      <c r="J6" t="s">
        <v>13</v>
      </c>
    </row>
    <row r="7" spans="1:10" ht="29" x14ac:dyDescent="0.35">
      <c r="A7">
        <v>2</v>
      </c>
      <c r="B7" t="s">
        <v>14</v>
      </c>
      <c r="C7" s="3" t="s">
        <v>34</v>
      </c>
      <c r="D7" t="s">
        <v>11</v>
      </c>
      <c r="E7" s="2">
        <v>65000</v>
      </c>
      <c r="F7" s="2">
        <v>8500</v>
      </c>
      <c r="G7" s="2">
        <f>Table13[[#This Row],[FUEL AMOUNT]]+Table13[[#This Row],[OTHER EXP]]</f>
        <v>73500</v>
      </c>
      <c r="H7" s="4" t="s">
        <v>15</v>
      </c>
      <c r="I7" t="s">
        <v>12</v>
      </c>
      <c r="J7" t="s">
        <v>16</v>
      </c>
    </row>
    <row r="8" spans="1:10" ht="32.5" customHeight="1" x14ac:dyDescent="0.35">
      <c r="A8">
        <v>3</v>
      </c>
      <c r="B8" t="s">
        <v>17</v>
      </c>
      <c r="C8" s="3" t="s">
        <v>35</v>
      </c>
      <c r="D8" t="s">
        <v>11</v>
      </c>
      <c r="E8" s="2">
        <v>32000</v>
      </c>
      <c r="F8" s="2">
        <v>20000</v>
      </c>
      <c r="G8" s="2">
        <f>Table13[[#This Row],[FUEL AMOUNT]]+Table13[[#This Row],[OTHER EXP]]</f>
        <v>52000</v>
      </c>
      <c r="H8" s="4" t="s">
        <v>18</v>
      </c>
      <c r="I8" t="s">
        <v>12</v>
      </c>
      <c r="J8" t="s">
        <v>19</v>
      </c>
    </row>
    <row r="9" spans="1:10" ht="29" x14ac:dyDescent="0.35">
      <c r="A9">
        <v>4</v>
      </c>
      <c r="B9" t="s">
        <v>20</v>
      </c>
      <c r="C9" s="3" t="s">
        <v>37</v>
      </c>
      <c r="D9" t="s">
        <v>11</v>
      </c>
      <c r="E9" s="2">
        <v>65000</v>
      </c>
      <c r="F9" s="2">
        <v>30500</v>
      </c>
      <c r="G9" s="2">
        <f>Table13[[#This Row],[FUEL AMOUNT]]+Table13[[#This Row],[OTHER EXP]]</f>
        <v>95500</v>
      </c>
      <c r="H9">
        <v>1476226552</v>
      </c>
      <c r="I9" t="s">
        <v>21</v>
      </c>
      <c r="J9" t="s">
        <v>22</v>
      </c>
    </row>
    <row r="10" spans="1:10" x14ac:dyDescent="0.35">
      <c r="A10">
        <v>5</v>
      </c>
      <c r="B10" t="s">
        <v>38</v>
      </c>
      <c r="C10" s="3" t="s">
        <v>39</v>
      </c>
      <c r="D10" t="s">
        <v>11</v>
      </c>
      <c r="E10" s="2">
        <v>65000</v>
      </c>
      <c r="F10" s="2">
        <v>0</v>
      </c>
      <c r="G10" s="2">
        <f>Table13[[#This Row],[FUEL AMOUNT]]+Table13[[#This Row],[OTHER EXP]]</f>
        <v>65000</v>
      </c>
      <c r="H10" s="4" t="s">
        <v>23</v>
      </c>
      <c r="I10" t="s">
        <v>21</v>
      </c>
      <c r="J10" t="s">
        <v>24</v>
      </c>
    </row>
    <row r="11" spans="1:10" ht="29" x14ac:dyDescent="0.35">
      <c r="A11">
        <v>6</v>
      </c>
      <c r="B11" t="s">
        <v>25</v>
      </c>
      <c r="C11" s="3" t="s">
        <v>40</v>
      </c>
      <c r="D11" t="s">
        <v>11</v>
      </c>
      <c r="E11" s="2">
        <v>78000</v>
      </c>
      <c r="F11" s="2">
        <v>3000</v>
      </c>
      <c r="G11" s="2">
        <f>Table13[[#This Row],[FUEL AMOUNT]]+Table13[[#This Row],[OTHER EXP]]</f>
        <v>81000</v>
      </c>
      <c r="H11" s="4" t="s">
        <v>26</v>
      </c>
      <c r="I11" t="s">
        <v>27</v>
      </c>
      <c r="J11" t="s">
        <v>28</v>
      </c>
    </row>
    <row r="12" spans="1:10" x14ac:dyDescent="0.35">
      <c r="A12">
        <v>7</v>
      </c>
      <c r="B12" t="s">
        <v>29</v>
      </c>
      <c r="C12" s="3" t="s">
        <v>41</v>
      </c>
      <c r="D12" t="s">
        <v>11</v>
      </c>
      <c r="E12" s="2">
        <v>65000</v>
      </c>
      <c r="F12" s="2">
        <v>3000</v>
      </c>
      <c r="G12" s="2">
        <f>Table13[[#This Row],[FUEL AMOUNT]]+Table13[[#This Row],[OTHER EXP]]</f>
        <v>68000</v>
      </c>
      <c r="H12" s="4" t="s">
        <v>30</v>
      </c>
      <c r="I12" t="s">
        <v>21</v>
      </c>
      <c r="J12" t="s">
        <v>31</v>
      </c>
    </row>
    <row r="13" spans="1:10" x14ac:dyDescent="0.35">
      <c r="A13">
        <v>8</v>
      </c>
      <c r="B13" t="s">
        <v>42</v>
      </c>
      <c r="C13" s="3" t="s">
        <v>43</v>
      </c>
      <c r="D13" t="s">
        <v>11</v>
      </c>
      <c r="E13" s="2">
        <v>65000</v>
      </c>
      <c r="F13" s="2">
        <v>0</v>
      </c>
      <c r="G13" s="2">
        <f>Table13[[#This Row],[FUEL AMOUNT]]+Table13[[#This Row],[OTHER EXP]]</f>
        <v>65000</v>
      </c>
      <c r="H13" s="4"/>
      <c r="J13" t="s">
        <v>44</v>
      </c>
    </row>
    <row r="14" spans="1:10" x14ac:dyDescent="0.35">
      <c r="A14" t="s">
        <v>32</v>
      </c>
      <c r="B14">
        <f>SUBTOTAL(103,Table13[VEHICLE])</f>
        <v>8</v>
      </c>
      <c r="E14" s="2">
        <f>SUBTOTAL(109,Table13[FUEL AMOUNT])</f>
        <v>500000</v>
      </c>
      <c r="F14" s="2">
        <f>SUBTOTAL(109,Table13[OTHER EXP])</f>
        <v>65000</v>
      </c>
      <c r="G14" s="2">
        <f>SUBTOTAL(109,Table13[TOTAL])</f>
        <v>565000</v>
      </c>
      <c r="J14">
        <f>SUBTOTAL(103,Table13[NAME])</f>
        <v>8</v>
      </c>
    </row>
  </sheetData>
  <mergeCells count="1">
    <mergeCell ref="A4:C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 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Oreoluwa Mafo</dc:creator>
  <cp:lastModifiedBy>Oreoluwa Mafo</cp:lastModifiedBy>
  <dcterms:created xsi:type="dcterms:W3CDTF">2026-09-07T14:18:58Z</dcterms:created>
  <dcterms:modified xsi:type="dcterms:W3CDTF">2026-09-07T15:44:01Z</dcterms:modified>
</cp:coreProperties>
</file>