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https://dormanlong-my.sharepoint.com/personal/fawazadeshina_dormanlongeng_com/Documents/Desktop/"/>
    </mc:Choice>
  </mc:AlternateContent>
  <xr:revisionPtr revIDLastSave="117" documentId="8_{C96A5B2A-5F06-4452-A63D-4C8CB06342DC}" xr6:coauthVersionLast="47" xr6:coauthVersionMax="47" xr10:uidLastSave="{29AA6CFE-331B-4534-A550-9F8E7B30481A}"/>
  <bookViews>
    <workbookView xWindow="-108" yWindow="-108" windowWidth="23256" windowHeight="12456" xr2:uid="{08D63C5B-627F-4194-B4DD-03DFB3132DBF}"/>
  </bookViews>
  <sheets>
    <sheet name="IDI ORO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G11" i="2" l="1"/>
  <c r="G10" i="2"/>
  <c r="B12" i="2"/>
  <c r="J12" i="2"/>
  <c r="F12" i="2"/>
  <c r="E12" i="2"/>
  <c r="G9" i="2"/>
  <c r="G8" i="2"/>
  <c r="G7" i="2"/>
  <c r="G6" i="2"/>
  <c r="G12" i="2" l="1"/>
</calcChain>
</file>

<file path=xl/sharedStrings.xml><?xml version="1.0" encoding="utf-8"?>
<sst xmlns="http://schemas.openxmlformats.org/spreadsheetml/2006/main" count="46" uniqueCount="38">
  <si>
    <t>S/N</t>
  </si>
  <si>
    <t>VEHICLE</t>
  </si>
  <si>
    <t>DETAILS</t>
  </si>
  <si>
    <t>LOCATION</t>
  </si>
  <si>
    <t>FUEL AMOUNT</t>
  </si>
  <si>
    <t>OTHER EXP</t>
  </si>
  <si>
    <t>TOTAL</t>
  </si>
  <si>
    <t>ACCOUNT NO</t>
  </si>
  <si>
    <t>BANK</t>
  </si>
  <si>
    <t>NAME</t>
  </si>
  <si>
    <t>EKY 312 CP</t>
  </si>
  <si>
    <t>IDI-ORO</t>
  </si>
  <si>
    <t xml:space="preserve">Access </t>
  </si>
  <si>
    <t>MUS 589 DS</t>
  </si>
  <si>
    <t>0011786224</t>
  </si>
  <si>
    <t>GTB</t>
  </si>
  <si>
    <t>Samuel Ogundele</t>
  </si>
  <si>
    <t>AAA 109 QR</t>
  </si>
  <si>
    <t>Fueling of motorcyle, toll gate and car parking</t>
  </si>
  <si>
    <t>0238930428</t>
  </si>
  <si>
    <t>Sulaimon Ojo</t>
  </si>
  <si>
    <t>EPE 242 GE</t>
  </si>
  <si>
    <t>Samuel Ajayi</t>
  </si>
  <si>
    <t>Total</t>
  </si>
  <si>
    <t>Biskuka Maxwell</t>
  </si>
  <si>
    <t>KRD 468 GF</t>
  </si>
  <si>
    <t>AKD 744 FJ</t>
  </si>
  <si>
    <t>0036648861</t>
  </si>
  <si>
    <t>Nwaubani Ifeanyi</t>
  </si>
  <si>
    <t>0814993991</t>
  </si>
  <si>
    <t>Gt bank</t>
  </si>
  <si>
    <t>David Akpantuk</t>
  </si>
  <si>
    <t>Fueling of car, replacement of battery cable</t>
  </si>
  <si>
    <t>Cost of fueling, car park , car wash, car parking</t>
  </si>
  <si>
    <t>Fueling of car , Public holiday transport,,patching of tyres</t>
  </si>
  <si>
    <t>Cost of fueling, Car parking,patching of tyres</t>
  </si>
  <si>
    <t>Fueling of car, car wash soap, airfreshner,radiator collant</t>
  </si>
  <si>
    <t>DLE FUEL PAYMENT SCHEDULE 07/10/2026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</si>
</sst>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4" fontId="0" fillId="0" borderId="0" xfId="0" applyNumberFormat="1"/>
    <xf numFmtId="0" fontId="0" fillId="0" borderId="0" xfId="0" applyAlignment="1">
      <alignment wrapText="1"/>
    </xf>
    <xf numFmtId="0" fontId="0" fillId="0" borderId="0" xfId="0" quotePrefix="1"/>
    <xf numFmtId="0" fontId="1" fillId="0" borderId="0" xfId="0" applyFont="1"/>
  </cellXfs>
  <cellStyles count="1">
    <cellStyle name="Normal" xfId="0" builtinId="0"/>
  </cellStyles>
  <dxfs count="14"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numFmt numFmtId="4" formatCode="#,##0.00"/>
    </dxf>
    <dxf>
      <numFmt numFmtId="4" formatCode="#,##0.00"/>
      <fill>
        <patternFill patternType="none">
          <fgColor indexed="64"/>
          <bgColor auto="1"/>
        </patternFill>
      </fill>
    </dxf>
    <dxf>
      <numFmt numFmtId="4" formatCode="#,##0.00"/>
    </dxf>
    <dxf>
      <numFmt numFmtId="4" formatCode="#,##0.00"/>
      <fill>
        <patternFill patternType="none">
          <fgColor indexed="64"/>
          <bgColor auto="1"/>
        </patternFill>
      </fill>
    </dxf>
    <dxf>
      <numFmt numFmtId="4" formatCode="#,##0.00"/>
    </dxf>
    <dxf>
      <numFmt numFmtId="4" formatCode="#,##0.00"/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763840</xdr:colOff>
      <xdr:row>2</xdr:row>
      <xdr:rowOff>111993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EEF9B4F-59EB-43BA-8745-08340213CC2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373440" cy="47775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5ECE01FF-1BF1-4F98-A38F-DBF14F783170}" name="Table13" displayName="Table13" ref="A5:J12" totalsRowCount="1" dataDxfId="13">
  <autoFilter ref="A5:J11" xr:uid="{72461C22-B828-4441-8330-37B324542EA4}"/>
  <tableColumns count="10">
    <tableColumn id="1" xr3:uid="{C8C15602-996A-43D5-B329-E90DB707E96F}" name="S/N" totalsRowLabel="Total" dataDxfId="12"/>
    <tableColumn id="2" xr3:uid="{C9F655C0-164F-46C4-89E9-107A650D86E6}" name="VEHICLE" totalsRowFunction="count" dataDxfId="11"/>
    <tableColumn id="3" xr3:uid="{2F8FF11B-BBC6-43B9-95FD-A2AFF4E04676}" name="DETAILS" dataDxfId="10"/>
    <tableColumn id="4" xr3:uid="{9CA2884D-A2B1-4D06-9B04-C46830ACFAE7}" name="LOCATION" dataDxfId="9"/>
    <tableColumn id="10" xr3:uid="{8A8D39AF-F44A-461E-B07F-C454FABC3C70}" name="FUEL AMOUNT" totalsRowFunction="sum" dataDxfId="8" totalsRowDxfId="7"/>
    <tableColumn id="9" xr3:uid="{254863DB-AB14-40E7-A8A1-0F63997DACB5}" name="OTHER EXP" totalsRowFunction="sum" dataDxfId="6" totalsRowDxfId="5"/>
    <tableColumn id="5" xr3:uid="{8D25D086-0424-42BD-82B5-A914A64595FC}" name="TOTAL" totalsRowFunction="sum" dataDxfId="4" totalsRowDxfId="3">
      <calculatedColumnFormula>Table13[[#This Row],[FUEL AMOUNT]]+Table13[[#This Row],[OTHER EXP]]</calculatedColumnFormula>
    </tableColumn>
    <tableColumn id="6" xr3:uid="{135CCBBF-8235-4A8F-8D8B-1FBAA9D7D34C}" name="ACCOUNT NO" dataDxfId="2"/>
    <tableColumn id="7" xr3:uid="{A0BFE402-30A5-41D0-9860-8265B0A3F991}" name="BANK" dataDxfId="1"/>
    <tableColumn id="8" xr3:uid="{7ED7C05D-703F-4FB2-AB20-EC550D3A6734}" name="NAME" totalsRowFunction="count" dataDxfId="0"/>
  </tableColumns>
  <tableStyleInfo name="TableStyleLight15" showFirstColumn="0" showLastColumn="0" showRowStripes="0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9DEDBF-03A9-4D80-9C0D-8D707DE31F0B}">
  <dimension ref="A4:J18"/>
  <sheetViews>
    <sheetView tabSelected="1" workbookViewId="0">
      <selection activeCell="D16" sqref="D16"/>
    </sheetView>
  </sheetViews>
  <sheetFormatPr defaultRowHeight="14.4" x14ac:dyDescent="0.3"/>
  <cols>
    <col min="2" max="2" width="12.44140625" customWidth="1"/>
    <col min="3" max="3" width="45.109375" bestFit="1" customWidth="1"/>
    <col min="4" max="4" width="12" bestFit="1" customWidth="1"/>
    <col min="5" max="5" width="15.88671875" bestFit="1" customWidth="1"/>
    <col min="6" max="6" width="12.6640625" bestFit="1" customWidth="1"/>
    <col min="7" max="7" width="10.88671875" customWidth="1"/>
    <col min="8" max="8" width="14.44140625" customWidth="1"/>
    <col min="9" max="9" width="12" customWidth="1"/>
    <col min="10" max="10" width="15.77734375" bestFit="1" customWidth="1"/>
  </cols>
  <sheetData>
    <row r="4" spans="1:10" ht="23.4" x14ac:dyDescent="0.45">
      <c r="A4" s="4" t="s">
        <v>37</v>
      </c>
      <c r="B4" s="4"/>
      <c r="C4" s="4"/>
    </row>
    <row r="5" spans="1:10" x14ac:dyDescent="0.3">
      <c r="A5" t="s">
        <v>0</v>
      </c>
      <c r="B5" t="s">
        <v>1</v>
      </c>
      <c r="C5" t="s">
        <v>2</v>
      </c>
      <c r="D5" t="s">
        <v>3</v>
      </c>
      <c r="E5" t="s">
        <v>4</v>
      </c>
      <c r="F5" t="s">
        <v>5</v>
      </c>
      <c r="G5" t="s">
        <v>6</v>
      </c>
      <c r="H5" t="s">
        <v>7</v>
      </c>
      <c r="I5" t="s">
        <v>8</v>
      </c>
      <c r="J5" t="s">
        <v>9</v>
      </c>
    </row>
    <row r="6" spans="1:10" x14ac:dyDescent="0.3">
      <c r="A6">
        <v>1</v>
      </c>
      <c r="B6" t="s">
        <v>10</v>
      </c>
      <c r="C6" t="s">
        <v>32</v>
      </c>
      <c r="D6" t="s">
        <v>11</v>
      </c>
      <c r="E6" s="1">
        <v>65000</v>
      </c>
      <c r="F6" s="1">
        <v>10000</v>
      </c>
      <c r="G6" s="1">
        <f>Table13[[#This Row],[FUEL AMOUNT]]+Table13[[#This Row],[OTHER EXP]]</f>
        <v>75000</v>
      </c>
      <c r="H6">
        <v>652889056</v>
      </c>
      <c r="I6" t="s">
        <v>15</v>
      </c>
      <c r="J6" t="s">
        <v>24</v>
      </c>
    </row>
    <row r="7" spans="1:10" ht="28.8" x14ac:dyDescent="0.3">
      <c r="A7">
        <v>2</v>
      </c>
      <c r="B7" t="s">
        <v>13</v>
      </c>
      <c r="C7" s="2" t="s">
        <v>34</v>
      </c>
      <c r="D7" t="s">
        <v>11</v>
      </c>
      <c r="E7" s="1">
        <v>65000</v>
      </c>
      <c r="F7" s="1">
        <v>6000</v>
      </c>
      <c r="G7" s="1">
        <f>Table13[[#This Row],[FUEL AMOUNT]]+Table13[[#This Row],[OTHER EXP]]</f>
        <v>71000</v>
      </c>
      <c r="H7" s="3" t="s">
        <v>14</v>
      </c>
      <c r="I7" t="s">
        <v>15</v>
      </c>
      <c r="J7" t="s">
        <v>16</v>
      </c>
    </row>
    <row r="8" spans="1:10" x14ac:dyDescent="0.3">
      <c r="A8">
        <v>3</v>
      </c>
      <c r="B8" t="s">
        <v>17</v>
      </c>
      <c r="C8" t="s">
        <v>18</v>
      </c>
      <c r="D8" t="s">
        <v>11</v>
      </c>
      <c r="E8" s="1">
        <v>32000</v>
      </c>
      <c r="F8" s="1">
        <v>5000</v>
      </c>
      <c r="G8" s="1">
        <f>Table13[[#This Row],[FUEL AMOUNT]]+Table13[[#This Row],[OTHER EXP]]</f>
        <v>37000</v>
      </c>
      <c r="H8" s="3" t="s">
        <v>19</v>
      </c>
      <c r="I8" t="s">
        <v>15</v>
      </c>
      <c r="J8" t="s">
        <v>20</v>
      </c>
    </row>
    <row r="9" spans="1:10" ht="28.8" x14ac:dyDescent="0.3">
      <c r="A9">
        <v>4</v>
      </c>
      <c r="B9" t="s">
        <v>21</v>
      </c>
      <c r="C9" s="2" t="s">
        <v>36</v>
      </c>
      <c r="D9" t="s">
        <v>11</v>
      </c>
      <c r="E9" s="1">
        <v>65000</v>
      </c>
      <c r="F9" s="1">
        <v>14600</v>
      </c>
      <c r="G9" s="1">
        <f>Table13[[#This Row],[FUEL AMOUNT]]+Table13[[#This Row],[OTHER EXP]]</f>
        <v>79600</v>
      </c>
      <c r="H9">
        <v>1476226552</v>
      </c>
      <c r="I9" t="s">
        <v>12</v>
      </c>
      <c r="J9" t="s">
        <v>22</v>
      </c>
    </row>
    <row r="10" spans="1:10" x14ac:dyDescent="0.3">
      <c r="A10">
        <v>6</v>
      </c>
      <c r="B10" t="s">
        <v>25</v>
      </c>
      <c r="C10" s="2" t="s">
        <v>35</v>
      </c>
      <c r="D10" t="s">
        <v>11</v>
      </c>
      <c r="E10" s="1">
        <v>78000</v>
      </c>
      <c r="F10" s="1">
        <v>6000</v>
      </c>
      <c r="G10" s="1">
        <f>Table13[[#This Row],[FUEL AMOUNT]]+Table13[[#This Row],[OTHER EXP]]</f>
        <v>84000</v>
      </c>
      <c r="H10" s="3" t="s">
        <v>29</v>
      </c>
      <c r="I10" t="s">
        <v>30</v>
      </c>
      <c r="J10" t="s">
        <v>31</v>
      </c>
    </row>
    <row r="11" spans="1:10" x14ac:dyDescent="0.3">
      <c r="A11">
        <v>7</v>
      </c>
      <c r="B11" t="s">
        <v>26</v>
      </c>
      <c r="C11" s="2" t="s">
        <v>33</v>
      </c>
      <c r="D11" t="s">
        <v>11</v>
      </c>
      <c r="E11" s="1">
        <v>65000</v>
      </c>
      <c r="F11" s="1">
        <v>7000</v>
      </c>
      <c r="G11" s="1">
        <f>Table13[[#This Row],[FUEL AMOUNT]]+Table13[[#This Row],[OTHER EXP]]</f>
        <v>72000</v>
      </c>
      <c r="H11" s="3" t="s">
        <v>27</v>
      </c>
      <c r="I11" t="s">
        <v>12</v>
      </c>
      <c r="J11" t="s">
        <v>28</v>
      </c>
    </row>
    <row r="12" spans="1:10" x14ac:dyDescent="0.3">
      <c r="A12" t="s">
        <v>23</v>
      </c>
      <c r="B12">
        <f>SUBTOTAL(103,Table13[VEHICLE])</f>
        <v>6</v>
      </c>
      <c r="E12" s="1">
        <f>SUBTOTAL(109,Table13[FUEL AMOUNT])</f>
        <v>370000</v>
      </c>
      <c r="F12" s="1">
        <f>SUBTOTAL(109,Table13[OTHER EXP])</f>
        <v>48600</v>
      </c>
      <c r="G12" s="1">
        <f>SUBTOTAL(109,Table13[TOTAL])</f>
        <v>418600</v>
      </c>
      <c r="J12">
        <f>SUBTOTAL(103,Table13[NAME])</f>
        <v>6</v>
      </c>
    </row>
    <row r="18" spans="5:5" x14ac:dyDescent="0.3">
      <c r="E18" s="1"/>
    </row>
  </sheetData>
  <mergeCells count="1">
    <mergeCell ref="A4:C4"/>
  </mergeCells>
  <pageMargins left="0.7" right="0.7" top="0.75" bottom="0.75" header="0.3" footer="0.3"/>
  <ignoredErrors>
    <ignoredError sqref="H7 H8" numberStoredAsText="1"/>
  </ignoredErrors>
  <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IDI ORO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Fawaz Adeshina</dc:creator>
  <cp:lastModifiedBy>Fawaz Adeshina</cp:lastModifiedBy>
  <dcterms:created xsi:type="dcterms:W3CDTF">2026-08-17T12:55:47Z</dcterms:created>
  <dcterms:modified xsi:type="dcterms:W3CDTF">2026-10-07T11:17:47Z</dcterms:modified>
</cp:coreProperties>
</file>