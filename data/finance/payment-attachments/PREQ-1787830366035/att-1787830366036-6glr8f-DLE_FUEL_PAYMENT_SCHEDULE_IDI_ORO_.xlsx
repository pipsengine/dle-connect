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46" documentId="8_{C96A5B2A-5F06-4452-A63D-4C8CB06342DC}" xr6:coauthVersionLast="47" xr6:coauthVersionMax="47" xr10:uidLastSave="{E48E0BAE-171A-409B-B817-E213292B1BB8}"/>
  <bookViews>
    <workbookView xWindow="19110" yWindow="-90" windowWidth="19380" windowHeight="1026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2" l="1"/>
  <c r="B11" i="2"/>
  <c r="J11" i="2"/>
  <c r="F11" i="2"/>
  <c r="E11" i="2"/>
  <c r="G9" i="2"/>
  <c r="G8" i="2"/>
  <c r="G7" i="2"/>
  <c r="G6" i="2"/>
  <c r="G11" i="2" s="1"/>
</calcChain>
</file>

<file path=xl/sharedStrings.xml><?xml version="1.0" encoding="utf-8"?>
<sst xmlns="http://schemas.openxmlformats.org/spreadsheetml/2006/main" count="37" uniqueCount="31">
  <si>
    <t>DLE FUEL PAYMENT SCHEDULE 17/08/2026</t>
  </si>
  <si>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</si>
  <si>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</si>
  <si>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</si>
  <si>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</si>
  <si>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</si>
  <si>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</si>
  <si>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</si>
  <si>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</si>
  <si>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</si>
  <si>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</si>
  <si>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</si>
  <si>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</si>
  <si>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</si>
  <si>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</si>
  <si>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</si>
  <si>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GTB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</si>
  <si>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</si>
  <si>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</si>
  <si>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</si>
  <si>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</si>
  <si>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</si>
  <si>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</si>
  <si>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 xml:space="preserve">Fueling of car, Airport car park, Weekend transport for 15/08/26, Weekend extra fuel </t>
  </si>
  <si>
    <t>Samuel Ajayi</t>
  </si>
  <si>
    <t>Total</t>
  </si>
  <si>
    <t>Biskuka Maxwell</t>
  </si>
  <si>
    <t>Fueling of car</t>
  </si>
  <si>
    <t xml:space="preserve">Fueling of car </t>
  </si>
  <si>
    <t>BDG 644 BK</t>
  </si>
  <si>
    <t>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</si>
</sst>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1" totalsRowCount="1">
  <autoFilter ref="A5:J10" xr:uid="{72461C22-B828-4441-8330-37B324542EA4}"/>
  <tableColumns count="10">
    <tableColumn id="1" xr3:uid="{C8C15602-996A-43D5-B329-E90DB707E96F}" name="S/N" totalsRowLabel="Total"/>
    <tableColumn id="2" xr3:uid="{C9F655C0-164F-46C4-89E9-107A650D86E6}" name="VEHICLE" totalsRowFunction="count"/>
    <tableColumn id="3" xr3:uid="{2F8FF11B-BBC6-43B9-95FD-A2AFF4E04676}" name="DETAILS"/>
    <tableColumn id="4" xr3:uid="{9CA2884D-A2B1-4D06-9B04-C46830ACFAE7}" name="LOCATION"/>
    <tableColumn id="10" xr3:uid="{8A8D39AF-F44A-461E-B07F-C454FABC3C70}" name="FUEL AMOUNT" totalsRowFunction="sum" dataDxfId="5" totalsRowDxfId="4"/>
    <tableColumn id="9" xr3:uid="{254863DB-AB14-40E7-A8A1-0F63997DACB5}" name="OTHER EXP" totalsRowFunction="sum" dataDxfId="3" totalsRowDxfId="2"/>
    <tableColumn id="5" xr3:uid="{8D25D086-0424-42BD-82B5-A914A64595FC}" name="TOTAL" totalsRowFunction="sum" dataDxfId="1" totalsRowDxfId="0">
      <calculatedColumnFormula>Table13[[#This Row],[FUEL AMOUNT]]+Table13[[#This Row],[OTHER EXP]]</calculatedColumnFormula>
    </tableColumn>
    <tableColumn id="6" xr3:uid="{135CCBBF-8235-4A8F-8D8B-1FBAA9D7D34C}" name="ACCOUNT NO"/>
    <tableColumn id="7" xr3:uid="{A0BFE402-30A5-41D0-9860-8265B0A3F991}" name="BANK"/>
    <tableColumn id="8" xr3:uid="{7ED7C05D-703F-4FB2-AB20-EC550D3A673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1"/>
  <sheetViews>
    <sheetView tabSelected="1" topLeftCell="A6" workbookViewId="0">
      <selection activeCell="C14" sqref="C14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0</v>
      </c>
      <c r="B4" s="4"/>
      <c r="C4" s="4"/>
    </row>
    <row r="5" spans="1:10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1:10" x14ac:dyDescent="0.3">
      <c r="A6">
        <v>1</v>
      </c>
      <c r="B6" t="s">
        <v>11</v>
      </c>
      <c r="C6" t="s">
        <v>27</v>
      </c>
      <c r="D6" t="s">
        <v>12</v>
      </c>
      <c r="E6" s="1">
        <v>65000</v>
      </c>
      <c r="F6" s="1"/>
      <c r="G6" s="1">
        <f>Table13[[#This Row],[FUEL AMOUNT]]+Table13[[#This Row],[OTHER EXP]]</f>
        <v>65000</v>
      </c>
      <c r="H6">
        <v>652889056</v>
      </c>
      <c r="I6" t="s">
        <v>16</v>
      </c>
      <c r="J6" t="s">
        <v>26</v>
      </c>
    </row>
    <row r="7" spans="1:10" x14ac:dyDescent="0.3">
      <c r="A7">
        <v>2</v>
      </c>
      <c r="B7" t="s">
        <v>14</v>
      </c>
      <c r="C7" s="2" t="s">
        <v>28</v>
      </c>
      <c r="D7" t="s">
        <v>12</v>
      </c>
      <c r="E7" s="1">
        <v>65000</v>
      </c>
      <c r="F7" s="1"/>
      <c r="G7" s="1">
        <f>Table13[[#This Row],[FUEL AMOUNT]]+Table13[[#This Row],[OTHER EXP]]</f>
        <v>65000</v>
      </c>
      <c r="H7" s="3" t="s">
        <v>15</v>
      </c>
      <c r="I7" t="s">
        <v>16</v>
      </c>
      <c r="J7" t="s">
        <v>17</v>
      </c>
    </row>
    <row r="8" spans="1:10" x14ac:dyDescent="0.3">
      <c r="A8">
        <v>3</v>
      </c>
      <c r="B8" t="s">
        <v>18</v>
      </c>
      <c r="C8" t="s">
        <v>19</v>
      </c>
      <c r="D8" t="s">
        <v>12</v>
      </c>
      <c r="E8" s="1">
        <v>32000</v>
      </c>
      <c r="F8" s="1">
        <v>5000</v>
      </c>
      <c r="G8" s="1">
        <f>Table13[[#This Row],[FUEL AMOUNT]]+Table13[[#This Row],[OTHER EXP]]</f>
        <v>37000</v>
      </c>
      <c r="H8" s="3" t="s">
        <v>20</v>
      </c>
      <c r="I8" t="s">
        <v>16</v>
      </c>
      <c r="J8" t="s">
        <v>21</v>
      </c>
    </row>
    <row r="9" spans="1:10" ht="28.8" x14ac:dyDescent="0.3">
      <c r="A9">
        <v>4</v>
      </c>
      <c r="B9" t="s">
        <v>22</v>
      </c>
      <c r="C9" s="2" t="s">
        <v>23</v>
      </c>
      <c r="D9" t="s">
        <v>12</v>
      </c>
      <c r="E9" s="1">
        <v>85000</v>
      </c>
      <c r="F9" s="1">
        <v>3500</v>
      </c>
      <c r="G9" s="1">
        <f>Table13[[#This Row],[FUEL AMOUNT]]+Table13[[#This Row],[OTHER EXP]]</f>
        <v>88500</v>
      </c>
      <c r="H9">
        <v>1476226552</v>
      </c>
      <c r="I9" t="s">
        <v>13</v>
      </c>
      <c r="J9" t="s">
        <v>24</v>
      </c>
    </row>
    <row r="10" spans="1:10" x14ac:dyDescent="0.3">
      <c r="A10">
        <v>5</v>
      </c>
      <c r="B10" t="s">
        <v>29</v>
      </c>
      <c r="C10" s="2" t="s">
        <v>30</v>
      </c>
      <c r="D10" t="s">
        <v>12</v>
      </c>
      <c r="E10" s="1"/>
      <c r="F10" s="1">
        <v>15000</v>
      </c>
      <c r="G10" s="1">
        <f>Table13[[#This Row],[FUEL AMOUNT]]+Table13[[#This Row],[OTHER EXP]]</f>
        <v>15000</v>
      </c>
    </row>
    <row r="11" spans="1:10" x14ac:dyDescent="0.3">
      <c r="A11" t="s">
        <v>25</v>
      </c>
      <c r="B11">
        <f>SUBTOTAL(103,Table13[VEHICLE])</f>
        <v>5</v>
      </c>
      <c r="E11" s="1">
        <f>SUBTOTAL(109,Table13[FUEL AMOUNT])</f>
        <v>247000</v>
      </c>
      <c r="F11" s="1">
        <f>SUBTOTAL(109,Table13[OTHER EXP])</f>
        <v>23500</v>
      </c>
      <c r="G11" s="1">
        <f>SUBTOTAL(109,Table13[TOTAL])</f>
        <v>270500</v>
      </c>
      <c r="J11">
        <f>SUBTOTAL(103,Table13[NAME])</f>
        <v>4</v>
      </c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2026-08-27T11:06:10Z</dcterms:modified>
</cp:coreProperties>
</file>