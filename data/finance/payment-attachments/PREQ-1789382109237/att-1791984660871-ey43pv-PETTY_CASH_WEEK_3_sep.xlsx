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inanceintern_dormanlongeng_com/Documents/Documents/"/>
    </mc:Choice>
  </mc:AlternateContent>
  <xr:revisionPtr revIDLastSave="0" documentId="8_{B7BEC1CA-7598-47F8-B069-2141CD8D1989}" xr6:coauthVersionLast="47" xr6:coauthVersionMax="47" xr10:uidLastSave="{00000000-0000-0000-0000-000000000000}"/>
  <bookViews>
    <workbookView xWindow="20370" yWindow="-120" windowWidth="29040" windowHeight="15840" xr2:uid="{9DA31BAB-DF3D-4765-B9E6-E0A76E2DF94C}"/>
  </bookViews>
  <sheets>
    <sheet name="PETTY CASH " sheetId="10" r:id="rId1"/>
  </sheets>
  <definedNames>
    <definedName name="_xlnm._FilterDatabase" localSheetId="0" hidden="1">'PETTY CASH '!$A$4:$H$15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0" l="1"/>
  <c r="G6" i="10"/>
  <c r="G7" i="10" s="1"/>
  <c r="G8" i="10" s="1"/>
  <c r="G9" i="10" s="1"/>
  <c r="G10" i="10" s="1"/>
  <c r="G11" i="10" s="1"/>
  <c r="G12" i="10" s="1"/>
  <c r="G13" i="10" s="1"/>
  <c r="G14" i="10" l="1"/>
  <c r="G15" i="10" s="1"/>
  <c r="G16" i="10" s="1"/>
  <c r="G17" i="10" s="1"/>
  <c r="G18" i="10" s="1"/>
  <c r="G19" i="10" s="1"/>
  <c r="G20" i="10" l="1"/>
  <c r="G21" i="10" s="1"/>
  <c r="G22" i="10" l="1"/>
  <c r="G23" i="10"/>
  <c r="G24" i="10" l="1"/>
  <c r="G25" i="10" s="1"/>
  <c r="G26" i="10" s="1"/>
</calcChain>
</file>

<file path=xl/sharedStrings.xml><?xml version="1.0" encoding="utf-8"?>
<sst xmlns="http://schemas.openxmlformats.org/spreadsheetml/2006/main" count="104" uniqueCount="59">
  <si>
    <t>VENDOR NAME</t>
  </si>
  <si>
    <t>HSE</t>
  </si>
  <si>
    <t>ENTRY DATE</t>
  </si>
  <si>
    <t>DESCRIPTION</t>
  </si>
  <si>
    <t>DEPARTMENT</t>
  </si>
  <si>
    <t>CURRENCY</t>
  </si>
  <si>
    <t>AMOUNT</t>
  </si>
  <si>
    <t>TOTAL</t>
  </si>
  <si>
    <t>Naira</t>
  </si>
  <si>
    <t>IT</t>
  </si>
  <si>
    <t>HR</t>
  </si>
  <si>
    <t xml:space="preserve">Balance </t>
  </si>
  <si>
    <t>OLAJUMOKE IGBEKOYI</t>
  </si>
  <si>
    <t>FINANCE</t>
  </si>
  <si>
    <t>Nnenna Nworgu</t>
  </si>
  <si>
    <t>50 naira for stamp duty</t>
  </si>
  <si>
    <t>Maintenance</t>
  </si>
  <si>
    <t>FUAD</t>
  </si>
  <si>
    <t>PETTY CASH FOR WEEK 3 SEPTEMBER</t>
  </si>
  <si>
    <t>NNENNA JOY NWORGU</t>
  </si>
  <si>
    <t>Being payment for Newspapers supplied from 7th-11th sept 2026 </t>
  </si>
  <si>
    <t>Being cost of box tissue and two pack of water for CFO</t>
  </si>
  <si>
    <t>OREOLUWA MAFO</t>
  </si>
  <si>
    <t>EXP – Expatriate Expenses</t>
  </si>
  <si>
    <t>ROTIMI AKINBAYODE</t>
  </si>
  <si>
    <t>MMA car park payment</t>
  </si>
  <si>
    <t>MMA local car park payment</t>
  </si>
  <si>
    <t>patricia chibuzor</t>
  </si>
  <si>
    <t>Being payment of Newspapers supplied from 14th-18th sept 2026, Thisday, punch, Guardian</t>
  </si>
  <si>
    <t>MARVIK GLOBAL</t>
  </si>
  <si>
    <t>REPLACEMENT OF KETTLE GAS REGULATOR</t>
  </si>
  <si>
    <t>SUNDAY SIMIRE</t>
  </si>
  <si>
    <t xml:space="preserve">REQUEST FOR SIVOUS [2 THICK SIZES] FOR REPAIR AND BRAZING OF HIGH PRESSURE SIDE VALVE IN RIGGER'S LOGDE AND MAINTENANCE MANAGER'S OFFICE AIR CONDITIONER. </t>
  </si>
  <si>
    <t>OGWUA TIMOTHY</t>
  </si>
  <si>
    <t>PUCHASE OF DOOR KEY FOR SALES OFFICE .</t>
  </si>
  <si>
    <t>JACOB AKPO</t>
  </si>
  <si>
    <t>balance payment for the circuit breaker accessories</t>
  </si>
  <si>
    <t>Being payment of Newspaper supplied from 21st -25th sept 2026</t>
  </si>
  <si>
    <t>NDUKWE CHUKWUMA</t>
  </si>
  <si>
    <t>URGENT REQUEST FOR 3-TON FORKLIFT HYDRAULIC HOSE</t>
  </si>
  <si>
    <t>ADESINA ADEKUNLE</t>
  </si>
  <si>
    <t>COST OF WAY BILL OF PPE [REFLECTIVE VEST,HARD HAT AND HAND GLOVE} TO PORTHARCOURT</t>
  </si>
  <si>
    <t>AGHANYA NNAMDI</t>
  </si>
  <si>
    <t>Transport to Presken hotel ikeja for HDJK Project Bid Support</t>
  </si>
  <si>
    <t>SOMIC GOLD GLOBAL RESOURCE LTD</t>
  </si>
  <si>
    <t>REPLACEMENT HORN FOR BLACK CORROLA</t>
  </si>
  <si>
    <t>ROTIMI MATTHEW</t>
  </si>
  <si>
    <t>PUCHASE OF MOULDS FOR 650KVA MIKANO GEN SET BATTERY TERMINAL</t>
  </si>
  <si>
    <t>MAFO OREOLUWA</t>
  </si>
  <si>
    <t>Payment for Expatriate Monthly Returns - September '26</t>
  </si>
  <si>
    <t>Payment Request for Water and Tissue Supplies for GM Operations</t>
  </si>
  <si>
    <t>NWORGU JOY NNENNA</t>
  </si>
  <si>
    <t>Being cost of payment of Newspapers supplied from 28th sept-2nd oct 2026</t>
  </si>
  <si>
    <t>Sulimon Ojo</t>
  </si>
  <si>
    <t>Urgent cash for logistics</t>
  </si>
  <si>
    <t>Corporate</t>
  </si>
  <si>
    <t>CARGES</t>
  </si>
  <si>
    <t>Balance</t>
  </si>
  <si>
    <t>Previous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</si>
</sst>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1" xfId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164" fontId="0" fillId="0" borderId="0" xfId="0" applyNumberFormat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feanyi Emesiana" id="{F3913030-7636-4B44-A9F7-0FBBDCD71087}" userId="ifeanyiemesiana@dormanlongeng.com" providerId="PeoplePicker"/>
  <person displayName="Omonye Obeahon" id="{19060DEE-9C42-4843-83A2-C4BFC48D4523}" userId="S::omonyeobeahon@dormanlongeng.com::0af79888-70b0-41fd-9d4e-7304cec4a9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8E1B-8DF1-4B99-85E3-7E690F094107}">
  <dimension ref="A1:H27"/>
  <sheetViews>
    <sheetView showGridLines="0" tabSelected="1" workbookViewId="0">
      <pane ySplit="4" topLeftCell="A5" activePane="bottomLeft" state="frozen"/>
      <selection pane="bottomLeft" activeCell="H27" sqref="H27"/>
    </sheetView>
  </sheetViews>
  <sheetFormatPr defaultRowHeight="15" x14ac:dyDescent="0.25"/>
  <cols>
    <col min="1" max="1" width="17.28515625" bestFit="1" customWidth="1"/>
    <col min="2" max="2" width="19.7109375" bestFit="1" customWidth="1"/>
    <col min="3" max="3" width="52.42578125" customWidth="1"/>
    <col min="4" max="4" width="18.28515625" customWidth="1"/>
    <col min="5" max="5" width="15.5703125" bestFit="1" customWidth="1"/>
    <col min="6" max="6" width="14" style="7" bestFit="1" customWidth="1"/>
    <col min="7" max="7" width="14" style="7" customWidth="1"/>
    <col min="8" max="8" width="21" customWidth="1"/>
    <col min="10" max="10" width="11.5703125" customWidth="1"/>
  </cols>
  <sheetData>
    <row r="1" spans="1:8" x14ac:dyDescent="0.25">
      <c r="H1" s="6"/>
    </row>
    <row r="2" spans="1:8" x14ac:dyDescent="0.25">
      <c r="H2" s="6"/>
    </row>
    <row r="3" spans="1:8" x14ac:dyDescent="0.25">
      <c r="H3" s="6"/>
    </row>
    <row r="4" spans="1:8" x14ac:dyDescent="0.25">
      <c r="A4" s="1" t="s">
        <v>2</v>
      </c>
      <c r="B4" s="1" t="s">
        <v>0</v>
      </c>
      <c r="C4" s="5" t="s">
        <v>3</v>
      </c>
      <c r="D4" s="1" t="s">
        <v>4</v>
      </c>
      <c r="E4" s="4" t="s">
        <v>5</v>
      </c>
      <c r="F4" s="2" t="s">
        <v>6</v>
      </c>
      <c r="G4" s="2" t="s">
        <v>57</v>
      </c>
      <c r="H4" s="3" t="s">
        <v>56</v>
      </c>
    </row>
    <row r="5" spans="1:8" s="6" customFormat="1" x14ac:dyDescent="0.25">
      <c r="A5" s="11">
        <v>46280</v>
      </c>
      <c r="B5" s="12" t="s">
        <v>17</v>
      </c>
      <c r="C5" s="13" t="s">
        <v>18</v>
      </c>
      <c r="D5" s="12" t="s">
        <v>13</v>
      </c>
      <c r="E5" s="12" t="s">
        <v>8</v>
      </c>
      <c r="F5" s="14">
        <v>200000</v>
      </c>
      <c r="G5" s="14">
        <v>1250</v>
      </c>
      <c r="H5" s="12" t="s">
        <v>58</v>
      </c>
    </row>
    <row r="6" spans="1:8" ht="30" x14ac:dyDescent="0.25">
      <c r="A6" s="15">
        <v>46279</v>
      </c>
      <c r="B6" s="16" t="s">
        <v>19</v>
      </c>
      <c r="C6" s="17" t="s">
        <v>20</v>
      </c>
      <c r="D6" s="16" t="s">
        <v>10</v>
      </c>
      <c r="E6" s="16" t="s">
        <v>8</v>
      </c>
      <c r="F6" s="18">
        <v>5300</v>
      </c>
      <c r="G6" s="18">
        <f>(F5+G5)-F6</f>
        <v>195950</v>
      </c>
      <c r="H6" s="16"/>
    </row>
    <row r="7" spans="1:8" x14ac:dyDescent="0.25">
      <c r="A7" s="15">
        <v>46279</v>
      </c>
      <c r="B7" s="16" t="s">
        <v>12</v>
      </c>
      <c r="C7" s="17" t="s">
        <v>21</v>
      </c>
      <c r="D7" s="16" t="s">
        <v>13</v>
      </c>
      <c r="E7" s="16" t="s">
        <v>8</v>
      </c>
      <c r="F7" s="18">
        <v>9000</v>
      </c>
      <c r="G7" s="18">
        <f>G6-F7</f>
        <v>186950</v>
      </c>
      <c r="H7" s="16"/>
    </row>
    <row r="8" spans="1:8" x14ac:dyDescent="0.25">
      <c r="A8" s="15">
        <v>46274</v>
      </c>
      <c r="B8" s="16" t="s">
        <v>22</v>
      </c>
      <c r="C8" s="17" t="s">
        <v>23</v>
      </c>
      <c r="D8" s="16" t="s">
        <v>10</v>
      </c>
      <c r="E8" s="16" t="s">
        <v>8</v>
      </c>
      <c r="F8" s="18">
        <v>8200</v>
      </c>
      <c r="G8" s="18">
        <f t="shared" ref="G8:G26" si="0">G7-F8</f>
        <v>178750</v>
      </c>
      <c r="H8" s="16"/>
    </row>
    <row r="9" spans="1:8" x14ac:dyDescent="0.25">
      <c r="A9" s="15">
        <v>46275</v>
      </c>
      <c r="B9" s="16" t="s">
        <v>24</v>
      </c>
      <c r="C9" s="17" t="s">
        <v>25</v>
      </c>
      <c r="D9" s="16" t="s">
        <v>10</v>
      </c>
      <c r="E9" s="16" t="s">
        <v>8</v>
      </c>
      <c r="F9" s="18">
        <v>1700</v>
      </c>
      <c r="G9" s="18">
        <f t="shared" si="0"/>
        <v>177050</v>
      </c>
      <c r="H9" s="16"/>
    </row>
    <row r="10" spans="1:8" x14ac:dyDescent="0.25">
      <c r="A10" s="15">
        <v>46275</v>
      </c>
      <c r="B10" s="16" t="s">
        <v>24</v>
      </c>
      <c r="C10" s="17" t="s">
        <v>26</v>
      </c>
      <c r="D10" s="16" t="s">
        <v>10</v>
      </c>
      <c r="E10" s="16" t="s">
        <v>8</v>
      </c>
      <c r="F10" s="18">
        <v>1500</v>
      </c>
      <c r="G10" s="18">
        <f t="shared" si="0"/>
        <v>175550</v>
      </c>
      <c r="H10" s="16"/>
    </row>
    <row r="11" spans="1:8" x14ac:dyDescent="0.25">
      <c r="A11" s="15">
        <v>46275</v>
      </c>
      <c r="B11" s="16" t="s">
        <v>24</v>
      </c>
      <c r="C11" s="17" t="s">
        <v>26</v>
      </c>
      <c r="D11" s="16" t="s">
        <v>10</v>
      </c>
      <c r="E11" s="16" t="s">
        <v>8</v>
      </c>
      <c r="F11" s="18">
        <v>4000</v>
      </c>
      <c r="G11" s="18">
        <f t="shared" si="0"/>
        <v>171550</v>
      </c>
      <c r="H11" s="16"/>
    </row>
    <row r="12" spans="1:8" ht="30" x14ac:dyDescent="0.25">
      <c r="A12" s="15">
        <v>46286</v>
      </c>
      <c r="B12" s="16" t="s">
        <v>27</v>
      </c>
      <c r="C12" s="17" t="s">
        <v>28</v>
      </c>
      <c r="D12" s="16" t="s">
        <v>10</v>
      </c>
      <c r="E12" s="16" t="s">
        <v>8</v>
      </c>
      <c r="F12" s="18">
        <v>4600</v>
      </c>
      <c r="G12" s="18">
        <f t="shared" si="0"/>
        <v>166950</v>
      </c>
      <c r="H12" s="16"/>
    </row>
    <row r="13" spans="1:8" x14ac:dyDescent="0.25">
      <c r="A13" s="15">
        <v>46288</v>
      </c>
      <c r="B13" s="16" t="s">
        <v>29</v>
      </c>
      <c r="C13" s="17" t="s">
        <v>30</v>
      </c>
      <c r="D13" s="16" t="s">
        <v>16</v>
      </c>
      <c r="E13" s="16" t="s">
        <v>8</v>
      </c>
      <c r="F13" s="18">
        <v>11000</v>
      </c>
      <c r="G13" s="18">
        <f>G12-F13-50</f>
        <v>155900</v>
      </c>
      <c r="H13" s="16" t="s">
        <v>15</v>
      </c>
    </row>
    <row r="14" spans="1:8" ht="60" x14ac:dyDescent="0.25">
      <c r="A14" s="15">
        <v>46287</v>
      </c>
      <c r="B14" s="16" t="s">
        <v>31</v>
      </c>
      <c r="C14" s="17" t="s">
        <v>32</v>
      </c>
      <c r="D14" s="16" t="s">
        <v>16</v>
      </c>
      <c r="E14" s="16" t="s">
        <v>8</v>
      </c>
      <c r="F14" s="18">
        <v>4000</v>
      </c>
      <c r="G14" s="18">
        <f t="shared" si="0"/>
        <v>151900</v>
      </c>
      <c r="H14" s="16"/>
    </row>
    <row r="15" spans="1:8" x14ac:dyDescent="0.25">
      <c r="A15" s="15">
        <v>46293</v>
      </c>
      <c r="B15" s="16" t="s">
        <v>33</v>
      </c>
      <c r="C15" s="17" t="s">
        <v>34</v>
      </c>
      <c r="D15" s="16" t="s">
        <v>16</v>
      </c>
      <c r="E15" s="16" t="s">
        <v>8</v>
      </c>
      <c r="F15" s="18">
        <v>6000</v>
      </c>
      <c r="G15" s="18">
        <f t="shared" si="0"/>
        <v>145900</v>
      </c>
      <c r="H15" s="16"/>
    </row>
    <row r="16" spans="1:8" x14ac:dyDescent="0.25">
      <c r="A16" s="15">
        <v>46293</v>
      </c>
      <c r="B16" s="16" t="s">
        <v>35</v>
      </c>
      <c r="C16" s="17" t="s">
        <v>36</v>
      </c>
      <c r="D16" s="16" t="s">
        <v>16</v>
      </c>
      <c r="E16" s="16" t="s">
        <v>8</v>
      </c>
      <c r="F16" s="18">
        <v>2200</v>
      </c>
      <c r="G16" s="18">
        <f t="shared" si="0"/>
        <v>143700</v>
      </c>
      <c r="H16" s="16"/>
    </row>
    <row r="17" spans="1:8" ht="30" x14ac:dyDescent="0.25">
      <c r="A17" s="15">
        <v>46295</v>
      </c>
      <c r="B17" s="16" t="s">
        <v>14</v>
      </c>
      <c r="C17" s="17" t="s">
        <v>37</v>
      </c>
      <c r="D17" s="16" t="s">
        <v>10</v>
      </c>
      <c r="E17" s="16" t="s">
        <v>8</v>
      </c>
      <c r="F17" s="18">
        <v>4600</v>
      </c>
      <c r="G17" s="18">
        <f t="shared" si="0"/>
        <v>139100</v>
      </c>
      <c r="H17" s="16"/>
    </row>
    <row r="18" spans="1:8" x14ac:dyDescent="0.25">
      <c r="A18" s="15">
        <v>46295</v>
      </c>
      <c r="B18" s="16" t="s">
        <v>38</v>
      </c>
      <c r="C18" s="17" t="s">
        <v>39</v>
      </c>
      <c r="D18" s="16" t="s">
        <v>16</v>
      </c>
      <c r="E18" s="16" t="s">
        <v>8</v>
      </c>
      <c r="F18" s="18">
        <v>15500</v>
      </c>
      <c r="G18" s="18">
        <f>G17-F18-50</f>
        <v>123550</v>
      </c>
      <c r="H18" s="16" t="s">
        <v>15</v>
      </c>
    </row>
    <row r="19" spans="1:8" ht="30" x14ac:dyDescent="0.25">
      <c r="A19" s="15">
        <v>46295</v>
      </c>
      <c r="B19" s="16" t="s">
        <v>40</v>
      </c>
      <c r="C19" s="17" t="s">
        <v>41</v>
      </c>
      <c r="D19" s="16" t="s">
        <v>1</v>
      </c>
      <c r="E19" s="16" t="s">
        <v>8</v>
      </c>
      <c r="F19" s="18">
        <v>14000</v>
      </c>
      <c r="G19" s="18">
        <f t="shared" si="0"/>
        <v>109550</v>
      </c>
      <c r="H19" s="16"/>
    </row>
    <row r="20" spans="1:8" ht="30" x14ac:dyDescent="0.25">
      <c r="A20" s="15">
        <v>46295</v>
      </c>
      <c r="B20" s="16" t="s">
        <v>42</v>
      </c>
      <c r="C20" s="17" t="s">
        <v>43</v>
      </c>
      <c r="D20" s="16" t="s">
        <v>9</v>
      </c>
      <c r="E20" s="16" t="s">
        <v>8</v>
      </c>
      <c r="F20" s="18">
        <v>6300</v>
      </c>
      <c r="G20" s="18">
        <f>G19-F20-50</f>
        <v>103200</v>
      </c>
      <c r="H20" s="16" t="s">
        <v>15</v>
      </c>
    </row>
    <row r="21" spans="1:8" x14ac:dyDescent="0.25">
      <c r="A21" s="15">
        <v>46303</v>
      </c>
      <c r="B21" s="16" t="s">
        <v>44</v>
      </c>
      <c r="C21" s="17" t="s">
        <v>45</v>
      </c>
      <c r="D21" s="16" t="s">
        <v>16</v>
      </c>
      <c r="E21" s="16" t="s">
        <v>8</v>
      </c>
      <c r="F21" s="18">
        <v>12000</v>
      </c>
      <c r="G21" s="18">
        <f t="shared" si="0"/>
        <v>91200</v>
      </c>
      <c r="H21" s="16"/>
    </row>
    <row r="22" spans="1:8" ht="30" x14ac:dyDescent="0.25">
      <c r="A22" s="15">
        <v>46303</v>
      </c>
      <c r="B22" s="16" t="s">
        <v>46</v>
      </c>
      <c r="C22" s="17" t="s">
        <v>47</v>
      </c>
      <c r="D22" s="16" t="s">
        <v>16</v>
      </c>
      <c r="E22" s="16" t="s">
        <v>8</v>
      </c>
      <c r="F22" s="18">
        <v>7000</v>
      </c>
      <c r="G22" s="18">
        <f>G21-F22-50</f>
        <v>84150</v>
      </c>
      <c r="H22" s="16" t="s">
        <v>15</v>
      </c>
    </row>
    <row r="23" spans="1:8" x14ac:dyDescent="0.25">
      <c r="A23" s="15">
        <v>46304</v>
      </c>
      <c r="B23" s="16" t="s">
        <v>48</v>
      </c>
      <c r="C23" s="17" t="s">
        <v>49</v>
      </c>
      <c r="D23" s="16" t="s">
        <v>10</v>
      </c>
      <c r="E23" s="16" t="s">
        <v>8</v>
      </c>
      <c r="F23" s="18">
        <v>8200</v>
      </c>
      <c r="G23" s="18">
        <f t="shared" si="0"/>
        <v>75950</v>
      </c>
      <c r="H23" s="16"/>
    </row>
    <row r="24" spans="1:8" ht="30" x14ac:dyDescent="0.25">
      <c r="A24" s="15">
        <v>46304</v>
      </c>
      <c r="B24" s="16" t="s">
        <v>48</v>
      </c>
      <c r="C24" s="17" t="s">
        <v>50</v>
      </c>
      <c r="D24" s="16" t="s">
        <v>10</v>
      </c>
      <c r="E24" s="16" t="s">
        <v>8</v>
      </c>
      <c r="F24" s="18">
        <v>10600</v>
      </c>
      <c r="G24" s="18">
        <f>G23-F24-50</f>
        <v>65300</v>
      </c>
      <c r="H24" s="16" t="s">
        <v>15</v>
      </c>
    </row>
    <row r="25" spans="1:8" ht="30" x14ac:dyDescent="0.25">
      <c r="A25" s="15">
        <v>46304</v>
      </c>
      <c r="B25" s="16" t="s">
        <v>51</v>
      </c>
      <c r="C25" s="17" t="s">
        <v>52</v>
      </c>
      <c r="D25" s="16" t="s">
        <v>10</v>
      </c>
      <c r="E25" s="16" t="s">
        <v>8</v>
      </c>
      <c r="F25" s="18">
        <v>4000</v>
      </c>
      <c r="G25" s="18">
        <f t="shared" si="0"/>
        <v>61300</v>
      </c>
      <c r="H25" s="16"/>
    </row>
    <row r="26" spans="1:8" x14ac:dyDescent="0.25">
      <c r="A26" s="15">
        <v>46308</v>
      </c>
      <c r="B26" s="16" t="s">
        <v>53</v>
      </c>
      <c r="C26" s="17" t="s">
        <v>54</v>
      </c>
      <c r="D26" s="16" t="s">
        <v>55</v>
      </c>
      <c r="E26" s="16" t="s">
        <v>8</v>
      </c>
      <c r="F26" s="18">
        <v>55000</v>
      </c>
      <c r="G26" s="18">
        <f t="shared" si="0"/>
        <v>6300</v>
      </c>
      <c r="H26" s="16" t="s">
        <v>11</v>
      </c>
    </row>
    <row r="27" spans="1:8" x14ac:dyDescent="0.25">
      <c r="A27" s="9"/>
      <c r="B27" s="8"/>
      <c r="C27" s="19" t="s">
        <v>7</v>
      </c>
      <c r="D27" s="8"/>
      <c r="E27" s="8"/>
      <c r="F27" s="20">
        <f>SUM(F6:F26)</f>
        <v>194700</v>
      </c>
      <c r="G27" s="10"/>
      <c r="H27" s="8"/>
    </row>
  </sheetData>
  <autoFilter ref="A4:H15" xr:uid="{E0EEF3AC-631D-4990-84C7-90373A782A03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62" id="{F68AB69C-1A2A-4706-8803-F041DC4D7C2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H4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1e0eea-de59-4133-9230-2599a7bd75da">
      <Terms xmlns="http://schemas.microsoft.com/office/infopath/2007/PartnerControls"/>
    </lcf76f155ced4ddcb4097134ff3c332f>
    <TaxCatchAll xmlns="2b15fbc0-7b78-4e5a-a152-65ef2872f1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F04C40883C9C4391CA3BAACC1CF871" ma:contentTypeVersion="17" ma:contentTypeDescription="Create a new document." ma:contentTypeScope="" ma:versionID="1360abb3a402203d041a18200fb5fea8">
  <xsd:schema xmlns:xsd="http://www.w3.org/2001/XMLSchema" xmlns:xs="http://www.w3.org/2001/XMLSchema" xmlns:p="http://schemas.microsoft.com/office/2006/metadata/properties" xmlns:ns2="2b15fbc0-7b78-4e5a-a152-65ef2872f139" xmlns:ns3="f01e0eea-de59-4133-9230-2599a7bd75da" targetNamespace="http://schemas.microsoft.com/office/2006/metadata/properties" ma:root="true" ma:fieldsID="52211bbced4df60051469f2f75031d34" ns2:_="" ns3:_="">
    <xsd:import namespace="2b15fbc0-7b78-4e5a-a152-65ef2872f139"/>
    <xsd:import namespace="f01e0eea-de59-4133-9230-2599a7bd75d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5fbc0-7b78-4e5a-a152-65ef2872f13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8c9170a-203b-4270-8aca-ef61f98cb9b3}" ma:internalName="TaxCatchAll" ma:showField="CatchAllData" ma:web="2b15fbc0-7b78-4e5a-a152-65ef2872f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e0eea-de59-4133-9230-2599a7bd75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27b13d-83c2-4987-a62c-d2e7fefe69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FC479-EA00-43FC-AF49-AAFC4D94A8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3E7E61-9F04-454C-AA83-3F84D00E22B3}">
  <ds:schemaRefs>
    <ds:schemaRef ds:uri="http://schemas.microsoft.com/office/2006/metadata/properties"/>
    <ds:schemaRef ds:uri="http://schemas.microsoft.com/office/infopath/2007/PartnerControls"/>
    <ds:schemaRef ds:uri="f01e0eea-de59-4133-9230-2599a7bd75da"/>
    <ds:schemaRef ds:uri="2b15fbc0-7b78-4e5a-a152-65ef2872f139"/>
  </ds:schemaRefs>
</ds:datastoreItem>
</file>

<file path=customXml/itemProps3.xml><?xml version="1.0" encoding="utf-8"?>
<ds:datastoreItem xmlns:ds="http://schemas.openxmlformats.org/officeDocument/2006/customXml" ds:itemID="{08E7F3A0-834D-4C4F-9123-EB38B3876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5fbc0-7b78-4e5a-a152-65ef2872f139"/>
    <ds:schemaRef ds:uri="f01e0eea-de59-4133-9230-2599a7bd7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Ifeanyi Emesiana</dc:creator>
  <cp:keywords/>
  <dc:description/>
  <cp:lastModifiedBy>Finance Intern</cp:lastModifiedBy>
  <cp:revision/>
  <dcterms:created xsi:type="dcterms:W3CDTF">2025-05-22T12:51:12Z</dcterms:created>
  <dcterms:modified xsi:type="dcterms:W3CDTF">2026-10-14T13:28:57Z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0x01010056F04C40883C9C4391CA3BAACC1CF871</vt:lpwstr>
  </property>
  <property fmtid="{D5CDD505-2E9C-101B-9397-08002B2CF9AE}" pid="3" name="MediaServiceImageTags">
    <vt:lpwstr/>
  </property>
</Properties>
</file>