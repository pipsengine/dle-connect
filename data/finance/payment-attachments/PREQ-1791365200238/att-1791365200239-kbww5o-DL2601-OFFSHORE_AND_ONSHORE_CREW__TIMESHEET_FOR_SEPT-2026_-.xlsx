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anwankwo\Downloads\"/>
    </mc:Choice>
  </mc:AlternateContent>
  <xr:revisionPtr revIDLastSave="0" documentId="13_ncr:1_{673FEE5A-2CA8-46AB-B56C-3DD9B19FCF0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EPTEMBER-OFFSHORE" sheetId="8" r:id="rId1"/>
    <sheet name="SEPTEMBER-ONSHORE " sheetId="5" r:id="rId2"/>
    <sheet name="Sept Payment" sheetId="9" r:id="rId3"/>
  </sheets>
  <definedNames>
    <definedName name="_xlnm.Print_Area" localSheetId="0">'SEPTEMBER-OFFSHORE'!$A$1:$AO$62</definedName>
    <definedName name="_xlnm.Print_Area" localSheetId="1">'SEPTEMBER-ONSHORE '!$A$1:$AR$43</definedName>
    <definedName name="_xlnm.Print_Titles" localSheetId="0">'SEPTEMBER-OFFSHORE'!$9:$10</definedName>
    <definedName name="_xlnm.Print_Titles" localSheetId="1">'SEPTEMBER-ONSHORE '!$9:$10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9" l="1"/>
  <c r="B39" i="9"/>
  <c r="I38" i="9"/>
  <c r="K38" i="9" s="1"/>
  <c r="K37" i="9"/>
  <c r="I37" i="9"/>
  <c r="I36" i="9"/>
  <c r="K36" i="9" s="1"/>
  <c r="I35" i="9"/>
  <c r="K35" i="9" s="1"/>
  <c r="I34" i="9"/>
  <c r="K34" i="9" s="1"/>
  <c r="K33" i="9"/>
  <c r="I33" i="9"/>
  <c r="I32" i="9"/>
  <c r="K32" i="9" s="1"/>
  <c r="I31" i="9"/>
  <c r="I30" i="9"/>
  <c r="K30" i="9" s="1"/>
  <c r="K29" i="9"/>
  <c r="I29" i="9"/>
  <c r="I28" i="9"/>
  <c r="I27" i="9"/>
  <c r="I26" i="9"/>
  <c r="J26" i="9" s="1"/>
  <c r="K26" i="9" s="1"/>
  <c r="I25" i="9"/>
  <c r="J24" i="9"/>
  <c r="K24" i="9" s="1"/>
  <c r="I24" i="9"/>
  <c r="I23" i="9"/>
  <c r="I22" i="9"/>
  <c r="K21" i="9"/>
  <c r="J21" i="9"/>
  <c r="I21" i="9"/>
  <c r="I20" i="9"/>
  <c r="I19" i="9"/>
  <c r="I18" i="9"/>
  <c r="J18" i="9" s="1"/>
  <c r="K18" i="9" s="1"/>
  <c r="I17" i="9"/>
  <c r="J16" i="9"/>
  <c r="I16" i="9"/>
  <c r="K16" i="9" s="1"/>
  <c r="I15" i="9"/>
  <c r="I14" i="9"/>
  <c r="K13" i="9"/>
  <c r="J13" i="9"/>
  <c r="I13" i="9"/>
  <c r="I12" i="9"/>
  <c r="I11" i="9"/>
  <c r="I10" i="9"/>
  <c r="J10" i="9" s="1"/>
  <c r="K10" i="9" s="1"/>
  <c r="I9" i="9"/>
  <c r="J8" i="9"/>
  <c r="I8" i="9"/>
  <c r="K8" i="9" s="1"/>
  <c r="I7" i="9"/>
  <c r="I6" i="9"/>
  <c r="K5" i="9"/>
  <c r="I5" i="9"/>
  <c r="I4" i="9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53" i="8"/>
  <c r="AM54" i="8"/>
  <c r="AL12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6" i="8"/>
  <c r="AL27" i="8"/>
  <c r="AL28" i="8"/>
  <c r="AL29" i="8"/>
  <c r="AL30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N54" i="8"/>
  <c r="AL54" i="8"/>
  <c r="AN53" i="8"/>
  <c r="AL53" i="8"/>
  <c r="AN52" i="8"/>
  <c r="AL52" i="8"/>
  <c r="AN51" i="8"/>
  <c r="AL51" i="8"/>
  <c r="AN50" i="8"/>
  <c r="AL50" i="8"/>
  <c r="AN49" i="8"/>
  <c r="AL49" i="8"/>
  <c r="AN48" i="8"/>
  <c r="AL48" i="8"/>
  <c r="AN47" i="8"/>
  <c r="AL47" i="8"/>
  <c r="AN46" i="8"/>
  <c r="AL46" i="8"/>
  <c r="AN45" i="8"/>
  <c r="AL45" i="8"/>
  <c r="AM11" i="8"/>
  <c r="AL11" i="8"/>
  <c r="AP15" i="5"/>
  <c r="K11" i="9" l="1"/>
  <c r="K12" i="9"/>
  <c r="K17" i="9"/>
  <c r="K23" i="9"/>
  <c r="K6" i="9"/>
  <c r="K25" i="9"/>
  <c r="K15" i="9"/>
  <c r="J11" i="9"/>
  <c r="J19" i="9"/>
  <c r="K19" i="9" s="1"/>
  <c r="J27" i="9"/>
  <c r="K27" i="9" s="1"/>
  <c r="J6" i="9"/>
  <c r="J14" i="9"/>
  <c r="K14" i="9" s="1"/>
  <c r="J22" i="9"/>
  <c r="K22" i="9" s="1"/>
  <c r="J9" i="9"/>
  <c r="K9" i="9" s="1"/>
  <c r="J17" i="9"/>
  <c r="J25" i="9"/>
  <c r="J31" i="9"/>
  <c r="K31" i="9" s="1"/>
  <c r="J12" i="9"/>
  <c r="J20" i="9"/>
  <c r="K20" i="9" s="1"/>
  <c r="J28" i="9"/>
  <c r="K28" i="9" s="1"/>
  <c r="J4" i="9"/>
  <c r="K4" i="9" s="1"/>
  <c r="J7" i="9"/>
  <c r="K7" i="9" s="1"/>
  <c r="J15" i="9"/>
  <c r="J23" i="9"/>
  <c r="I39" i="9"/>
  <c r="AL56" i="8"/>
  <c r="AM56" i="8"/>
  <c r="AN56" i="8"/>
  <c r="AQ35" i="5"/>
  <c r="AP35" i="5"/>
  <c r="AO35" i="5"/>
  <c r="AQ34" i="5"/>
  <c r="AP34" i="5"/>
  <c r="AO34" i="5"/>
  <c r="AQ33" i="5"/>
  <c r="AP33" i="5"/>
  <c r="AO33" i="5"/>
  <c r="AQ32" i="5"/>
  <c r="AP32" i="5"/>
  <c r="AO32" i="5"/>
  <c r="AQ31" i="5"/>
  <c r="AP31" i="5"/>
  <c r="AO31" i="5"/>
  <c r="AQ30" i="5"/>
  <c r="AP30" i="5"/>
  <c r="AO30" i="5"/>
  <c r="AQ29" i="5"/>
  <c r="AP29" i="5"/>
  <c r="AO29" i="5"/>
  <c r="AQ28" i="5"/>
  <c r="AP28" i="5"/>
  <c r="AO28" i="5"/>
  <c r="AQ27" i="5"/>
  <c r="AP27" i="5"/>
  <c r="AO27" i="5"/>
  <c r="AQ26" i="5"/>
  <c r="AP26" i="5"/>
  <c r="AO26" i="5"/>
  <c r="AQ25" i="5"/>
  <c r="AP25" i="5"/>
  <c r="AO25" i="5"/>
  <c r="AQ24" i="5"/>
  <c r="AP24" i="5"/>
  <c r="AO24" i="5"/>
  <c r="AQ23" i="5"/>
  <c r="AP23" i="5"/>
  <c r="AO23" i="5"/>
  <c r="AQ22" i="5"/>
  <c r="AP22" i="5"/>
  <c r="AO22" i="5"/>
  <c r="AP21" i="5"/>
  <c r="AO21" i="5"/>
  <c r="AQ20" i="5"/>
  <c r="AP20" i="5"/>
  <c r="AO20" i="5"/>
  <c r="AQ19" i="5"/>
  <c r="AP19" i="5"/>
  <c r="AO19" i="5"/>
  <c r="AQ18" i="5"/>
  <c r="AP18" i="5"/>
  <c r="AO18" i="5"/>
  <c r="AP17" i="5"/>
  <c r="AO17" i="5"/>
  <c r="AQ16" i="5"/>
  <c r="AP16" i="5"/>
  <c r="AO16" i="5"/>
  <c r="AQ15" i="5"/>
  <c r="AO15" i="5"/>
  <c r="AQ14" i="5"/>
  <c r="AP14" i="5"/>
  <c r="AO14" i="5"/>
  <c r="AQ13" i="5"/>
  <c r="AP13" i="5"/>
  <c r="AO13" i="5"/>
  <c r="AP12" i="5"/>
  <c r="AO12" i="5"/>
  <c r="AQ11" i="5"/>
  <c r="AP11" i="5"/>
  <c r="AO11" i="5"/>
  <c r="K39" i="9" l="1"/>
  <c r="J39" i="9"/>
  <c r="AO37" i="5"/>
  <c r="AP37" i="5"/>
  <c r="AQ37" i="5"/>
</calcChain>
</file>

<file path=xl/sharedStrings.xml><?xml version="1.0" encoding="utf-8"?>
<sst xmlns="http://schemas.openxmlformats.org/spreadsheetml/2006/main" count="557" uniqueCount="247">
  <si>
    <t>POSITION</t>
  </si>
  <si>
    <t>MHr</t>
  </si>
  <si>
    <t>Days</t>
  </si>
  <si>
    <t>TOTAL</t>
  </si>
  <si>
    <t>Month</t>
  </si>
  <si>
    <t>Year</t>
  </si>
  <si>
    <t>NIGERIAN NATIONAL</t>
  </si>
  <si>
    <t>Stand-by</t>
  </si>
  <si>
    <t>Date:</t>
  </si>
  <si>
    <t>SIGNATURES</t>
  </si>
  <si>
    <t>NO</t>
  </si>
  <si>
    <t>ST</t>
  </si>
  <si>
    <t>DP</t>
  </si>
  <si>
    <t>De-scheduled</t>
  </si>
  <si>
    <t>ABSENCE NOT PAYABLE</t>
  </si>
  <si>
    <t>Q</t>
  </si>
  <si>
    <t>Quarantine</t>
  </si>
  <si>
    <t>DORMANLONG</t>
  </si>
  <si>
    <t>FIRST NAME</t>
  </si>
  <si>
    <t>SURNAME</t>
  </si>
  <si>
    <t>Scaffolder</t>
  </si>
  <si>
    <t>MISSION</t>
  </si>
  <si>
    <t>OT</t>
  </si>
  <si>
    <t>Prepared By</t>
  </si>
  <si>
    <t>yp</t>
  </si>
  <si>
    <t>OLAMIDE BADETAN</t>
  </si>
  <si>
    <t>wed</t>
  </si>
  <si>
    <t>thur</t>
  </si>
  <si>
    <t>fri</t>
  </si>
  <si>
    <t>sat</t>
  </si>
  <si>
    <t>sun</t>
  </si>
  <si>
    <t>mon</t>
  </si>
  <si>
    <t>tue</t>
  </si>
  <si>
    <t>OFFSHORE  CREW TIMESHEET</t>
  </si>
  <si>
    <t>IDRIS ABUBAKAR</t>
  </si>
  <si>
    <t>OJONG AKONG</t>
  </si>
  <si>
    <t xml:space="preserve">DL2601-ABIGAIL JOSEPH FPSO NAG MODIFICATION PROJECT </t>
  </si>
  <si>
    <t>ONSHORE  CREW TIMESHEET (MARCONI BASE)</t>
  </si>
  <si>
    <t>Fitter</t>
  </si>
  <si>
    <t>AGBO SESE</t>
  </si>
  <si>
    <t>SUNDAY</t>
  </si>
  <si>
    <t xml:space="preserve">MONDAY </t>
  </si>
  <si>
    <t>MBOCHI</t>
  </si>
  <si>
    <t>OUTSTATION ALLOWANCE</t>
  </si>
  <si>
    <t>Welder</t>
  </si>
  <si>
    <t xml:space="preserve">Stanley </t>
  </si>
  <si>
    <t>Okon</t>
  </si>
  <si>
    <t>Rigger</t>
  </si>
  <si>
    <t>Akong</t>
  </si>
  <si>
    <t>Ojong</t>
  </si>
  <si>
    <t>Benjamin</t>
  </si>
  <si>
    <t xml:space="preserve">James </t>
  </si>
  <si>
    <t xml:space="preserve">Alonge Gbade </t>
  </si>
  <si>
    <t>Yunusa</t>
  </si>
  <si>
    <t>Wejimogu</t>
  </si>
  <si>
    <t xml:space="preserve"> Sam Praise</t>
  </si>
  <si>
    <t xml:space="preserve">Unyime Edem </t>
  </si>
  <si>
    <t>Tobechukwu</t>
  </si>
  <si>
    <t xml:space="preserve"> Osisi</t>
  </si>
  <si>
    <t>Scaffolder Supervisor</t>
  </si>
  <si>
    <t>Gabriel</t>
  </si>
  <si>
    <t>Kokotu</t>
  </si>
  <si>
    <t xml:space="preserve">Solomon </t>
  </si>
  <si>
    <t>Ekewtafia</t>
  </si>
  <si>
    <t>Lawal</t>
  </si>
  <si>
    <t>Adeshina Ambali</t>
  </si>
  <si>
    <t>Udoinyang</t>
  </si>
  <si>
    <t>Titus Ekpo</t>
  </si>
  <si>
    <t>Mohammed</t>
  </si>
  <si>
    <t>Rigger supervisor</t>
  </si>
  <si>
    <t xml:space="preserve">Adeniyi </t>
  </si>
  <si>
    <t>Joseph</t>
  </si>
  <si>
    <t>Ojada</t>
  </si>
  <si>
    <t>Famous</t>
  </si>
  <si>
    <t>Anthony Kanayochukwu</t>
  </si>
  <si>
    <t>Njoku</t>
  </si>
  <si>
    <t>Ibrahim</t>
  </si>
  <si>
    <t>Ovat</t>
  </si>
  <si>
    <t>David</t>
  </si>
  <si>
    <t>Jeremiah</t>
  </si>
  <si>
    <t>Welder Supervisor</t>
  </si>
  <si>
    <t>Shittu</t>
  </si>
  <si>
    <t xml:space="preserve">Ugochukwu Valins </t>
  </si>
  <si>
    <t>Amadi</t>
  </si>
  <si>
    <t>Construction Mgr</t>
  </si>
  <si>
    <t>Olawale T.</t>
  </si>
  <si>
    <t>Green</t>
  </si>
  <si>
    <t>SEPT</t>
  </si>
  <si>
    <t>Rope access scaffolder L2</t>
  </si>
  <si>
    <t>Rope Access Scaffolder level 1</t>
  </si>
  <si>
    <t>Onyeaga</t>
  </si>
  <si>
    <t xml:space="preserve"> Ifeanyi Emmanuel</t>
  </si>
  <si>
    <t>Rope access scaffolder L3</t>
  </si>
  <si>
    <t xml:space="preserve"> Moshood</t>
  </si>
  <si>
    <t>Abiodun</t>
  </si>
  <si>
    <t>Nwaobilor</t>
  </si>
  <si>
    <t xml:space="preserve">Sampson </t>
  </si>
  <si>
    <t>Humphrey Isirimah</t>
  </si>
  <si>
    <t>Isirimah</t>
  </si>
  <si>
    <t>Omoyibo</t>
  </si>
  <si>
    <t xml:space="preserve"> Benedict</t>
  </si>
  <si>
    <t>Onaji</t>
  </si>
  <si>
    <t xml:space="preserve"> Maduabuchi</t>
  </si>
  <si>
    <t>Ilo</t>
  </si>
  <si>
    <t xml:space="preserve">George Chinedu </t>
  </si>
  <si>
    <t>Nwali</t>
  </si>
  <si>
    <t>Benard</t>
  </si>
  <si>
    <t>Patrick Obi</t>
  </si>
  <si>
    <t>Okebaram</t>
  </si>
  <si>
    <t xml:space="preserve">Stanley Odinanma </t>
  </si>
  <si>
    <t>Scaffolder Inspector</t>
  </si>
  <si>
    <t>Benson</t>
  </si>
  <si>
    <t>Ozah</t>
  </si>
  <si>
    <t>Stanley</t>
  </si>
  <si>
    <t>Nwabueze</t>
  </si>
  <si>
    <t>Tamuno</t>
  </si>
  <si>
    <t xml:space="preserve">James Pepple </t>
  </si>
  <si>
    <t>Donatus</t>
  </si>
  <si>
    <t>Fred Micah</t>
  </si>
  <si>
    <t>DL2601-OFFSHORE AND ONSHORE CREW  TIMESHEET FOR JULY 2026</t>
  </si>
  <si>
    <t>S/No.</t>
  </si>
  <si>
    <t>Days Worked</t>
  </si>
  <si>
    <t>Location</t>
  </si>
  <si>
    <t>Day Rate</t>
  </si>
  <si>
    <t>Employment Type</t>
  </si>
  <si>
    <t>Net Pay</t>
  </si>
  <si>
    <t>Tax (WHT)</t>
  </si>
  <si>
    <t>Total Cost</t>
  </si>
  <si>
    <t>Account Name</t>
  </si>
  <si>
    <t>Account Number</t>
  </si>
  <si>
    <t>Bank Name</t>
  </si>
  <si>
    <t>Remarks</t>
  </si>
  <si>
    <t>OnShore</t>
  </si>
  <si>
    <t>Outsourced</t>
  </si>
  <si>
    <t xml:space="preserve">AGBO SESE SUNDAY </t>
  </si>
  <si>
    <t xml:space="preserve"> 0931070418</t>
  </si>
  <si>
    <t>EcoBank</t>
  </si>
  <si>
    <t>Contract Staff</t>
  </si>
  <si>
    <t>MONDAY MBOCHI</t>
  </si>
  <si>
    <t>6050583110</t>
  </si>
  <si>
    <t>Fidelity Bank</t>
  </si>
  <si>
    <t>Outstation Allowance</t>
  </si>
  <si>
    <t>OffShore</t>
  </si>
  <si>
    <t>James Benjamin Ndome</t>
  </si>
  <si>
    <t>2113223594</t>
  </si>
  <si>
    <t>UBA</t>
  </si>
  <si>
    <t>Alonge Gbade Yunusa</t>
  </si>
  <si>
    <t>0010909723</t>
  </si>
  <si>
    <t>GT Bank</t>
  </si>
  <si>
    <t>Ambali lawal Adeshina</t>
  </si>
  <si>
    <t xml:space="preserve">0039508398 </t>
  </si>
  <si>
    <t>GTBank</t>
  </si>
  <si>
    <t>Rope Access Scaffolder Level 1</t>
  </si>
  <si>
    <t>Ekwetafia Solomon Onoriode</t>
  </si>
  <si>
    <t>2050802351</t>
  </si>
  <si>
    <t>Offshore</t>
  </si>
  <si>
    <t>Kokotu Gabriel</t>
  </si>
  <si>
    <t>3006185997</t>
  </si>
  <si>
    <t>First Bank</t>
  </si>
  <si>
    <t>Osisi</t>
  </si>
  <si>
    <t>OSISI TOBECHUKWU</t>
  </si>
  <si>
    <t>0261031262</t>
  </si>
  <si>
    <t>GT BANK</t>
  </si>
  <si>
    <t>Sam Praise</t>
  </si>
  <si>
    <t>SAM PRAISE WEJIMOGU.</t>
  </si>
  <si>
    <t>2087331282</t>
  </si>
  <si>
    <t>ZENITH BANK.</t>
  </si>
  <si>
    <t>Stanley Nwabueze</t>
  </si>
  <si>
    <t>0153253325</t>
  </si>
  <si>
    <t>UNYIME EDEM OKON</t>
  </si>
  <si>
    <t>3141050499</t>
  </si>
  <si>
    <t>FIRST BANK</t>
  </si>
  <si>
    <t>Titus Ekpo Udoinyang</t>
  </si>
  <si>
    <t>0814314209</t>
  </si>
  <si>
    <t>Access Bank</t>
  </si>
  <si>
    <t>Ifeanyi Emmanuel</t>
  </si>
  <si>
    <t xml:space="preserve">Joseph </t>
  </si>
  <si>
    <t xml:space="preserve"> Joseph Green  </t>
  </si>
  <si>
    <t>2082493626</t>
  </si>
  <si>
    <t xml:space="preserve">Zenith Bank </t>
  </si>
  <si>
    <t xml:space="preserve">ADENIYI JOSEPH  </t>
  </si>
  <si>
    <t>2188685084</t>
  </si>
  <si>
    <t>United Bank for Africa Plc</t>
  </si>
  <si>
    <t>Offshore Allowance</t>
  </si>
  <si>
    <t>Construction Engineer</t>
  </si>
  <si>
    <t>AKONG OJONG</t>
  </si>
  <si>
    <t>0114629891</t>
  </si>
  <si>
    <t>Anthony Njoku</t>
  </si>
  <si>
    <t>2189574545</t>
  </si>
  <si>
    <t>Zenith Bank</t>
  </si>
  <si>
    <t xml:space="preserve">DAVID JEREMIAH  </t>
  </si>
  <si>
    <t>2251223076</t>
  </si>
  <si>
    <t>Zenith Bank Plc</t>
  </si>
  <si>
    <t xml:space="preserve">Fred Micah </t>
  </si>
  <si>
    <t>FRED MICAH DONATUS</t>
  </si>
  <si>
    <t>2003154957</t>
  </si>
  <si>
    <t>ZENITH BANK</t>
  </si>
  <si>
    <t xml:space="preserve">IBRAHIM MOHAMMED  </t>
  </si>
  <si>
    <t>0026316672</t>
  </si>
  <si>
    <t>Guaranty Trust Bank Plc</t>
  </si>
  <si>
    <t xml:space="preserve">OJADA FAMOUS  </t>
  </si>
  <si>
    <t>3068413463</t>
  </si>
  <si>
    <t>First Bank of Nigeria Limited</t>
  </si>
  <si>
    <t xml:space="preserve">OLAWALE SHITTU  </t>
  </si>
  <si>
    <t>0664256978</t>
  </si>
  <si>
    <t xml:space="preserve">STANLEY OVAT  </t>
  </si>
  <si>
    <t>2190497792</t>
  </si>
  <si>
    <t xml:space="preserve">AMADI VALINS  </t>
  </si>
  <si>
    <t>2267726679</t>
  </si>
  <si>
    <t>Total</t>
  </si>
  <si>
    <t>Row Labels</t>
  </si>
  <si>
    <t>Count of Employment Type</t>
  </si>
  <si>
    <t>Sum of Net Pay</t>
  </si>
  <si>
    <t>Sum of Total Cost</t>
  </si>
  <si>
    <t>Grand Total</t>
  </si>
  <si>
    <t>Approver</t>
  </si>
  <si>
    <t>Name</t>
  </si>
  <si>
    <t>Signature</t>
  </si>
  <si>
    <t>ACTING HEAD: HR &amp; A</t>
  </si>
  <si>
    <t>---------------------------------------------</t>
  </si>
  <si>
    <t>PROJECT MANAGER</t>
  </si>
  <si>
    <t>----------------------------------------------</t>
  </si>
  <si>
    <t>GM OPERATIONS</t>
  </si>
  <si>
    <t>-----------------------------------------------</t>
  </si>
  <si>
    <t>CFO</t>
  </si>
  <si>
    <t>Solomon Onaji</t>
  </si>
  <si>
    <t>0001721264</t>
  </si>
  <si>
    <t xml:space="preserve">Stanbic IBTC Bank </t>
  </si>
  <si>
    <t>Emmanuel Ifeanyi Onyeaga</t>
  </si>
  <si>
    <t>OZAH BENSON</t>
  </si>
  <si>
    <t>Abiodun moshood oyelade</t>
  </si>
  <si>
    <t>NWAOBILOR SAMPSON C.</t>
  </si>
  <si>
    <t>3050924017</t>
  </si>
  <si>
    <t>FCMB</t>
  </si>
  <si>
    <t xml:space="preserve">ILO Maduabuchi Nkemakonam </t>
  </si>
  <si>
    <t>2030279962</t>
  </si>
  <si>
    <t>Omoyibo Benedict</t>
  </si>
  <si>
    <t>Nwali Chinedu George.</t>
  </si>
  <si>
    <t>2011932653</t>
  </si>
  <si>
    <t xml:space="preserve"> OBI PATRICK</t>
  </si>
  <si>
    <t>0047101699</t>
  </si>
  <si>
    <t>Gtb Bank</t>
  </si>
  <si>
    <t>STANLEY ODINANMA OKEBARAM</t>
  </si>
  <si>
    <t>0041844218</t>
  </si>
  <si>
    <t>Access Bank Nigeria</t>
  </si>
  <si>
    <t>James T. Pepple</t>
  </si>
  <si>
    <t>United Bank for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</si>
</sst>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mmm;@"/>
    <numFmt numFmtId="165" formatCode="dd"/>
    <numFmt numFmtId="166" formatCode="ddd"/>
    <numFmt numFmtId="167" formatCode="[$-409]dd/mmm/yy;@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4"/>
      <color theme="1"/>
      <name val="Arial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sz val="10"/>
      <color rgb="FF000000"/>
      <name val="Aptos"/>
      <family val="2"/>
      <charset val="1"/>
    </font>
    <font>
      <sz val="9"/>
      <color theme="1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ED7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2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9" fillId="0" borderId="0" xfId="0" applyFont="1"/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166" fontId="1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167" fontId="0" fillId="0" borderId="11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0" fillId="0" borderId="19" xfId="0" applyBorder="1" applyAlignment="1">
      <alignment horizontal="left" vertical="center" indent="1"/>
    </xf>
    <xf numFmtId="0" fontId="10" fillId="0" borderId="0" xfId="0" applyFont="1" applyAlignment="1">
      <alignment horizontal="left" vertical="center" indent="2"/>
    </xf>
    <xf numFmtId="43" fontId="14" fillId="0" borderId="0" xfId="1" applyFont="1"/>
    <xf numFmtId="43" fontId="14" fillId="0" borderId="0" xfId="1" applyFont="1" applyBorder="1"/>
    <xf numFmtId="43" fontId="13" fillId="0" borderId="0" xfId="1" applyFont="1"/>
    <xf numFmtId="0" fontId="14" fillId="0" borderId="0" xfId="0" applyFont="1"/>
    <xf numFmtId="0" fontId="14" fillId="0" borderId="0" xfId="0" applyFont="1" applyAlignment="1">
      <alignment horizontal="left"/>
    </xf>
    <xf numFmtId="0" fontId="13" fillId="0" borderId="24" xfId="0" applyFont="1" applyBorder="1"/>
    <xf numFmtId="0" fontId="13" fillId="0" borderId="26" xfId="0" applyFont="1" applyBorder="1"/>
    <xf numFmtId="43" fontId="13" fillId="0" borderId="26" xfId="1" applyFont="1" applyBorder="1"/>
    <xf numFmtId="43" fontId="13" fillId="0" borderId="0" xfId="1" applyFont="1" applyBorder="1"/>
    <xf numFmtId="43" fontId="13" fillId="0" borderId="4" xfId="1" applyFont="1" applyBorder="1"/>
    <xf numFmtId="43" fontId="13" fillId="0" borderId="27" xfId="1" applyFont="1" applyBorder="1"/>
    <xf numFmtId="43" fontId="13" fillId="0" borderId="26" xfId="1" applyFont="1" applyBorder="1" applyAlignment="1">
      <alignment horizontal="left"/>
    </xf>
    <xf numFmtId="0" fontId="14" fillId="0" borderId="1" xfId="0" applyFont="1" applyBorder="1"/>
    <xf numFmtId="43" fontId="14" fillId="0" borderId="1" xfId="1" applyFont="1" applyFill="1" applyBorder="1"/>
    <xf numFmtId="43" fontId="13" fillId="0" borderId="1" xfId="1" applyFont="1" applyFill="1" applyBorder="1"/>
    <xf numFmtId="0" fontId="14" fillId="0" borderId="1" xfId="1" quotePrefix="1" applyNumberFormat="1" applyFont="1" applyFill="1" applyBorder="1"/>
    <xf numFmtId="43" fontId="14" fillId="0" borderId="1" xfId="1" applyFont="1" applyFill="1" applyBorder="1" applyAlignment="1"/>
    <xf numFmtId="43" fontId="14" fillId="0" borderId="1" xfId="1" applyFont="1" applyFill="1" applyBorder="1" applyAlignment="1">
      <alignment horizontal="left"/>
    </xf>
    <xf numFmtId="0" fontId="14" fillId="10" borderId="1" xfId="0" applyFont="1" applyFill="1" applyBorder="1"/>
    <xf numFmtId="43" fontId="14" fillId="10" borderId="1" xfId="1" applyFont="1" applyFill="1" applyBorder="1"/>
    <xf numFmtId="43" fontId="13" fillId="10" borderId="1" xfId="1" applyFont="1" applyFill="1" applyBorder="1"/>
    <xf numFmtId="43" fontId="14" fillId="10" borderId="1" xfId="1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quotePrefix="1" applyFont="1" applyBorder="1" applyAlignment="1">
      <alignment horizontal="left"/>
    </xf>
    <xf numFmtId="43" fontId="14" fillId="0" borderId="1" xfId="1" applyFont="1" applyBorder="1"/>
    <xf numFmtId="0" fontId="15" fillId="11" borderId="1" xfId="0" applyFont="1" applyFill="1" applyBorder="1" applyAlignment="1">
      <alignment horizontal="left" vertical="center"/>
    </xf>
    <xf numFmtId="0" fontId="15" fillId="0" borderId="1" xfId="0" quotePrefix="1" applyFont="1" applyBorder="1" applyAlignment="1">
      <alignment horizontal="left" vertical="center"/>
    </xf>
    <xf numFmtId="0" fontId="15" fillId="11" borderId="1" xfId="0" applyFont="1" applyFill="1" applyBorder="1" applyAlignment="1">
      <alignment vertical="center"/>
    </xf>
    <xf numFmtId="0" fontId="14" fillId="10" borderId="1" xfId="1" quotePrefix="1" applyNumberFormat="1" applyFont="1" applyFill="1" applyBorder="1"/>
    <xf numFmtId="43" fontId="14" fillId="12" borderId="1" xfId="1" applyFont="1" applyFill="1" applyBorder="1"/>
    <xf numFmtId="0" fontId="14" fillId="0" borderId="24" xfId="0" applyFont="1" applyBorder="1"/>
    <xf numFmtId="0" fontId="14" fillId="0" borderId="26" xfId="0" applyFont="1" applyBorder="1"/>
    <xf numFmtId="43" fontId="14" fillId="0" borderId="26" xfId="0" applyNumberFormat="1" applyFont="1" applyBorder="1"/>
    <xf numFmtId="43" fontId="14" fillId="0" borderId="0" xfId="0" applyNumberFormat="1" applyFont="1"/>
    <xf numFmtId="0" fontId="14" fillId="0" borderId="28" xfId="0" applyFont="1" applyBorder="1"/>
    <xf numFmtId="0" fontId="14" fillId="0" borderId="28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0" applyNumberFormat="1" applyBorder="1"/>
    <xf numFmtId="0" fontId="16" fillId="13" borderId="0" xfId="0" applyFont="1" applyFill="1"/>
    <xf numFmtId="0" fontId="17" fillId="13" borderId="0" xfId="0" applyFont="1" applyFill="1"/>
    <xf numFmtId="0" fontId="13" fillId="0" borderId="0" xfId="0" applyFont="1" applyAlignment="1">
      <alignment wrapText="1"/>
    </xf>
    <xf numFmtId="0" fontId="14" fillId="0" borderId="0" xfId="0" quotePrefix="1" applyFont="1" applyAlignment="1">
      <alignment horizontal="left"/>
    </xf>
    <xf numFmtId="0" fontId="0" fillId="0" borderId="1" xfId="0" pivotButton="1" applyBorder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indent="2"/>
    </xf>
    <xf numFmtId="0" fontId="0" fillId="0" borderId="18" xfId="0" applyBorder="1" applyAlignment="1">
      <alignment horizontal="left" vertical="center" indent="1"/>
    </xf>
    <xf numFmtId="0" fontId="0" fillId="0" borderId="19" xfId="0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indent="1"/>
    </xf>
    <xf numFmtId="0" fontId="1" fillId="0" borderId="11" xfId="0" applyFont="1" applyBorder="1" applyAlignment="1">
      <alignment horizontal="left" vertical="center" indent="1"/>
    </xf>
    <xf numFmtId="167" fontId="0" fillId="0" borderId="11" xfId="0" applyNumberFormat="1" applyBorder="1" applyAlignment="1">
      <alignment horizontal="center" vertical="center"/>
    </xf>
    <xf numFmtId="0" fontId="1" fillId="0" borderId="17" xfId="0" applyFont="1" applyBorder="1" applyAlignment="1">
      <alignment horizontal="left" vertical="center" indent="1"/>
    </xf>
    <xf numFmtId="0" fontId="13" fillId="0" borderId="0" xfId="0" applyFont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49" fontId="14" fillId="0" borderId="1" xfId="0" quotePrefix="1" applyNumberFormat="1" applyFont="1" applyBorder="1" applyAlignment="1">
      <alignment horizontal="left"/>
    </xf>
    <xf numFmtId="0" fontId="14" fillId="0" borderId="29" xfId="0" applyFont="1" applyBorder="1" applyAlignment="1">
      <alignment horizontal="left" vertical="center" wrapText="1"/>
    </xf>
    <xf numFmtId="0" fontId="14" fillId="0" borderId="29" xfId="0" quotePrefix="1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14" fillId="0" borderId="31" xfId="0" quotePrefix="1" applyFont="1" applyBorder="1" applyAlignment="1">
      <alignment horizontal="left"/>
    </xf>
    <xf numFmtId="0" fontId="18" fillId="0" borderId="29" xfId="0" applyFont="1" applyBorder="1"/>
    <xf numFmtId="0" fontId="15" fillId="0" borderId="30" xfId="0" applyFont="1" applyBorder="1" applyAlignment="1">
      <alignment wrapText="1"/>
    </xf>
    <xf numFmtId="0" fontId="14" fillId="0" borderId="30" xfId="0" quotePrefix="1" applyFont="1" applyBorder="1" applyAlignment="1">
      <alignment horizontal="left"/>
    </xf>
    <xf numFmtId="0" fontId="14" fillId="0" borderId="30" xfId="0" applyFont="1" applyBorder="1" applyAlignment="1">
      <alignment horizontal="left" wrapText="1"/>
    </xf>
    <xf numFmtId="43" fontId="19" fillId="0" borderId="1" xfId="1" applyFont="1" applyBorder="1" applyAlignment="1">
      <alignment wrapText="1"/>
    </xf>
    <xf numFmtId="0" fontId="14" fillId="0" borderId="1" xfId="1" quotePrefix="1" applyNumberFormat="1" applyFont="1" applyBorder="1"/>
    <xf numFmtId="43" fontId="14" fillId="0" borderId="28" xfId="1" applyFont="1" applyBorder="1"/>
    <xf numFmtId="0" fontId="14" fillId="0" borderId="29" xfId="0" applyFont="1" applyBorder="1" applyAlignment="1">
      <alignment horizontal="left" wrapText="1"/>
    </xf>
    <xf numFmtId="0" fontId="14" fillId="0" borderId="1" xfId="1" quotePrefix="1" applyNumberFormat="1" applyFont="1" applyFill="1" applyBorder="1" applyAlignment="1">
      <alignment horizontal="left"/>
    </xf>
    <xf numFmtId="0" fontId="14" fillId="0" borderId="1" xfId="1" applyNumberFormat="1" applyFont="1" applyFill="1" applyBorder="1" applyAlignment="1">
      <alignment horizontal="left"/>
    </xf>
    <xf numFmtId="0" fontId="14" fillId="0" borderId="1" xfId="0" applyFont="1" applyBorder="1" applyAlignment="1">
      <alignment horizontal="left" vertical="center" wrapText="1"/>
    </xf>
    <xf numFmtId="0" fontId="18" fillId="0" borderId="1" xfId="0" applyFont="1" applyBorder="1"/>
    <xf numFmtId="0" fontId="14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 tint="-0.499984740745262"/>
      </font>
    </dxf>
    <dxf>
      <font>
        <color rgb="FFFF0000"/>
      </font>
    </dxf>
    <dxf>
      <fill>
        <patternFill>
          <bgColor rgb="FF99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 tint="-0.499984740745262"/>
      </font>
    </dxf>
    <dxf>
      <fill>
        <patternFill>
          <bgColor rgb="FF99CCFF"/>
        </patternFill>
      </fill>
    </dxf>
    <dxf>
      <font>
        <color rgb="FFFF0000"/>
      </font>
    </dxf>
    <dxf>
      <fill>
        <patternFill>
          <bgColor rgb="FF99CCFF"/>
        </patternFill>
      </fill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99CCFF"/>
      <color rgb="FFFF0000"/>
      <color rgb="FF6699FF"/>
      <color rgb="FFFFFFCC"/>
      <color rgb="FF33CCFF"/>
      <color rgb="FFFFFF99"/>
      <color rgb="FFBED7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141515</xdr:colOff>
      <xdr:row>58</xdr:row>
      <xdr:rowOff>32657</xdr:rowOff>
    </xdr:from>
    <xdr:to>
      <xdr:col>13</xdr:col>
      <xdr:colOff>73910</xdr:colOff>
      <xdr:row>59</xdr:row>
      <xdr:rowOff>217715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9AB25B-4BC6-406B-B25F-0B6FAEE2A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0075" y="6052457"/>
          <a:ext cx="587714" cy="4136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141515</xdr:colOff>
      <xdr:row>39</xdr:row>
      <xdr:rowOff>32657</xdr:rowOff>
    </xdr:from>
    <xdr:to>
      <xdr:col>16</xdr:col>
      <xdr:colOff>73909</xdr:colOff>
      <xdr:row>40</xdr:row>
      <xdr:rowOff>217715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89E2B-5A73-448B-A7AD-0CB899F6A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2415" y="6281057"/>
          <a:ext cx="587714" cy="4136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https://dormanlong-my.sharepoint.com/personal/gbolahanfaturoti_dormanlongeng_com/Documents/Documents/DLE%202026/Marconi%20-%20DL2601/Payments/PAYMENT%20APPROVALS/TIMESHEET/DL2601-OFFSHORE%20AND%20ONSHORE%20CREW%20%20TIMESHEET%20FOR%20SEPT-2026.xlsx?F3AA1117" TargetMode="External"/><Relationship Id="rId2" Type="http://schemas.openxmlformats.org/officeDocument/2006/relationships/externalLinkPath" Target="file:///\\F3AA1117\DL2601-OFFSHORE%20AND%20ONSHORE%20CREW%20%20TIMESHEET%20FOR%20SEPT-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Nwankwo" refreshedDate="46297.73685671296" createdVersion="8" refreshedVersion="8" minRefreshableVersion="3" recordCount="35" xr:uid="{7D9AE1B3-2CAE-4B6A-9FC5-A98970CFBAF5}">
  <cacheSource type="worksheet">
    <worksheetSource name="Table25" r:id="rId2"/>
  </cacheSource>
  <cacheFields count="15">
    <cacheField name="S/No." numFmtId="0">
      <sharedItems containsSemiMixedTypes="0" containsString="0" containsNumber="1" containsInteger="1" minValue="1" maxValue="35"/>
    </cacheField>
    <cacheField name="POSITION" numFmtId="0">
      <sharedItems/>
    </cacheField>
    <cacheField name="FIRST NAME" numFmtId="0">
      <sharedItems/>
    </cacheField>
    <cacheField name="SURNAME" numFmtId="0">
      <sharedItems/>
    </cacheField>
    <cacheField name="Days Worked" numFmtId="43">
      <sharedItems containsSemiMixedTypes="0" containsString="0" containsNumber="1" containsInteger="1" minValue="2" maxValue="30"/>
    </cacheField>
    <cacheField name="Location" numFmtId="0">
      <sharedItems/>
    </cacheField>
    <cacheField name="Day Rate" numFmtId="43">
      <sharedItems containsSemiMixedTypes="0" containsString="0" containsNumber="1" containsInteger="1" minValue="10000" maxValue="90000"/>
    </cacheField>
    <cacheField name="Employment Type" numFmtId="0">
      <sharedItems count="2">
        <s v="Outsourced"/>
        <s v="Contract Staff"/>
      </sharedItems>
    </cacheField>
    <cacheField name="Net Pay" numFmtId="43">
      <sharedItems containsSemiMixedTypes="0" containsString="0" containsNumber="1" containsInteger="1" minValue="80000" maxValue="2610000"/>
    </cacheField>
    <cacheField name="Tax (WHT)" numFmtId="43">
      <sharedItems containsString="0" containsBlank="1" containsNumber="1" containsInteger="1" minValue="4000" maxValue="130500"/>
    </cacheField>
    <cacheField name="Total Cost" numFmtId="43">
      <sharedItems containsSemiMixedTypes="0" containsString="0" containsNumber="1" containsInteger="1" minValue="84000" maxValue="2740500"/>
    </cacheField>
    <cacheField name="Account Name" numFmtId="0">
      <sharedItems containsBlank="1"/>
    </cacheField>
    <cacheField name="Account Number" numFmtId="0">
      <sharedItems containsBlank="1"/>
    </cacheField>
    <cacheField name="Bank Name" numFmtId="0">
      <sharedItems containsBlank="1"/>
    </cacheField>
    <cacheField name="Remarks" numFmtId="4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1"/>
    <s v="Fitter"/>
    <s v="AGBO SESE"/>
    <s v="SUNDAY"/>
    <n v="30"/>
    <s v="OnShore"/>
    <n v="25000"/>
    <x v="0"/>
    <n v="750000"/>
    <n v="37500"/>
    <n v="787500"/>
    <s v="AGBO SESE SUNDAY "/>
    <s v=" 0931070418"/>
    <s v="EcoBank"/>
    <m/>
  </r>
  <r>
    <n v="2"/>
    <s v="Fitter"/>
    <s v="MONDAY "/>
    <s v="MBOCHI"/>
    <n v="30"/>
    <s v="OnShore"/>
    <n v="10000"/>
    <x v="1"/>
    <n v="300000"/>
    <m/>
    <n v="300000"/>
    <s v="MONDAY MBOCHI"/>
    <s v="6050583110"/>
    <s v="Fidelity Bank"/>
    <s v="Outstation Allowance"/>
  </r>
  <r>
    <n v="3"/>
    <s v="Fitter"/>
    <s v="James "/>
    <s v="Benjamin"/>
    <n v="2"/>
    <s v="OffShore"/>
    <n v="40000"/>
    <x v="0"/>
    <n v="80000"/>
    <n v="4000"/>
    <n v="84000"/>
    <s v="James Benjamin Ndome"/>
    <s v="2113223594"/>
    <s v="UBA"/>
    <m/>
  </r>
  <r>
    <n v="4"/>
    <s v="Fitter"/>
    <s v="Alonge Gbade "/>
    <s v="Yunusa"/>
    <n v="8"/>
    <s v="OffShore"/>
    <n v="40000"/>
    <x v="0"/>
    <n v="320000"/>
    <n v="16000"/>
    <n v="336000"/>
    <s v="Alonge Gbade Yunusa"/>
    <s v="0010909723"/>
    <s v="GT Bank"/>
    <m/>
  </r>
  <r>
    <n v="5"/>
    <s v="Scaffolder"/>
    <s v="Adeshina Ambali"/>
    <s v="Lawal"/>
    <n v="16"/>
    <s v="OffShore"/>
    <n v="33000"/>
    <x v="0"/>
    <n v="528000"/>
    <n v="26400"/>
    <n v="554400"/>
    <s v="Ambali lawal Adeshina"/>
    <s v="0039508398 "/>
    <s v="GTBank"/>
    <m/>
  </r>
  <r>
    <n v="6"/>
    <s v="Rope Access Scaffolder Level 1"/>
    <s v="Solomon "/>
    <s v="Ekewtafia"/>
    <n v="17"/>
    <s v="OffShore"/>
    <n v="50000"/>
    <x v="0"/>
    <n v="850000"/>
    <n v="42500"/>
    <n v="892500"/>
    <s v="Ekwetafia Solomon Onoriode"/>
    <s v="2050802351"/>
    <s v="UBA"/>
    <m/>
  </r>
  <r>
    <n v="7"/>
    <s v="Fitter"/>
    <s v="Solomon "/>
    <s v="Onaji"/>
    <n v="24"/>
    <s v="OffShore"/>
    <n v="40000"/>
    <x v="0"/>
    <n v="960000"/>
    <n v="48000"/>
    <n v="1008000"/>
    <m/>
    <m/>
    <m/>
    <m/>
  </r>
  <r>
    <n v="8"/>
    <s v="Fitter"/>
    <s v="Sampson "/>
    <s v="Nwaobilor"/>
    <n v="29"/>
    <s v="OffShore"/>
    <n v="40000"/>
    <x v="0"/>
    <n v="1160000"/>
    <n v="58000"/>
    <n v="1218000"/>
    <m/>
    <m/>
    <m/>
    <m/>
  </r>
  <r>
    <n v="9"/>
    <s v="Scaffolder Supervisor"/>
    <s v="Gabriel"/>
    <s v="Kokotu"/>
    <n v="17"/>
    <s v="OffShore"/>
    <n v="39600"/>
    <x v="0"/>
    <n v="673200"/>
    <n v="33660"/>
    <n v="706860"/>
    <s v="Kokotu Gabriel"/>
    <s v="3006185997"/>
    <s v="First Bank"/>
    <m/>
  </r>
  <r>
    <n v="10"/>
    <s v="Scaffolder"/>
    <s v="Osisi"/>
    <s v="Tobechukwu"/>
    <n v="11"/>
    <s v="OffShore"/>
    <n v="33000"/>
    <x v="0"/>
    <n v="363000"/>
    <n v="18150"/>
    <n v="381150"/>
    <s v="OSISI TOBECHUKWU"/>
    <s v="0261031262"/>
    <s v="GT Bank"/>
    <m/>
  </r>
  <r>
    <n v="11"/>
    <s v="Scaffolder"/>
    <s v="Sam Praise"/>
    <s v="Wejimogu"/>
    <n v="19"/>
    <s v="OffShore"/>
    <n v="33000"/>
    <x v="0"/>
    <n v="627000"/>
    <n v="31350"/>
    <n v="658350"/>
    <s v="SAM PRAISE WEJIMOGU."/>
    <s v="2087331282"/>
    <s v="ZENITH BANK."/>
    <m/>
  </r>
  <r>
    <n v="12"/>
    <s v="Welder"/>
    <s v="Stanley "/>
    <s v="Nwabueze"/>
    <n v="6"/>
    <s v="OffShore"/>
    <n v="50000"/>
    <x v="0"/>
    <n v="300000"/>
    <n v="15000"/>
    <n v="315000"/>
    <s v="Stanley Nwabueze"/>
    <s v="0153253325"/>
    <s v="GT Bank"/>
    <m/>
  </r>
  <r>
    <n v="13"/>
    <s v="Scaffolder"/>
    <s v="Unyime Edem "/>
    <s v="Okon"/>
    <n v="11"/>
    <s v="OffShore"/>
    <n v="33000"/>
    <x v="0"/>
    <n v="363000"/>
    <n v="18150"/>
    <n v="381150"/>
    <s v="UNYIME EDEM OKON"/>
    <s v="3141050499"/>
    <s v="First Bank"/>
    <m/>
  </r>
  <r>
    <n v="14"/>
    <s v="Rigger"/>
    <s v="Udoinyang"/>
    <s v="Titus Ekpo"/>
    <n v="16"/>
    <s v="OffShore"/>
    <n v="30000"/>
    <x v="0"/>
    <n v="480000"/>
    <n v="24000"/>
    <n v="504000"/>
    <s v="Titus Ekpo Udoinyang"/>
    <s v="0814314209"/>
    <s v="Access Bank"/>
    <m/>
  </r>
  <r>
    <n v="15"/>
    <s v="Scaffolder"/>
    <s v=" Benedict"/>
    <s v="Omoyibo"/>
    <n v="20"/>
    <s v="OffShore"/>
    <n v="33000"/>
    <x v="0"/>
    <n v="660000"/>
    <n v="33000"/>
    <n v="693000"/>
    <m/>
    <m/>
    <m/>
    <m/>
  </r>
  <r>
    <n v="16"/>
    <s v="Scaffolder"/>
    <s v=" Maduabuchi"/>
    <s v="Ilo"/>
    <n v="20"/>
    <s v="OffShore"/>
    <n v="33000"/>
    <x v="0"/>
    <n v="660000"/>
    <n v="33000"/>
    <n v="693000"/>
    <m/>
    <m/>
    <m/>
    <m/>
  </r>
  <r>
    <n v="17"/>
    <s v="Scaffolder"/>
    <s v="George Chinedu "/>
    <s v="Nwali"/>
    <n v="15"/>
    <s v="OffShore"/>
    <n v="33000"/>
    <x v="0"/>
    <n v="495000"/>
    <n v="24750"/>
    <n v="519750"/>
    <m/>
    <m/>
    <m/>
    <m/>
  </r>
  <r>
    <n v="18"/>
    <s v="Scaffolder"/>
    <s v="Patrick Obi"/>
    <s v="Benard"/>
    <n v="15"/>
    <s v="OffShore"/>
    <n v="33000"/>
    <x v="0"/>
    <n v="495000"/>
    <n v="24750"/>
    <n v="519750"/>
    <m/>
    <m/>
    <m/>
    <m/>
  </r>
  <r>
    <n v="19"/>
    <s v="Rope access scaffolder L2"/>
    <s v="Stanley Odinanma "/>
    <s v="Okebaram"/>
    <n v="15"/>
    <s v="OffShore"/>
    <n v="70000"/>
    <x v="0"/>
    <n v="1050000"/>
    <n v="52500"/>
    <n v="1102500"/>
    <m/>
    <m/>
    <m/>
    <m/>
  </r>
  <r>
    <n v="20"/>
    <s v="Fitter"/>
    <s v="Benson"/>
    <s v="Ozah"/>
    <n v="13"/>
    <s v="OffShore"/>
    <n v="40000"/>
    <x v="0"/>
    <n v="520000"/>
    <n v="26000"/>
    <n v="546000"/>
    <m/>
    <m/>
    <m/>
    <m/>
  </r>
  <r>
    <n v="21"/>
    <s v="Rigger"/>
    <s v="James Pepple "/>
    <s v="Tamuno"/>
    <n v="13"/>
    <s v="OffShore"/>
    <n v="30000"/>
    <x v="0"/>
    <n v="390000"/>
    <n v="19500"/>
    <n v="409500"/>
    <m/>
    <m/>
    <m/>
    <m/>
  </r>
  <r>
    <n v="22"/>
    <s v="Scaffolder"/>
    <s v="Abiodun"/>
    <s v=" Moshood"/>
    <n v="29"/>
    <s v="OffShore"/>
    <n v="33000"/>
    <x v="0"/>
    <n v="957000"/>
    <n v="47850"/>
    <n v="1004850"/>
    <m/>
    <m/>
    <m/>
    <m/>
  </r>
  <r>
    <n v="23"/>
    <s v="Rope access scaffolder L2"/>
    <s v="Humphrey Isirimah"/>
    <s v="Isirimah"/>
    <n v="27"/>
    <s v="OffShore"/>
    <n v="70000"/>
    <x v="0"/>
    <n v="1890000"/>
    <n v="94500"/>
    <n v="1984500"/>
    <m/>
    <m/>
    <m/>
    <m/>
  </r>
  <r>
    <n v="24"/>
    <s v="Rope access scaffolder L3"/>
    <s v="Ifeanyi Emmanuel"/>
    <s v="Onyeaga"/>
    <n v="29"/>
    <s v="OffShore"/>
    <n v="90000"/>
    <x v="0"/>
    <n v="2610000"/>
    <n v="130500"/>
    <n v="2740500"/>
    <m/>
    <m/>
    <m/>
    <m/>
  </r>
  <r>
    <n v="25"/>
    <s v="Rope access scaffolder L2"/>
    <s v="Joseph "/>
    <s v="Green"/>
    <n v="30"/>
    <s v="OffShore"/>
    <n v="70000"/>
    <x v="0"/>
    <n v="2100000"/>
    <n v="105000"/>
    <n v="2205000"/>
    <s v=" Joseph Green  "/>
    <s v="2082493626"/>
    <s v="Zenith Bank "/>
    <m/>
  </r>
  <r>
    <n v="26"/>
    <s v="Rigger supervisor"/>
    <s v="Adeniyi "/>
    <s v="Joseph"/>
    <n v="30"/>
    <s v="OffShore"/>
    <n v="20000"/>
    <x v="1"/>
    <n v="600000"/>
    <m/>
    <n v="600000"/>
    <s v="ADENIYI JOSEPH  "/>
    <s v="2188685084"/>
    <s v="United Bank for Africa Plc"/>
    <s v="Offshore Allowance"/>
  </r>
  <r>
    <n v="27"/>
    <s v="Construction Engineer"/>
    <s v="Akong"/>
    <s v="Ojong"/>
    <n v="18"/>
    <s v="OffShore"/>
    <n v="40000"/>
    <x v="1"/>
    <n v="720000"/>
    <m/>
    <n v="720000"/>
    <s v="AKONG OJONG"/>
    <s v="0114629891"/>
    <s v="GT Bank"/>
    <s v="Offshore Allowance"/>
  </r>
  <r>
    <n v="28"/>
    <s v="Scaffolder"/>
    <s v="Anthony Kanayochukwu"/>
    <s v="Njoku"/>
    <n v="30"/>
    <s v="OffShore"/>
    <n v="33000"/>
    <x v="0"/>
    <n v="990000"/>
    <n v="49500"/>
    <n v="1039500"/>
    <s v="Anthony Njoku"/>
    <s v="2189574545"/>
    <s v="Zenith Bank"/>
    <m/>
  </r>
  <r>
    <n v="29"/>
    <s v="Welder"/>
    <s v="David"/>
    <s v="Jeremiah"/>
    <n v="30"/>
    <s v="OffShore"/>
    <n v="20000"/>
    <x v="1"/>
    <n v="600000"/>
    <m/>
    <n v="600000"/>
    <s v="DAVID JEREMIAH  "/>
    <s v="2251223076"/>
    <s v="Zenith Bank Plc"/>
    <s v="Offshore Allowance"/>
  </r>
  <r>
    <n v="30"/>
    <s v="Welder"/>
    <s v="Fred Micah "/>
    <s v="Donatus"/>
    <n v="6"/>
    <s v="OffShore"/>
    <n v="20000"/>
    <x v="1"/>
    <n v="120000"/>
    <m/>
    <n v="120000"/>
    <s v="FRED MICAH DONATUS"/>
    <s v="2003154957"/>
    <s v="Zenith Bank"/>
    <s v="Offshore Allowance"/>
  </r>
  <r>
    <n v="31"/>
    <s v="Welder"/>
    <s v="Mohammed"/>
    <s v="Ibrahim"/>
    <n v="30"/>
    <s v="OffShore"/>
    <n v="20000"/>
    <x v="1"/>
    <n v="600000"/>
    <m/>
    <n v="600000"/>
    <s v="IBRAHIM MOHAMMED  "/>
    <s v="0026316672"/>
    <s v="Guaranty Trust Bank Plc"/>
    <s v="Offshore Allowance"/>
  </r>
  <r>
    <n v="32"/>
    <s v="Scaffolder"/>
    <s v="Ojada"/>
    <s v="Famous"/>
    <n v="30"/>
    <s v="OffShore"/>
    <n v="20000"/>
    <x v="1"/>
    <n v="600000"/>
    <m/>
    <n v="600000"/>
    <s v="OJADA FAMOUS  "/>
    <s v="3068413463"/>
    <s v="First Bank of Nigeria Limited"/>
    <s v="Offshore Allowance"/>
  </r>
  <r>
    <n v="33"/>
    <s v="Welder Supervisor"/>
    <s v="Olawale T."/>
    <s v="Shittu"/>
    <n v="30"/>
    <s v="OffShore"/>
    <n v="20000"/>
    <x v="1"/>
    <n v="600000"/>
    <m/>
    <n v="600000"/>
    <s v="OLAWALE SHITTU  "/>
    <s v="0664256978"/>
    <s v="Guaranty Trust Bank Plc"/>
    <s v="Offshore Allowance"/>
  </r>
  <r>
    <n v="34"/>
    <s v="Welder"/>
    <s v="Stanley "/>
    <s v="Ovat"/>
    <n v="30"/>
    <s v="OffShore"/>
    <n v="20000"/>
    <x v="1"/>
    <n v="600000"/>
    <m/>
    <n v="600000"/>
    <s v="STANLEY OVAT  "/>
    <s v="2190497792"/>
    <s v="Zenith Bank Plc"/>
    <s v="Offshore Allowance"/>
  </r>
  <r>
    <n v="35"/>
    <s v="Fitter"/>
    <s v="Ugochukwu Valins "/>
    <s v="Amadi"/>
    <n v="30"/>
    <s v="OffShore"/>
    <n v="20000"/>
    <x v="1"/>
    <n v="600000"/>
    <m/>
    <n v="600000"/>
    <s v="AMADI VALINS  "/>
    <s v="2267726679"/>
    <s v="Zenith Bank Plc"/>
    <s v="Offshore Allowan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7145B-24DE-4E54-9C81-64D4705BB40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2:E45" firstHeaderRow="0" firstDataRow="1" firstDataCol="1"/>
  <pivotFields count="15">
    <pivotField showAll="0"/>
    <pivotField showAll="0"/>
    <pivotField showAll="0"/>
    <pivotField showAll="0"/>
    <pivotField numFmtId="43" showAll="0"/>
    <pivotField showAll="0"/>
    <pivotField numFmtId="43" showAll="0"/>
    <pivotField axis="axisRow" dataField="1" showAll="0">
      <items count="3">
        <item x="1"/>
        <item x="0"/>
        <item t="default"/>
      </items>
    </pivotField>
    <pivotField dataField="1" numFmtId="43" showAll="0"/>
    <pivotField showAll="0"/>
    <pivotField dataField="1" numFmtId="43"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ment Type" fld="7" subtotal="count" baseField="0" baseItem="0"/>
    <dataField name="Sum of Net Pay" fld="8" baseField="0" baseItem="0" numFmtId="43"/>
    <dataField name="Sum of Total Cost" fld="10" baseField="0" baseItem="0" numFmtId="43"/>
  </dataFields>
  <formats count="6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7" type="button" dataOnly="0" labelOnly="1" outline="0" axis="axisRow" fieldPosition="0"/>
    </format>
    <format dxfId="52">
      <pivotArea dataOnly="0" labelOnly="1" fieldPosition="0">
        <references count="1">
          <reference field="7" count="0"/>
        </references>
      </pivotArea>
    </format>
    <format dxfId="51">
      <pivotArea dataOnly="0" labelOnly="1" grandRow="1" outline="0" fieldPosition="0"/>
    </format>
    <format dxfId="5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1FC78-3E04-48AA-AA7A-E7CB869AFFB0}" name="Table25" displayName="Table25" ref="A3:O39" totalsRowCount="1" headerRowDxfId="49" dataDxfId="47" totalsRowDxfId="45" headerRowBorderDxfId="48" tableBorderDxfId="46" totalsRowBorderDxfId="44" headerRowCellStyle="Comma" dataCellStyle="Comma">
  <sortState xmlns:xlrd2="http://schemas.microsoft.com/office/spreadsheetml/2017/richdata2" ref="A4:O38">
    <sortCondition descending="1" ref="F3:F38"/>
  </sortState>
  <tableColumns count="15">
    <tableColumn id="1" xr3:uid="{3E553B96-1A89-47E1-92B8-FBEFE995A3D7}" name="S/No." totalsRowLabel="Total" dataDxfId="29" totalsRowDxfId="14"/>
    <tableColumn id="2" xr3:uid="{E42525A2-740F-443E-9ADA-9BCE16E30509}" name="POSITION" totalsRowFunction="count" dataDxfId="28" totalsRowDxfId="13"/>
    <tableColumn id="3" xr3:uid="{737F40F6-E69F-446B-819E-F28A3B18A0B8}" name="FIRST NAME" dataDxfId="27" totalsRowDxfId="12"/>
    <tableColumn id="4" xr3:uid="{65F5BA87-11F1-494A-AA57-EF119BF29B1F}" name="SURNAME" dataDxfId="26" totalsRowDxfId="11"/>
    <tableColumn id="5" xr3:uid="{598BBABD-5960-41BA-AE8F-EE90CE2C46A6}" name="Days Worked" totalsRowFunction="sum" dataDxfId="25" totalsRowDxfId="10" dataCellStyle="Comma"/>
    <tableColumn id="6" xr3:uid="{DEAD2964-F9EF-442C-9AB4-69B308D8EF1B}" name="Location" dataDxfId="24" totalsRowDxfId="9"/>
    <tableColumn id="7" xr3:uid="{56223613-327A-470B-B6A3-1662CB44A47E}" name="Day Rate" dataDxfId="23" totalsRowDxfId="8" dataCellStyle="Comma"/>
    <tableColumn id="8" xr3:uid="{6AAAC1C9-78B7-4FC4-A2A2-B2C98F2CF410}" name="Employment Type" dataDxfId="22" totalsRowDxfId="7"/>
    <tableColumn id="9" xr3:uid="{D1FDBEA7-2FCA-4B7F-A065-C79797E2E9D2}" name="Net Pay" totalsRowFunction="sum" dataDxfId="21" totalsRowDxfId="6" dataCellStyle="Comma">
      <calculatedColumnFormula>Table25[[#This Row],[Days Worked]]*Table25[[#This Row],[Day Rate]]</calculatedColumnFormula>
    </tableColumn>
    <tableColumn id="10" xr3:uid="{D05A705E-B42B-486C-866C-9286D297FA69}" name="Tax (WHT)" totalsRowFunction="sum" dataDxfId="20" totalsRowDxfId="5" dataCellStyle="Comma">
      <calculatedColumnFormula>Table25[[#This Row],[Net Pay]]*5%</calculatedColumnFormula>
    </tableColumn>
    <tableColumn id="11" xr3:uid="{ACF34153-DD42-4912-8487-F60B13A6916B}" name="Total Cost" totalsRowFunction="sum" dataDxfId="19" totalsRowDxfId="4" dataCellStyle="Comma">
      <calculatedColumnFormula>Table25[[#This Row],[Net Pay]]+Table25[[#This Row],[Tax (WHT)]]</calculatedColumnFormula>
    </tableColumn>
    <tableColumn id="12" xr3:uid="{C21A0BBD-00FC-4544-A9CE-825F29F686A6}" name="Account Name" dataDxfId="18" totalsRowDxfId="3" dataCellStyle="Comma"/>
    <tableColumn id="13" xr3:uid="{0906A63F-7120-4CCD-BF05-05B40C3F03EF}" name="Account Number" dataDxfId="17" totalsRowDxfId="2" dataCellStyle="Comma"/>
    <tableColumn id="14" xr3:uid="{4AB7E151-79E8-4946-9224-B606F178BE58}" name="Bank Name" dataDxfId="16" totalsRowDxfId="1" dataCellStyle="Comma"/>
    <tableColumn id="15" xr3:uid="{D5A38389-AE7C-45D9-8BB9-E58518F6ABB6}" name="Remarks" dataDxfId="15" totalsRowDxfId="0" dataCellStyle="Comma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AB0A-1E15-4142-9DA2-7A85E700D6CE}">
  <sheetPr>
    <pageSetUpPr fitToPage="1"/>
  </sheetPr>
  <dimension ref="A1:BA71"/>
  <sheetViews>
    <sheetView showGridLines="0" zoomScale="85" zoomScaleNormal="85" workbookViewId="0">
      <pane xSplit="6" ySplit="10" topLeftCell="S37" activePane="bottomRight" state="frozen"/>
      <selection pane="topRight" activeCell="E1" sqref="E1"/>
      <selection pane="bottomLeft" activeCell="A11" sqref="A11"/>
      <selection pane="bottomRight" activeCell="I25" sqref="I25"/>
    </sheetView>
  </sheetViews>
  <sheetFormatPr defaultRowHeight="18" customHeight="1" x14ac:dyDescent="0.35"/>
  <cols>
    <col min="1" max="1" width="1.81640625" style="1" customWidth="1"/>
    <col min="2" max="2" width="6.54296875" style="1" customWidth="1"/>
    <col min="3" max="3" width="20.36328125" style="1" customWidth="1"/>
    <col min="4" max="4" width="33.453125" style="1" hidden="1" customWidth="1"/>
    <col min="5" max="5" width="27" style="1" customWidth="1"/>
    <col min="6" max="6" width="15.90625" style="1" customWidth="1"/>
    <col min="7" max="36" width="4.81640625" style="1" customWidth="1"/>
    <col min="37" max="37" width="4" style="1" customWidth="1"/>
    <col min="38" max="38" width="8.1796875" style="1" customWidth="1"/>
    <col min="39" max="40" width="5.81640625" style="1" customWidth="1"/>
    <col min="41" max="42" width="1.81640625" style="1" customWidth="1"/>
    <col min="43" max="43" width="8.90625" bestFit="1" customWidth="1"/>
  </cols>
  <sheetData>
    <row r="1" spans="1:49" ht="9.9" customHeight="1" x14ac:dyDescent="0.35">
      <c r="A1" s="1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5"/>
    </row>
    <row r="2" spans="1:49" ht="18" customHeight="1" x14ac:dyDescent="0.35">
      <c r="A2" s="11"/>
      <c r="B2" s="94" t="s">
        <v>36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23"/>
      <c r="AO2" s="12"/>
    </row>
    <row r="3" spans="1:49" ht="5.15" customHeight="1" x14ac:dyDescent="0.35">
      <c r="A3" s="11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23"/>
      <c r="AO3" s="12"/>
    </row>
    <row r="4" spans="1:49" ht="5.15" customHeight="1" x14ac:dyDescent="0.35">
      <c r="A4" s="11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23"/>
      <c r="AO4" s="12"/>
    </row>
    <row r="5" spans="1:49" ht="18" customHeight="1" x14ac:dyDescent="0.35">
      <c r="A5" s="11"/>
      <c r="B5" s="94" t="s">
        <v>33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23"/>
      <c r="AO5" s="12"/>
    </row>
    <row r="6" spans="1:49" ht="18" customHeight="1" x14ac:dyDescent="0.35">
      <c r="A6" s="11"/>
      <c r="B6" s="95" t="s">
        <v>17</v>
      </c>
      <c r="C6" s="95"/>
      <c r="D6" s="95"/>
      <c r="E6" s="95"/>
      <c r="F6" s="95"/>
      <c r="AK6" s="96" t="s">
        <v>4</v>
      </c>
      <c r="AL6" s="96"/>
      <c r="AM6" s="97" t="s">
        <v>5</v>
      </c>
      <c r="AN6" s="98"/>
      <c r="AO6" s="12"/>
    </row>
    <row r="7" spans="1:49" ht="18" customHeight="1" x14ac:dyDescent="0.35">
      <c r="A7" s="11"/>
      <c r="B7" s="95"/>
      <c r="C7" s="95"/>
      <c r="D7" s="95"/>
      <c r="E7" s="95"/>
      <c r="F7" s="95"/>
      <c r="AK7" s="6">
        <v>30</v>
      </c>
      <c r="AL7" s="2" t="s">
        <v>87</v>
      </c>
      <c r="AM7" s="99">
        <v>2026</v>
      </c>
      <c r="AN7" s="100"/>
      <c r="AO7" s="12"/>
    </row>
    <row r="8" spans="1:49" ht="5.15" customHeight="1" x14ac:dyDescent="0.35">
      <c r="A8" s="11"/>
      <c r="AO8" s="12"/>
    </row>
    <row r="9" spans="1:49" ht="18" customHeight="1" x14ac:dyDescent="0.35">
      <c r="A9" s="11"/>
      <c r="B9" s="96" t="s">
        <v>6</v>
      </c>
      <c r="C9" s="96"/>
      <c r="D9" s="96"/>
      <c r="E9" s="96"/>
      <c r="F9" s="96"/>
      <c r="G9" s="18" t="s">
        <v>32</v>
      </c>
      <c r="H9" s="18" t="s">
        <v>26</v>
      </c>
      <c r="I9" s="18" t="s">
        <v>27</v>
      </c>
      <c r="J9" s="18" t="s">
        <v>28</v>
      </c>
      <c r="K9" s="18" t="s">
        <v>29</v>
      </c>
      <c r="L9" s="28" t="s">
        <v>30</v>
      </c>
      <c r="M9" s="18" t="s">
        <v>31</v>
      </c>
      <c r="N9" s="18" t="s">
        <v>32</v>
      </c>
      <c r="O9" s="18" t="s">
        <v>26</v>
      </c>
      <c r="P9" s="18" t="s">
        <v>27</v>
      </c>
      <c r="Q9" s="18" t="s">
        <v>28</v>
      </c>
      <c r="R9" s="18" t="s">
        <v>29</v>
      </c>
      <c r="S9" s="28" t="s">
        <v>30</v>
      </c>
      <c r="T9" s="18" t="s">
        <v>31</v>
      </c>
      <c r="U9" s="18" t="s">
        <v>32</v>
      </c>
      <c r="V9" s="18" t="s">
        <v>26</v>
      </c>
      <c r="W9" s="18" t="s">
        <v>27</v>
      </c>
      <c r="X9" s="18" t="s">
        <v>28</v>
      </c>
      <c r="Y9" s="18" t="s">
        <v>29</v>
      </c>
      <c r="Z9" s="28" t="s">
        <v>30</v>
      </c>
      <c r="AA9" s="18" t="s">
        <v>31</v>
      </c>
      <c r="AB9" s="18" t="s">
        <v>32</v>
      </c>
      <c r="AC9" s="18" t="s">
        <v>26</v>
      </c>
      <c r="AD9" s="18" t="s">
        <v>27</v>
      </c>
      <c r="AE9" s="18" t="s">
        <v>28</v>
      </c>
      <c r="AF9" s="18" t="s">
        <v>29</v>
      </c>
      <c r="AG9" s="28" t="s">
        <v>30</v>
      </c>
      <c r="AH9" s="18" t="s">
        <v>31</v>
      </c>
      <c r="AI9" s="39" t="s">
        <v>32</v>
      </c>
      <c r="AJ9" s="18" t="s">
        <v>26</v>
      </c>
      <c r="AK9" s="18"/>
      <c r="AL9" s="96" t="s">
        <v>3</v>
      </c>
      <c r="AM9" s="96"/>
      <c r="AN9" s="96"/>
      <c r="AO9" s="12"/>
    </row>
    <row r="10" spans="1:49" ht="18" customHeight="1" x14ac:dyDescent="0.35">
      <c r="A10" s="11"/>
      <c r="B10" s="17" t="s">
        <v>10</v>
      </c>
      <c r="C10" s="17" t="s">
        <v>0</v>
      </c>
      <c r="D10" s="17" t="s">
        <v>21</v>
      </c>
      <c r="E10" s="17" t="s">
        <v>18</v>
      </c>
      <c r="F10" s="17" t="s">
        <v>19</v>
      </c>
      <c r="G10" s="19">
        <v>1</v>
      </c>
      <c r="H10" s="19">
        <v>2</v>
      </c>
      <c r="I10" s="19">
        <v>3</v>
      </c>
      <c r="J10" s="19">
        <v>4</v>
      </c>
      <c r="K10" s="19">
        <v>5</v>
      </c>
      <c r="L10" s="19">
        <v>6</v>
      </c>
      <c r="M10" s="19">
        <v>7</v>
      </c>
      <c r="N10" s="19">
        <v>8</v>
      </c>
      <c r="O10" s="19">
        <v>9</v>
      </c>
      <c r="P10" s="19">
        <v>10</v>
      </c>
      <c r="Q10" s="19">
        <v>11</v>
      </c>
      <c r="R10" s="19">
        <v>12</v>
      </c>
      <c r="S10" s="19">
        <v>13</v>
      </c>
      <c r="T10" s="19">
        <v>14</v>
      </c>
      <c r="U10" s="19">
        <v>15</v>
      </c>
      <c r="V10" s="19">
        <v>16</v>
      </c>
      <c r="W10" s="19">
        <v>17</v>
      </c>
      <c r="X10" s="19">
        <v>18</v>
      </c>
      <c r="Y10" s="19">
        <v>19</v>
      </c>
      <c r="Z10" s="19">
        <v>20</v>
      </c>
      <c r="AA10" s="19">
        <v>21</v>
      </c>
      <c r="AB10" s="19">
        <v>22</v>
      </c>
      <c r="AC10" s="19">
        <v>23</v>
      </c>
      <c r="AD10" s="19">
        <v>24</v>
      </c>
      <c r="AE10" s="19">
        <v>25</v>
      </c>
      <c r="AF10" s="19">
        <v>26</v>
      </c>
      <c r="AG10" s="19">
        <v>27</v>
      </c>
      <c r="AH10" s="19">
        <v>28</v>
      </c>
      <c r="AI10" s="19">
        <v>29</v>
      </c>
      <c r="AJ10" s="19">
        <v>30</v>
      </c>
      <c r="AK10" s="19"/>
      <c r="AL10" s="17" t="s">
        <v>1</v>
      </c>
      <c r="AM10" s="17" t="s">
        <v>2</v>
      </c>
      <c r="AN10" s="17" t="s">
        <v>22</v>
      </c>
      <c r="AO10" s="12"/>
    </row>
    <row r="11" spans="1:49" ht="18" customHeight="1" x14ac:dyDescent="0.35">
      <c r="A11" s="11"/>
      <c r="B11" s="20">
        <v>1</v>
      </c>
      <c r="C11" s="102" t="s">
        <v>38</v>
      </c>
      <c r="D11" s="103"/>
      <c r="E11" s="38" t="s">
        <v>51</v>
      </c>
      <c r="F11" s="38" t="s">
        <v>50</v>
      </c>
      <c r="G11" s="40">
        <v>12</v>
      </c>
      <c r="H11" s="40">
        <v>12</v>
      </c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6"/>
      <c r="U11" s="46"/>
      <c r="V11" s="46"/>
      <c r="W11" s="46"/>
      <c r="X11" s="46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L11" s="22">
        <f t="shared" ref="AL11:AL54" si="0">SUM(G11:AJ11)</f>
        <v>24</v>
      </c>
      <c r="AM11" s="22">
        <f t="shared" ref="AM11:AM54" si="1">COUNTIF(G11:AJ11,"&gt;1")</f>
        <v>2</v>
      </c>
      <c r="AN11" s="22">
        <v>0</v>
      </c>
      <c r="AO11" s="12"/>
      <c r="AR11" s="101"/>
      <c r="AS11" s="101"/>
      <c r="AT11" s="101"/>
      <c r="AU11" s="101"/>
      <c r="AV11" s="101"/>
      <c r="AW11" s="101"/>
    </row>
    <row r="12" spans="1:49" ht="18" customHeight="1" x14ac:dyDescent="0.35">
      <c r="A12" s="11"/>
      <c r="B12" s="20">
        <v>2</v>
      </c>
      <c r="C12" s="102" t="s">
        <v>38</v>
      </c>
      <c r="D12" s="103"/>
      <c r="E12" s="38" t="s">
        <v>52</v>
      </c>
      <c r="F12" s="38" t="s">
        <v>53</v>
      </c>
      <c r="G12" s="40">
        <v>12</v>
      </c>
      <c r="H12" s="40">
        <v>12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6"/>
      <c r="U12" s="46"/>
      <c r="V12" s="46"/>
      <c r="W12" s="46"/>
      <c r="X12" s="46"/>
      <c r="Y12" s="22"/>
      <c r="Z12" s="22"/>
      <c r="AA12" s="22"/>
      <c r="AB12" s="22"/>
      <c r="AC12" s="22"/>
      <c r="AD12" s="22"/>
      <c r="AE12" s="46">
        <v>12</v>
      </c>
      <c r="AF12" s="46">
        <v>12</v>
      </c>
      <c r="AG12" s="46">
        <v>12</v>
      </c>
      <c r="AH12" s="46">
        <v>12</v>
      </c>
      <c r="AI12" s="46">
        <v>12</v>
      </c>
      <c r="AJ12" s="46">
        <v>12</v>
      </c>
      <c r="AL12" s="22">
        <f t="shared" si="0"/>
        <v>96</v>
      </c>
      <c r="AM12" s="22">
        <f t="shared" si="1"/>
        <v>8</v>
      </c>
      <c r="AN12" s="22">
        <v>0</v>
      </c>
      <c r="AO12" s="12"/>
      <c r="AR12" s="49"/>
      <c r="AS12" s="49"/>
      <c r="AT12" s="49"/>
      <c r="AU12" s="49"/>
      <c r="AV12" s="49"/>
      <c r="AW12" s="49"/>
    </row>
    <row r="13" spans="1:49" ht="18" customHeight="1" x14ac:dyDescent="0.35">
      <c r="A13" s="11"/>
      <c r="B13" s="20">
        <v>3</v>
      </c>
      <c r="C13" s="102" t="s">
        <v>20</v>
      </c>
      <c r="D13" s="103"/>
      <c r="E13" s="38" t="s">
        <v>55</v>
      </c>
      <c r="F13" s="38" t="s">
        <v>54</v>
      </c>
      <c r="G13" s="40">
        <v>12</v>
      </c>
      <c r="H13" s="40">
        <v>12</v>
      </c>
      <c r="I13" s="40">
        <v>12</v>
      </c>
      <c r="J13" s="40">
        <v>12</v>
      </c>
      <c r="K13" s="40"/>
      <c r="L13" s="40"/>
      <c r="M13" s="40"/>
      <c r="N13" s="40"/>
      <c r="O13" s="40"/>
      <c r="P13" s="40"/>
      <c r="Q13" s="40"/>
      <c r="R13" s="40"/>
      <c r="S13" s="40"/>
      <c r="T13" s="46"/>
      <c r="U13" s="46"/>
      <c r="V13" s="46">
        <v>12</v>
      </c>
      <c r="W13" s="46">
        <v>12</v>
      </c>
      <c r="X13" s="46">
        <v>12</v>
      </c>
      <c r="Y13" s="46">
        <v>12</v>
      </c>
      <c r="Z13" s="46">
        <v>12</v>
      </c>
      <c r="AA13" s="46">
        <v>12</v>
      </c>
      <c r="AB13" s="46">
        <v>12</v>
      </c>
      <c r="AC13" s="46">
        <v>12</v>
      </c>
      <c r="AD13" s="46">
        <v>12</v>
      </c>
      <c r="AE13" s="46">
        <v>12</v>
      </c>
      <c r="AF13" s="46">
        <v>12</v>
      </c>
      <c r="AG13" s="46">
        <v>12</v>
      </c>
      <c r="AH13" s="46">
        <v>12</v>
      </c>
      <c r="AI13" s="46">
        <v>12</v>
      </c>
      <c r="AJ13" s="46">
        <v>12</v>
      </c>
      <c r="AL13" s="22">
        <f t="shared" si="0"/>
        <v>228</v>
      </c>
      <c r="AM13" s="22">
        <f t="shared" si="1"/>
        <v>19</v>
      </c>
      <c r="AN13" s="22">
        <v>0</v>
      </c>
      <c r="AO13" s="12"/>
      <c r="AR13" s="49"/>
      <c r="AS13" s="49"/>
      <c r="AT13" s="49"/>
      <c r="AU13" s="49"/>
      <c r="AV13" s="49"/>
      <c r="AW13" s="49"/>
    </row>
    <row r="14" spans="1:49" ht="18" customHeight="1" x14ac:dyDescent="0.35">
      <c r="A14" s="11"/>
      <c r="B14" s="20">
        <v>4</v>
      </c>
      <c r="C14" s="102" t="s">
        <v>20</v>
      </c>
      <c r="D14" s="103"/>
      <c r="E14" s="38" t="s">
        <v>56</v>
      </c>
      <c r="F14" s="38" t="s">
        <v>46</v>
      </c>
      <c r="G14" s="40">
        <v>12</v>
      </c>
      <c r="H14" s="40">
        <v>12</v>
      </c>
      <c r="I14" s="40">
        <v>12</v>
      </c>
      <c r="J14" s="40">
        <v>12</v>
      </c>
      <c r="K14" s="40">
        <v>12</v>
      </c>
      <c r="L14" s="40">
        <v>12</v>
      </c>
      <c r="M14" s="40">
        <v>12</v>
      </c>
      <c r="N14" s="40">
        <v>12</v>
      </c>
      <c r="O14" s="40">
        <v>12</v>
      </c>
      <c r="P14" s="40">
        <v>12</v>
      </c>
      <c r="Q14" s="40">
        <v>12</v>
      </c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L14" s="22">
        <f t="shared" si="0"/>
        <v>132</v>
      </c>
      <c r="AM14" s="22">
        <f t="shared" si="1"/>
        <v>11</v>
      </c>
      <c r="AN14" s="22">
        <v>0</v>
      </c>
      <c r="AO14" s="12"/>
      <c r="AR14" s="49"/>
      <c r="AS14" s="49"/>
      <c r="AT14" s="49"/>
      <c r="AU14" s="49"/>
      <c r="AV14" s="49"/>
      <c r="AW14" s="49"/>
    </row>
    <row r="15" spans="1:49" ht="18" customHeight="1" x14ac:dyDescent="0.35">
      <c r="A15" s="11"/>
      <c r="B15" s="20">
        <v>5</v>
      </c>
      <c r="C15" s="102" t="s">
        <v>20</v>
      </c>
      <c r="D15" s="103"/>
      <c r="E15" s="38" t="s">
        <v>58</v>
      </c>
      <c r="F15" s="38" t="s">
        <v>57</v>
      </c>
      <c r="G15" s="40">
        <v>12</v>
      </c>
      <c r="H15" s="40">
        <v>12</v>
      </c>
      <c r="I15" s="40">
        <v>12</v>
      </c>
      <c r="J15" s="40">
        <v>12</v>
      </c>
      <c r="K15" s="40">
        <v>12</v>
      </c>
      <c r="L15" s="40">
        <v>12</v>
      </c>
      <c r="M15" s="40">
        <v>12</v>
      </c>
      <c r="N15" s="40">
        <v>12</v>
      </c>
      <c r="O15" s="40">
        <v>12</v>
      </c>
      <c r="P15" s="40">
        <v>12</v>
      </c>
      <c r="Q15" s="40">
        <v>12</v>
      </c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L15" s="22">
        <f t="shared" si="0"/>
        <v>132</v>
      </c>
      <c r="AM15" s="22">
        <f t="shared" si="1"/>
        <v>11</v>
      </c>
      <c r="AN15" s="22">
        <v>0</v>
      </c>
      <c r="AO15" s="12"/>
      <c r="AR15" s="49"/>
      <c r="AS15" s="49"/>
      <c r="AT15" s="49"/>
      <c r="AU15" s="49"/>
      <c r="AV15" s="49"/>
      <c r="AW15" s="49"/>
    </row>
    <row r="16" spans="1:49" ht="18" customHeight="1" x14ac:dyDescent="0.35">
      <c r="A16" s="11"/>
      <c r="B16" s="20">
        <v>6</v>
      </c>
      <c r="C16" s="102" t="s">
        <v>59</v>
      </c>
      <c r="D16" s="103"/>
      <c r="E16" s="38" t="s">
        <v>60</v>
      </c>
      <c r="F16" s="38" t="s">
        <v>61</v>
      </c>
      <c r="G16" s="40">
        <v>12</v>
      </c>
      <c r="H16" s="40">
        <v>12</v>
      </c>
      <c r="I16" s="40">
        <v>12</v>
      </c>
      <c r="J16" s="40">
        <v>12</v>
      </c>
      <c r="K16" s="40">
        <v>12</v>
      </c>
      <c r="L16" s="40">
        <v>12</v>
      </c>
      <c r="M16" s="40">
        <v>12</v>
      </c>
      <c r="N16" s="40">
        <v>12</v>
      </c>
      <c r="O16" s="40">
        <v>12</v>
      </c>
      <c r="P16" s="40">
        <v>12</v>
      </c>
      <c r="Q16" s="40">
        <v>12</v>
      </c>
      <c r="R16" s="40">
        <v>12</v>
      </c>
      <c r="S16" s="40">
        <v>12</v>
      </c>
      <c r="T16" s="40">
        <v>12</v>
      </c>
      <c r="U16" s="40">
        <v>12</v>
      </c>
      <c r="V16" s="40">
        <v>12</v>
      </c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>
        <v>12</v>
      </c>
      <c r="AL16" s="22">
        <f t="shared" si="0"/>
        <v>204</v>
      </c>
      <c r="AM16" s="22">
        <f t="shared" si="1"/>
        <v>17</v>
      </c>
      <c r="AN16" s="22">
        <v>0</v>
      </c>
      <c r="AO16" s="12"/>
      <c r="AR16" s="49"/>
      <c r="AS16" s="49"/>
      <c r="AT16" s="49"/>
      <c r="AU16" s="49"/>
      <c r="AV16" s="49"/>
      <c r="AW16" s="49"/>
    </row>
    <row r="17" spans="1:49" ht="18" customHeight="1" x14ac:dyDescent="0.35">
      <c r="A17" s="11"/>
      <c r="B17" s="20">
        <v>7</v>
      </c>
      <c r="C17" s="102" t="s">
        <v>89</v>
      </c>
      <c r="D17" s="103"/>
      <c r="E17" s="38" t="s">
        <v>62</v>
      </c>
      <c r="F17" s="38" t="s">
        <v>63</v>
      </c>
      <c r="G17" s="40">
        <v>12</v>
      </c>
      <c r="H17" s="40">
        <v>12</v>
      </c>
      <c r="I17" s="40">
        <v>12</v>
      </c>
      <c r="J17" s="40">
        <v>12</v>
      </c>
      <c r="K17" s="40">
        <v>12</v>
      </c>
      <c r="L17" s="40">
        <v>12</v>
      </c>
      <c r="M17" s="40">
        <v>12</v>
      </c>
      <c r="N17" s="40">
        <v>12</v>
      </c>
      <c r="O17" s="40">
        <v>12</v>
      </c>
      <c r="P17" s="40">
        <v>12</v>
      </c>
      <c r="Q17" s="40">
        <v>12</v>
      </c>
      <c r="R17" s="40">
        <v>12</v>
      </c>
      <c r="S17" s="40">
        <v>12</v>
      </c>
      <c r="T17" s="40">
        <v>12</v>
      </c>
      <c r="U17" s="40">
        <v>12</v>
      </c>
      <c r="V17" s="40">
        <v>12</v>
      </c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>
        <v>12</v>
      </c>
      <c r="AL17" s="22">
        <f t="shared" si="0"/>
        <v>204</v>
      </c>
      <c r="AM17" s="22">
        <f t="shared" si="1"/>
        <v>17</v>
      </c>
      <c r="AN17" s="22">
        <v>0</v>
      </c>
      <c r="AO17" s="12"/>
      <c r="AR17" s="49"/>
      <c r="AS17" s="49"/>
      <c r="AT17" s="49"/>
      <c r="AU17" s="49"/>
      <c r="AV17" s="49"/>
      <c r="AW17" s="49"/>
    </row>
    <row r="18" spans="1:49" ht="18" customHeight="1" x14ac:dyDescent="0.35">
      <c r="A18" s="11"/>
      <c r="B18" s="20">
        <v>8</v>
      </c>
      <c r="C18" s="102" t="s">
        <v>20</v>
      </c>
      <c r="D18" s="103"/>
      <c r="E18" s="38" t="s">
        <v>65</v>
      </c>
      <c r="F18" s="38" t="s">
        <v>64</v>
      </c>
      <c r="G18" s="40">
        <v>12</v>
      </c>
      <c r="H18" s="40">
        <v>12</v>
      </c>
      <c r="I18" s="40">
        <v>12</v>
      </c>
      <c r="J18" s="40">
        <v>12</v>
      </c>
      <c r="K18" s="40">
        <v>12</v>
      </c>
      <c r="L18" s="40">
        <v>12</v>
      </c>
      <c r="M18" s="40">
        <v>12</v>
      </c>
      <c r="N18" s="40">
        <v>12</v>
      </c>
      <c r="O18" s="40">
        <v>12</v>
      </c>
      <c r="P18" s="40">
        <v>12</v>
      </c>
      <c r="Q18" s="40">
        <v>12</v>
      </c>
      <c r="R18" s="40">
        <v>12</v>
      </c>
      <c r="S18" s="40">
        <v>12</v>
      </c>
      <c r="T18" s="40">
        <v>12</v>
      </c>
      <c r="U18" s="40">
        <v>12</v>
      </c>
      <c r="V18" s="40">
        <v>12</v>
      </c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L18" s="22">
        <f t="shared" si="0"/>
        <v>192</v>
      </c>
      <c r="AM18" s="22">
        <f t="shared" si="1"/>
        <v>16</v>
      </c>
      <c r="AN18" s="22">
        <v>0</v>
      </c>
      <c r="AO18" s="12"/>
      <c r="AR18" s="49"/>
      <c r="AS18" s="49"/>
      <c r="AT18" s="49"/>
      <c r="AU18" s="49"/>
      <c r="AV18" s="49"/>
      <c r="AW18" s="49"/>
    </row>
    <row r="19" spans="1:49" ht="18" customHeight="1" x14ac:dyDescent="0.35">
      <c r="A19" s="11"/>
      <c r="B19" s="20">
        <v>9</v>
      </c>
      <c r="C19" s="102" t="s">
        <v>47</v>
      </c>
      <c r="D19" s="103"/>
      <c r="E19" s="38" t="s">
        <v>66</v>
      </c>
      <c r="F19" s="38" t="s">
        <v>67</v>
      </c>
      <c r="G19" s="40">
        <v>12</v>
      </c>
      <c r="H19" s="40">
        <v>12</v>
      </c>
      <c r="I19" s="40">
        <v>12</v>
      </c>
      <c r="J19" s="40">
        <v>12</v>
      </c>
      <c r="K19" s="40">
        <v>12</v>
      </c>
      <c r="L19" s="40">
        <v>12</v>
      </c>
      <c r="M19" s="40">
        <v>12</v>
      </c>
      <c r="N19" s="40">
        <v>12</v>
      </c>
      <c r="O19" s="40">
        <v>12</v>
      </c>
      <c r="P19" s="40">
        <v>12</v>
      </c>
      <c r="Q19" s="40">
        <v>12</v>
      </c>
      <c r="R19" s="40">
        <v>12</v>
      </c>
      <c r="S19" s="40">
        <v>12</v>
      </c>
      <c r="T19" s="40">
        <v>12</v>
      </c>
      <c r="U19" s="40">
        <v>12</v>
      </c>
      <c r="V19" s="40">
        <v>12</v>
      </c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L19" s="22">
        <f t="shared" si="0"/>
        <v>192</v>
      </c>
      <c r="AM19" s="22">
        <f t="shared" si="1"/>
        <v>16</v>
      </c>
      <c r="AN19" s="22">
        <v>0</v>
      </c>
      <c r="AO19" s="12"/>
      <c r="AR19" s="49"/>
      <c r="AS19" s="49"/>
      <c r="AT19" s="49"/>
      <c r="AU19" s="49"/>
      <c r="AV19" s="49"/>
      <c r="AW19" s="49"/>
    </row>
    <row r="20" spans="1:49" ht="18" customHeight="1" x14ac:dyDescent="0.35">
      <c r="A20" s="11"/>
      <c r="B20" s="20">
        <v>10</v>
      </c>
      <c r="C20" s="102" t="s">
        <v>84</v>
      </c>
      <c r="D20" s="103"/>
      <c r="E20" s="38" t="s">
        <v>48</v>
      </c>
      <c r="F20" s="38" t="s">
        <v>49</v>
      </c>
      <c r="G20" s="40">
        <v>12</v>
      </c>
      <c r="H20" s="40">
        <v>12</v>
      </c>
      <c r="I20" s="40">
        <v>12</v>
      </c>
      <c r="J20" s="40">
        <v>12</v>
      </c>
      <c r="K20" s="40">
        <v>12</v>
      </c>
      <c r="L20" s="40">
        <v>12</v>
      </c>
      <c r="M20" s="40">
        <v>12</v>
      </c>
      <c r="N20" s="40">
        <v>12</v>
      </c>
      <c r="O20" s="40">
        <v>12</v>
      </c>
      <c r="P20" s="40">
        <v>12</v>
      </c>
      <c r="Q20" s="40">
        <v>12</v>
      </c>
      <c r="R20" s="40">
        <v>12</v>
      </c>
      <c r="S20" s="40">
        <v>12</v>
      </c>
      <c r="T20" s="40">
        <v>12</v>
      </c>
      <c r="U20" s="40">
        <v>12</v>
      </c>
      <c r="V20" s="40">
        <v>12</v>
      </c>
      <c r="W20" s="40">
        <v>12</v>
      </c>
      <c r="X20" s="40">
        <v>12</v>
      </c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L20" s="22">
        <f t="shared" si="0"/>
        <v>216</v>
      </c>
      <c r="AM20" s="22">
        <f t="shared" si="1"/>
        <v>18</v>
      </c>
      <c r="AN20" s="22">
        <v>0</v>
      </c>
      <c r="AO20" s="12"/>
      <c r="AR20" s="49"/>
      <c r="AS20" s="49"/>
      <c r="AT20" s="49"/>
      <c r="AU20" s="49"/>
      <c r="AV20" s="49"/>
      <c r="AW20" s="49"/>
    </row>
    <row r="21" spans="1:49" ht="18" customHeight="1" x14ac:dyDescent="0.35">
      <c r="A21" s="11"/>
      <c r="B21" s="20">
        <v>11</v>
      </c>
      <c r="C21" s="102" t="s">
        <v>69</v>
      </c>
      <c r="D21" s="103"/>
      <c r="E21" s="38" t="s">
        <v>70</v>
      </c>
      <c r="F21" s="38" t="s">
        <v>71</v>
      </c>
      <c r="G21" s="40">
        <v>12</v>
      </c>
      <c r="H21" s="40">
        <v>12</v>
      </c>
      <c r="I21" s="40">
        <v>12</v>
      </c>
      <c r="J21" s="40">
        <v>12</v>
      </c>
      <c r="K21" s="40">
        <v>12</v>
      </c>
      <c r="L21" s="40">
        <v>12</v>
      </c>
      <c r="M21" s="40">
        <v>12</v>
      </c>
      <c r="N21" s="22">
        <v>12</v>
      </c>
      <c r="O21" s="22">
        <v>12</v>
      </c>
      <c r="P21" s="22">
        <v>12</v>
      </c>
      <c r="Q21" s="22">
        <v>12</v>
      </c>
      <c r="R21" s="22">
        <v>12</v>
      </c>
      <c r="S21" s="40">
        <v>12</v>
      </c>
      <c r="T21" s="40">
        <v>12</v>
      </c>
      <c r="U21" s="40">
        <v>12</v>
      </c>
      <c r="V21" s="40">
        <v>12</v>
      </c>
      <c r="W21" s="40">
        <v>12</v>
      </c>
      <c r="X21" s="40">
        <v>12</v>
      </c>
      <c r="Y21" s="40">
        <v>12</v>
      </c>
      <c r="Z21" s="40">
        <v>12</v>
      </c>
      <c r="AA21" s="40">
        <v>12</v>
      </c>
      <c r="AB21" s="40">
        <v>12</v>
      </c>
      <c r="AC21" s="40">
        <v>12</v>
      </c>
      <c r="AD21" s="40">
        <v>12</v>
      </c>
      <c r="AE21" s="40">
        <v>12</v>
      </c>
      <c r="AF21" s="40">
        <v>12</v>
      </c>
      <c r="AG21" s="40">
        <v>12</v>
      </c>
      <c r="AH21" s="40">
        <v>12</v>
      </c>
      <c r="AI21" s="40">
        <v>12</v>
      </c>
      <c r="AJ21" s="40">
        <v>12</v>
      </c>
      <c r="AL21" s="22">
        <f t="shared" si="0"/>
        <v>360</v>
      </c>
      <c r="AM21" s="22">
        <f t="shared" si="1"/>
        <v>30</v>
      </c>
      <c r="AN21" s="22">
        <v>0</v>
      </c>
      <c r="AO21" s="12"/>
      <c r="AR21" s="49"/>
      <c r="AS21" s="49"/>
      <c r="AT21" s="49"/>
      <c r="AU21" s="49"/>
      <c r="AV21" s="49"/>
      <c r="AW21" s="49"/>
    </row>
    <row r="22" spans="1:49" ht="18" customHeight="1" x14ac:dyDescent="0.35">
      <c r="A22" s="11"/>
      <c r="B22" s="20">
        <v>12</v>
      </c>
      <c r="C22" s="102" t="s">
        <v>20</v>
      </c>
      <c r="D22" s="103"/>
      <c r="E22" s="38" t="s">
        <v>72</v>
      </c>
      <c r="F22" s="38" t="s">
        <v>73</v>
      </c>
      <c r="G22" s="40">
        <v>12</v>
      </c>
      <c r="H22" s="40">
        <v>12</v>
      </c>
      <c r="I22" s="40">
        <v>12</v>
      </c>
      <c r="J22" s="40">
        <v>12</v>
      </c>
      <c r="K22" s="40">
        <v>12</v>
      </c>
      <c r="L22" s="40">
        <v>12</v>
      </c>
      <c r="M22" s="40">
        <v>12</v>
      </c>
      <c r="N22" s="22">
        <v>12</v>
      </c>
      <c r="O22" s="22">
        <v>12</v>
      </c>
      <c r="P22" s="22">
        <v>12</v>
      </c>
      <c r="Q22" s="22">
        <v>12</v>
      </c>
      <c r="R22" s="22">
        <v>12</v>
      </c>
      <c r="S22" s="40">
        <v>12</v>
      </c>
      <c r="T22" s="40">
        <v>12</v>
      </c>
      <c r="U22" s="40">
        <v>12</v>
      </c>
      <c r="V22" s="40">
        <v>12</v>
      </c>
      <c r="W22" s="40">
        <v>12</v>
      </c>
      <c r="X22" s="40">
        <v>12</v>
      </c>
      <c r="Y22" s="40">
        <v>12</v>
      </c>
      <c r="Z22" s="40">
        <v>12</v>
      </c>
      <c r="AA22" s="40">
        <v>12</v>
      </c>
      <c r="AB22" s="40">
        <v>12</v>
      </c>
      <c r="AC22" s="40">
        <v>12</v>
      </c>
      <c r="AD22" s="40">
        <v>12</v>
      </c>
      <c r="AE22" s="40">
        <v>12</v>
      </c>
      <c r="AF22" s="40">
        <v>12</v>
      </c>
      <c r="AG22" s="40">
        <v>12</v>
      </c>
      <c r="AH22" s="40">
        <v>12</v>
      </c>
      <c r="AI22" s="40">
        <v>12</v>
      </c>
      <c r="AJ22" s="40">
        <v>12</v>
      </c>
      <c r="AL22" s="22">
        <f t="shared" si="0"/>
        <v>360</v>
      </c>
      <c r="AM22" s="22">
        <f t="shared" si="1"/>
        <v>30</v>
      </c>
      <c r="AN22" s="22">
        <v>0</v>
      </c>
      <c r="AO22" s="12"/>
      <c r="AR22" s="49"/>
      <c r="AS22" s="49"/>
      <c r="AT22" s="49"/>
      <c r="AU22" s="49"/>
      <c r="AV22" s="49"/>
      <c r="AW22" s="49"/>
    </row>
    <row r="23" spans="1:49" ht="18" customHeight="1" x14ac:dyDescent="0.35">
      <c r="A23" s="11"/>
      <c r="B23" s="20">
        <v>13</v>
      </c>
      <c r="C23" s="102" t="s">
        <v>110</v>
      </c>
      <c r="D23" s="103"/>
      <c r="E23" s="38" t="s">
        <v>74</v>
      </c>
      <c r="F23" s="38" t="s">
        <v>75</v>
      </c>
      <c r="G23" s="40">
        <v>12</v>
      </c>
      <c r="H23" s="40">
        <v>12</v>
      </c>
      <c r="I23" s="40">
        <v>12</v>
      </c>
      <c r="J23" s="40">
        <v>12</v>
      </c>
      <c r="K23" s="40">
        <v>12</v>
      </c>
      <c r="L23" s="40">
        <v>12</v>
      </c>
      <c r="M23" s="40">
        <v>12</v>
      </c>
      <c r="N23" s="22">
        <v>12</v>
      </c>
      <c r="O23" s="22">
        <v>12</v>
      </c>
      <c r="P23" s="22">
        <v>12</v>
      </c>
      <c r="Q23" s="22">
        <v>12</v>
      </c>
      <c r="R23" s="22">
        <v>12</v>
      </c>
      <c r="S23" s="40">
        <v>12</v>
      </c>
      <c r="T23" s="40">
        <v>12</v>
      </c>
      <c r="U23" s="40">
        <v>12</v>
      </c>
      <c r="V23" s="40">
        <v>12</v>
      </c>
      <c r="W23" s="40">
        <v>12</v>
      </c>
      <c r="X23" s="40">
        <v>12</v>
      </c>
      <c r="Y23" s="40">
        <v>12</v>
      </c>
      <c r="Z23" s="40">
        <v>12</v>
      </c>
      <c r="AA23" s="40">
        <v>12</v>
      </c>
      <c r="AB23" s="40">
        <v>12</v>
      </c>
      <c r="AC23" s="40">
        <v>12</v>
      </c>
      <c r="AD23" s="40">
        <v>12</v>
      </c>
      <c r="AE23" s="40">
        <v>12</v>
      </c>
      <c r="AF23" s="40">
        <v>12</v>
      </c>
      <c r="AG23" s="40">
        <v>12</v>
      </c>
      <c r="AH23" s="40">
        <v>12</v>
      </c>
      <c r="AI23" s="40">
        <v>12</v>
      </c>
      <c r="AJ23" s="40">
        <v>12</v>
      </c>
      <c r="AL23" s="22">
        <f t="shared" si="0"/>
        <v>360</v>
      </c>
      <c r="AM23" s="22">
        <f t="shared" si="1"/>
        <v>30</v>
      </c>
      <c r="AN23" s="22">
        <v>0</v>
      </c>
      <c r="AO23" s="12"/>
      <c r="AR23" s="49"/>
      <c r="AS23" s="49"/>
      <c r="AT23" s="49"/>
      <c r="AU23" s="49"/>
      <c r="AV23" s="49"/>
      <c r="AW23" s="49"/>
    </row>
    <row r="24" spans="1:49" ht="18" customHeight="1" x14ac:dyDescent="0.35">
      <c r="A24" s="11"/>
      <c r="B24" s="20">
        <v>14</v>
      </c>
      <c r="C24" s="102" t="s">
        <v>44</v>
      </c>
      <c r="D24" s="103"/>
      <c r="E24" s="38" t="s">
        <v>45</v>
      </c>
      <c r="F24" s="38" t="s">
        <v>77</v>
      </c>
      <c r="G24" s="40">
        <v>12</v>
      </c>
      <c r="H24" s="40">
        <v>12</v>
      </c>
      <c r="I24" s="40">
        <v>12</v>
      </c>
      <c r="J24" s="40">
        <v>12</v>
      </c>
      <c r="K24" s="40">
        <v>12</v>
      </c>
      <c r="L24" s="40">
        <v>12</v>
      </c>
      <c r="M24" s="40">
        <v>12</v>
      </c>
      <c r="N24" s="40">
        <v>12</v>
      </c>
      <c r="O24" s="40">
        <v>12</v>
      </c>
      <c r="P24" s="40">
        <v>12</v>
      </c>
      <c r="Q24" s="40">
        <v>12</v>
      </c>
      <c r="R24" s="40">
        <v>12</v>
      </c>
      <c r="S24" s="40">
        <v>12</v>
      </c>
      <c r="T24" s="40">
        <v>12</v>
      </c>
      <c r="U24" s="40">
        <v>12</v>
      </c>
      <c r="V24" s="40">
        <v>12</v>
      </c>
      <c r="W24" s="40">
        <v>12</v>
      </c>
      <c r="X24" s="40">
        <v>12</v>
      </c>
      <c r="Y24" s="40">
        <v>12</v>
      </c>
      <c r="Z24" s="40">
        <v>12</v>
      </c>
      <c r="AA24" s="40">
        <v>12</v>
      </c>
      <c r="AB24" s="40">
        <v>12</v>
      </c>
      <c r="AC24" s="40">
        <v>12</v>
      </c>
      <c r="AD24" s="40">
        <v>12</v>
      </c>
      <c r="AE24" s="40">
        <v>12</v>
      </c>
      <c r="AF24" s="40">
        <v>12</v>
      </c>
      <c r="AG24" s="40">
        <v>12</v>
      </c>
      <c r="AH24" s="40">
        <v>12</v>
      </c>
      <c r="AI24" s="40">
        <v>12</v>
      </c>
      <c r="AJ24" s="40">
        <v>12</v>
      </c>
      <c r="AL24" s="22">
        <f t="shared" si="0"/>
        <v>360</v>
      </c>
      <c r="AM24" s="22">
        <f t="shared" si="1"/>
        <v>30</v>
      </c>
      <c r="AN24" s="22">
        <v>0</v>
      </c>
      <c r="AO24" s="12"/>
      <c r="AR24" s="49"/>
      <c r="AS24" s="49"/>
      <c r="AT24" s="49"/>
      <c r="AU24" s="49"/>
      <c r="AV24" s="49"/>
      <c r="AW24" s="49"/>
    </row>
    <row r="25" spans="1:49" ht="18" customHeight="1" x14ac:dyDescent="0.35">
      <c r="A25" s="11"/>
      <c r="B25" s="20">
        <v>15</v>
      </c>
      <c r="C25" s="102" t="s">
        <v>44</v>
      </c>
      <c r="D25" s="103"/>
      <c r="E25" s="38" t="s">
        <v>68</v>
      </c>
      <c r="F25" s="38" t="s">
        <v>76</v>
      </c>
      <c r="G25" s="40">
        <v>12</v>
      </c>
      <c r="H25" s="40">
        <v>12</v>
      </c>
      <c r="I25" s="40">
        <v>12</v>
      </c>
      <c r="J25" s="40">
        <v>12</v>
      </c>
      <c r="K25" s="40">
        <v>12</v>
      </c>
      <c r="L25" s="40">
        <v>12</v>
      </c>
      <c r="M25" s="40">
        <v>12</v>
      </c>
      <c r="N25" s="40">
        <v>12</v>
      </c>
      <c r="O25" s="40">
        <v>12</v>
      </c>
      <c r="P25" s="40">
        <v>12</v>
      </c>
      <c r="Q25" s="40">
        <v>12</v>
      </c>
      <c r="R25" s="40">
        <v>12</v>
      </c>
      <c r="S25" s="40">
        <v>12</v>
      </c>
      <c r="T25" s="40">
        <v>12</v>
      </c>
      <c r="U25" s="40">
        <v>12</v>
      </c>
      <c r="V25" s="40">
        <v>12</v>
      </c>
      <c r="W25" s="40">
        <v>12</v>
      </c>
      <c r="X25" s="40">
        <v>12</v>
      </c>
      <c r="Y25" s="40">
        <v>12</v>
      </c>
      <c r="Z25" s="40">
        <v>12</v>
      </c>
      <c r="AA25" s="40">
        <v>12</v>
      </c>
      <c r="AB25" s="40">
        <v>12</v>
      </c>
      <c r="AC25" s="40">
        <v>12</v>
      </c>
      <c r="AD25" s="40">
        <v>12</v>
      </c>
      <c r="AE25" s="40">
        <v>12</v>
      </c>
      <c r="AF25" s="40">
        <v>12</v>
      </c>
      <c r="AG25" s="40">
        <v>12</v>
      </c>
      <c r="AH25" s="40">
        <v>12</v>
      </c>
      <c r="AI25" s="40">
        <v>12</v>
      </c>
      <c r="AJ25" s="40">
        <v>12</v>
      </c>
      <c r="AL25" s="22">
        <f t="shared" si="0"/>
        <v>360</v>
      </c>
      <c r="AM25" s="22">
        <f t="shared" si="1"/>
        <v>30</v>
      </c>
      <c r="AN25" s="22">
        <v>0</v>
      </c>
      <c r="AO25" s="12"/>
      <c r="AR25" s="49"/>
      <c r="AS25" s="49"/>
      <c r="AT25" s="49"/>
      <c r="AU25" s="49"/>
      <c r="AV25" s="49"/>
      <c r="AW25" s="49"/>
    </row>
    <row r="26" spans="1:49" ht="18" customHeight="1" x14ac:dyDescent="0.35">
      <c r="A26" s="11"/>
      <c r="B26" s="20">
        <v>16</v>
      </c>
      <c r="C26" s="102" t="s">
        <v>80</v>
      </c>
      <c r="D26" s="103"/>
      <c r="E26" s="38" t="s">
        <v>85</v>
      </c>
      <c r="F26" s="38" t="s">
        <v>81</v>
      </c>
      <c r="G26" s="40">
        <v>12</v>
      </c>
      <c r="H26" s="40">
        <v>12</v>
      </c>
      <c r="I26" s="40">
        <v>12</v>
      </c>
      <c r="J26" s="40">
        <v>12</v>
      </c>
      <c r="K26" s="40">
        <v>12</v>
      </c>
      <c r="L26" s="40">
        <v>12</v>
      </c>
      <c r="M26" s="40">
        <v>12</v>
      </c>
      <c r="N26" s="40">
        <v>12</v>
      </c>
      <c r="O26" s="40">
        <v>12</v>
      </c>
      <c r="P26" s="40">
        <v>12</v>
      </c>
      <c r="Q26" s="40">
        <v>12</v>
      </c>
      <c r="R26" s="40">
        <v>12</v>
      </c>
      <c r="S26" s="40">
        <v>12</v>
      </c>
      <c r="T26" s="40">
        <v>12</v>
      </c>
      <c r="U26" s="40">
        <v>12</v>
      </c>
      <c r="V26" s="40">
        <v>12</v>
      </c>
      <c r="W26" s="40">
        <v>12</v>
      </c>
      <c r="X26" s="40">
        <v>12</v>
      </c>
      <c r="Y26" s="40">
        <v>12</v>
      </c>
      <c r="Z26" s="40">
        <v>12</v>
      </c>
      <c r="AA26" s="40">
        <v>12</v>
      </c>
      <c r="AB26" s="40">
        <v>12</v>
      </c>
      <c r="AC26" s="40">
        <v>12</v>
      </c>
      <c r="AD26" s="40">
        <v>12</v>
      </c>
      <c r="AE26" s="40">
        <v>12</v>
      </c>
      <c r="AF26" s="40">
        <v>12</v>
      </c>
      <c r="AG26" s="40">
        <v>12</v>
      </c>
      <c r="AH26" s="40">
        <v>12</v>
      </c>
      <c r="AI26" s="40">
        <v>12</v>
      </c>
      <c r="AJ26" s="40">
        <v>12</v>
      </c>
      <c r="AL26" s="22">
        <f t="shared" si="0"/>
        <v>360</v>
      </c>
      <c r="AM26" s="22">
        <f t="shared" si="1"/>
        <v>30</v>
      </c>
      <c r="AN26" s="22">
        <v>0</v>
      </c>
      <c r="AO26" s="12"/>
      <c r="AR26" s="49"/>
      <c r="AS26" s="49"/>
      <c r="AT26" s="49"/>
      <c r="AU26" s="49"/>
      <c r="AV26" s="49"/>
      <c r="AW26" s="49"/>
    </row>
    <row r="27" spans="1:49" ht="18" customHeight="1" x14ac:dyDescent="0.35">
      <c r="A27" s="11"/>
      <c r="B27" s="20">
        <v>17</v>
      </c>
      <c r="C27" s="102" t="s">
        <v>44</v>
      </c>
      <c r="D27" s="103"/>
      <c r="E27" s="38" t="s">
        <v>78</v>
      </c>
      <c r="F27" s="38" t="s">
        <v>79</v>
      </c>
      <c r="G27" s="40">
        <v>12</v>
      </c>
      <c r="H27" s="40">
        <v>12</v>
      </c>
      <c r="I27" s="40">
        <v>12</v>
      </c>
      <c r="J27" s="40">
        <v>12</v>
      </c>
      <c r="K27" s="40">
        <v>12</v>
      </c>
      <c r="L27" s="40">
        <v>12</v>
      </c>
      <c r="M27" s="40">
        <v>12</v>
      </c>
      <c r="N27" s="40">
        <v>12</v>
      </c>
      <c r="O27" s="40">
        <v>12</v>
      </c>
      <c r="P27" s="40">
        <v>12</v>
      </c>
      <c r="Q27" s="40">
        <v>12</v>
      </c>
      <c r="R27" s="40">
        <v>12</v>
      </c>
      <c r="S27" s="40">
        <v>12</v>
      </c>
      <c r="T27" s="40">
        <v>12</v>
      </c>
      <c r="U27" s="40">
        <v>12</v>
      </c>
      <c r="V27" s="40">
        <v>12</v>
      </c>
      <c r="W27" s="40">
        <v>12</v>
      </c>
      <c r="X27" s="40">
        <v>12</v>
      </c>
      <c r="Y27" s="40">
        <v>12</v>
      </c>
      <c r="Z27" s="40">
        <v>12</v>
      </c>
      <c r="AA27" s="40">
        <v>12</v>
      </c>
      <c r="AB27" s="40">
        <v>12</v>
      </c>
      <c r="AC27" s="40">
        <v>12</v>
      </c>
      <c r="AD27" s="40">
        <v>12</v>
      </c>
      <c r="AE27" s="40">
        <v>12</v>
      </c>
      <c r="AF27" s="40">
        <v>12</v>
      </c>
      <c r="AG27" s="40">
        <v>12</v>
      </c>
      <c r="AH27" s="40">
        <v>12</v>
      </c>
      <c r="AI27" s="40">
        <v>12</v>
      </c>
      <c r="AJ27" s="40">
        <v>12</v>
      </c>
      <c r="AL27" s="22">
        <f t="shared" si="0"/>
        <v>360</v>
      </c>
      <c r="AM27" s="22">
        <f t="shared" si="1"/>
        <v>30</v>
      </c>
      <c r="AN27" s="22">
        <v>0</v>
      </c>
      <c r="AO27" s="12"/>
      <c r="AR27" s="49"/>
      <c r="AS27" s="49"/>
      <c r="AT27" s="49"/>
      <c r="AU27" s="49"/>
      <c r="AV27" s="49"/>
      <c r="AW27" s="49"/>
    </row>
    <row r="28" spans="1:49" ht="18" customHeight="1" x14ac:dyDescent="0.35">
      <c r="A28" s="11"/>
      <c r="B28" s="20">
        <v>18</v>
      </c>
      <c r="C28" s="102" t="s">
        <v>38</v>
      </c>
      <c r="D28" s="103"/>
      <c r="E28" s="38" t="s">
        <v>82</v>
      </c>
      <c r="F28" s="38" t="s">
        <v>83</v>
      </c>
      <c r="G28" s="40">
        <v>12</v>
      </c>
      <c r="H28" s="40">
        <v>12</v>
      </c>
      <c r="I28" s="40">
        <v>12</v>
      </c>
      <c r="J28" s="40">
        <v>12</v>
      </c>
      <c r="K28" s="40">
        <v>12</v>
      </c>
      <c r="L28" s="40">
        <v>12</v>
      </c>
      <c r="M28" s="40">
        <v>12</v>
      </c>
      <c r="N28" s="40">
        <v>12</v>
      </c>
      <c r="O28" s="40">
        <v>12</v>
      </c>
      <c r="P28" s="40">
        <v>12</v>
      </c>
      <c r="Q28" s="40">
        <v>12</v>
      </c>
      <c r="R28" s="40">
        <v>12</v>
      </c>
      <c r="S28" s="40">
        <v>12</v>
      </c>
      <c r="T28" s="40">
        <v>12</v>
      </c>
      <c r="U28" s="40">
        <v>12</v>
      </c>
      <c r="V28" s="40">
        <v>12</v>
      </c>
      <c r="W28" s="40">
        <v>12</v>
      </c>
      <c r="X28" s="40">
        <v>12</v>
      </c>
      <c r="Y28" s="40">
        <v>12</v>
      </c>
      <c r="Z28" s="40">
        <v>12</v>
      </c>
      <c r="AA28" s="40">
        <v>12</v>
      </c>
      <c r="AB28" s="40">
        <v>12</v>
      </c>
      <c r="AC28" s="40">
        <v>12</v>
      </c>
      <c r="AD28" s="40">
        <v>12</v>
      </c>
      <c r="AE28" s="40">
        <v>12</v>
      </c>
      <c r="AF28" s="40">
        <v>12</v>
      </c>
      <c r="AG28" s="40">
        <v>12</v>
      </c>
      <c r="AH28" s="40">
        <v>12</v>
      </c>
      <c r="AI28" s="40">
        <v>12</v>
      </c>
      <c r="AJ28" s="40">
        <v>12</v>
      </c>
      <c r="AL28" s="22">
        <f t="shared" si="0"/>
        <v>360</v>
      </c>
      <c r="AM28" s="22">
        <f t="shared" si="1"/>
        <v>30</v>
      </c>
      <c r="AN28" s="22">
        <v>0</v>
      </c>
      <c r="AO28" s="12"/>
      <c r="AR28" s="49"/>
      <c r="AS28" s="49"/>
      <c r="AT28" s="49"/>
      <c r="AU28" s="49"/>
      <c r="AV28" s="49"/>
      <c r="AW28" s="49"/>
    </row>
    <row r="29" spans="1:49" ht="18" customHeight="1" x14ac:dyDescent="0.35">
      <c r="A29" s="11"/>
      <c r="B29" s="20">
        <v>19</v>
      </c>
      <c r="C29" s="102" t="s">
        <v>88</v>
      </c>
      <c r="D29" s="103"/>
      <c r="E29" s="38" t="s">
        <v>71</v>
      </c>
      <c r="F29" s="38" t="s">
        <v>86</v>
      </c>
      <c r="G29" s="40">
        <v>12</v>
      </c>
      <c r="H29" s="40">
        <v>12</v>
      </c>
      <c r="I29" s="40">
        <v>12</v>
      </c>
      <c r="J29" s="40">
        <v>12</v>
      </c>
      <c r="K29" s="40">
        <v>12</v>
      </c>
      <c r="L29" s="40">
        <v>12</v>
      </c>
      <c r="M29" s="40">
        <v>12</v>
      </c>
      <c r="N29" s="40">
        <v>12</v>
      </c>
      <c r="O29" s="40">
        <v>12</v>
      </c>
      <c r="P29" s="40">
        <v>12</v>
      </c>
      <c r="Q29" s="40">
        <v>12</v>
      </c>
      <c r="R29" s="40">
        <v>12</v>
      </c>
      <c r="S29" s="40">
        <v>12</v>
      </c>
      <c r="T29" s="40">
        <v>12</v>
      </c>
      <c r="U29" s="40">
        <v>12</v>
      </c>
      <c r="V29" s="40">
        <v>12</v>
      </c>
      <c r="W29" s="40">
        <v>12</v>
      </c>
      <c r="X29" s="40">
        <v>12</v>
      </c>
      <c r="Y29" s="40">
        <v>12</v>
      </c>
      <c r="Z29" s="40">
        <v>12</v>
      </c>
      <c r="AA29" s="40">
        <v>12</v>
      </c>
      <c r="AB29" s="40">
        <v>12</v>
      </c>
      <c r="AC29" s="40">
        <v>12</v>
      </c>
      <c r="AD29" s="40">
        <v>12</v>
      </c>
      <c r="AE29" s="40">
        <v>12</v>
      </c>
      <c r="AF29" s="40">
        <v>12</v>
      </c>
      <c r="AG29" s="40">
        <v>12</v>
      </c>
      <c r="AH29" s="40">
        <v>12</v>
      </c>
      <c r="AI29" s="40">
        <v>12</v>
      </c>
      <c r="AJ29" s="40">
        <v>12</v>
      </c>
      <c r="AL29" s="22">
        <f t="shared" si="0"/>
        <v>360</v>
      </c>
      <c r="AM29" s="22">
        <f t="shared" si="1"/>
        <v>30</v>
      </c>
      <c r="AN29" s="22">
        <v>0</v>
      </c>
      <c r="AO29" s="12"/>
      <c r="AR29" s="49"/>
      <c r="AS29" s="49"/>
      <c r="AT29" s="49"/>
      <c r="AU29" s="49"/>
      <c r="AV29" s="49"/>
      <c r="AW29" s="49"/>
    </row>
    <row r="30" spans="1:49" ht="18" customHeight="1" x14ac:dyDescent="0.35">
      <c r="A30" s="11"/>
      <c r="B30" s="20">
        <v>20</v>
      </c>
      <c r="C30" s="102" t="s">
        <v>92</v>
      </c>
      <c r="D30" s="103"/>
      <c r="E30" s="38" t="s">
        <v>91</v>
      </c>
      <c r="F30" s="38" t="s">
        <v>90</v>
      </c>
      <c r="G30" s="40"/>
      <c r="H30" s="40">
        <v>12</v>
      </c>
      <c r="I30" s="40">
        <v>12</v>
      </c>
      <c r="J30" s="40">
        <v>12</v>
      </c>
      <c r="K30" s="40">
        <v>12</v>
      </c>
      <c r="L30" s="40">
        <v>12</v>
      </c>
      <c r="M30" s="40">
        <v>12</v>
      </c>
      <c r="N30" s="40">
        <v>12</v>
      </c>
      <c r="O30" s="40">
        <v>12</v>
      </c>
      <c r="P30" s="40">
        <v>12</v>
      </c>
      <c r="Q30" s="40">
        <v>12</v>
      </c>
      <c r="R30" s="40">
        <v>12</v>
      </c>
      <c r="S30" s="40">
        <v>12</v>
      </c>
      <c r="T30" s="40">
        <v>12</v>
      </c>
      <c r="U30" s="40">
        <v>12</v>
      </c>
      <c r="V30" s="40">
        <v>12</v>
      </c>
      <c r="W30" s="40">
        <v>12</v>
      </c>
      <c r="X30" s="40">
        <v>12</v>
      </c>
      <c r="Y30" s="40">
        <v>12</v>
      </c>
      <c r="Z30" s="40">
        <v>12</v>
      </c>
      <c r="AA30" s="40">
        <v>12</v>
      </c>
      <c r="AB30" s="40">
        <v>12</v>
      </c>
      <c r="AC30" s="40">
        <v>12</v>
      </c>
      <c r="AD30" s="40">
        <v>12</v>
      </c>
      <c r="AE30" s="40">
        <v>12</v>
      </c>
      <c r="AF30" s="40">
        <v>12</v>
      </c>
      <c r="AG30" s="40">
        <v>12</v>
      </c>
      <c r="AH30" s="40">
        <v>12</v>
      </c>
      <c r="AI30" s="40">
        <v>12</v>
      </c>
      <c r="AJ30" s="40">
        <v>12</v>
      </c>
      <c r="AL30" s="22">
        <f t="shared" si="0"/>
        <v>348</v>
      </c>
      <c r="AM30" s="22">
        <f t="shared" si="1"/>
        <v>29</v>
      </c>
      <c r="AN30" s="22">
        <v>0</v>
      </c>
      <c r="AO30" s="12"/>
      <c r="AR30" s="49"/>
      <c r="AS30" s="49"/>
      <c r="AT30" s="49"/>
      <c r="AU30" s="49"/>
      <c r="AV30" s="49"/>
      <c r="AW30" s="49"/>
    </row>
    <row r="31" spans="1:49" ht="18" customHeight="1" x14ac:dyDescent="0.35">
      <c r="A31" s="11"/>
      <c r="B31" s="20">
        <v>21</v>
      </c>
      <c r="C31" s="102" t="s">
        <v>20</v>
      </c>
      <c r="D31" s="103"/>
      <c r="E31" s="38" t="s">
        <v>94</v>
      </c>
      <c r="F31" s="38" t="s">
        <v>93</v>
      </c>
      <c r="G31" s="40"/>
      <c r="H31" s="40">
        <v>12</v>
      </c>
      <c r="I31" s="40">
        <v>12</v>
      </c>
      <c r="J31" s="40">
        <v>12</v>
      </c>
      <c r="K31" s="40">
        <v>12</v>
      </c>
      <c r="L31" s="40">
        <v>12</v>
      </c>
      <c r="M31" s="40">
        <v>12</v>
      </c>
      <c r="N31" s="40">
        <v>12</v>
      </c>
      <c r="O31" s="40">
        <v>12</v>
      </c>
      <c r="P31" s="40">
        <v>12</v>
      </c>
      <c r="Q31" s="40">
        <v>12</v>
      </c>
      <c r="R31" s="40">
        <v>12</v>
      </c>
      <c r="S31" s="40">
        <v>12</v>
      </c>
      <c r="T31" s="40">
        <v>12</v>
      </c>
      <c r="U31" s="40">
        <v>12</v>
      </c>
      <c r="V31" s="40">
        <v>12</v>
      </c>
      <c r="W31" s="40">
        <v>12</v>
      </c>
      <c r="X31" s="40">
        <v>12</v>
      </c>
      <c r="Y31" s="40">
        <v>12</v>
      </c>
      <c r="Z31" s="40">
        <v>12</v>
      </c>
      <c r="AA31" s="40">
        <v>12</v>
      </c>
      <c r="AB31" s="40">
        <v>12</v>
      </c>
      <c r="AC31" s="40">
        <v>12</v>
      </c>
      <c r="AD31" s="40">
        <v>12</v>
      </c>
      <c r="AE31" s="40">
        <v>12</v>
      </c>
      <c r="AF31" s="40">
        <v>12</v>
      </c>
      <c r="AG31" s="40">
        <v>12</v>
      </c>
      <c r="AH31" s="40">
        <v>12</v>
      </c>
      <c r="AI31" s="40">
        <v>12</v>
      </c>
      <c r="AJ31" s="40">
        <v>12</v>
      </c>
      <c r="AL31" s="22">
        <f t="shared" si="0"/>
        <v>348</v>
      </c>
      <c r="AM31" s="22">
        <f t="shared" si="1"/>
        <v>29</v>
      </c>
      <c r="AN31" s="22">
        <v>0</v>
      </c>
      <c r="AO31" s="12"/>
      <c r="AR31" s="49"/>
      <c r="AS31" s="49"/>
      <c r="AT31" s="49"/>
      <c r="AU31" s="49"/>
      <c r="AV31" s="49"/>
      <c r="AW31" s="49"/>
    </row>
    <row r="32" spans="1:49" ht="18" customHeight="1" x14ac:dyDescent="0.35">
      <c r="A32" s="11"/>
      <c r="B32" s="20">
        <v>22</v>
      </c>
      <c r="C32" s="102" t="s">
        <v>38</v>
      </c>
      <c r="D32" s="103"/>
      <c r="E32" s="38" t="s">
        <v>96</v>
      </c>
      <c r="F32" s="38" t="s">
        <v>95</v>
      </c>
      <c r="G32" s="40"/>
      <c r="H32" s="40">
        <v>12</v>
      </c>
      <c r="I32" s="40">
        <v>12</v>
      </c>
      <c r="J32" s="40">
        <v>12</v>
      </c>
      <c r="K32" s="40">
        <v>12</v>
      </c>
      <c r="L32" s="40">
        <v>12</v>
      </c>
      <c r="M32" s="40">
        <v>12</v>
      </c>
      <c r="N32" s="40">
        <v>12</v>
      </c>
      <c r="O32" s="40">
        <v>12</v>
      </c>
      <c r="P32" s="40">
        <v>12</v>
      </c>
      <c r="Q32" s="40">
        <v>12</v>
      </c>
      <c r="R32" s="40">
        <v>12</v>
      </c>
      <c r="S32" s="40">
        <v>12</v>
      </c>
      <c r="T32" s="40">
        <v>12</v>
      </c>
      <c r="U32" s="40">
        <v>12</v>
      </c>
      <c r="V32" s="40">
        <v>12</v>
      </c>
      <c r="W32" s="40">
        <v>12</v>
      </c>
      <c r="X32" s="40">
        <v>12</v>
      </c>
      <c r="Y32" s="40">
        <v>12</v>
      </c>
      <c r="Z32" s="40">
        <v>12</v>
      </c>
      <c r="AA32" s="40">
        <v>12</v>
      </c>
      <c r="AB32" s="40">
        <v>12</v>
      </c>
      <c r="AC32" s="40">
        <v>12</v>
      </c>
      <c r="AD32" s="40">
        <v>12</v>
      </c>
      <c r="AE32" s="40">
        <v>12</v>
      </c>
      <c r="AF32" s="40">
        <v>12</v>
      </c>
      <c r="AG32" s="40">
        <v>12</v>
      </c>
      <c r="AH32" s="40">
        <v>12</v>
      </c>
      <c r="AI32" s="40">
        <v>12</v>
      </c>
      <c r="AJ32" s="40">
        <v>12</v>
      </c>
      <c r="AL32" s="22">
        <f t="shared" si="0"/>
        <v>348</v>
      </c>
      <c r="AM32" s="22">
        <f t="shared" si="1"/>
        <v>29</v>
      </c>
      <c r="AN32" s="22">
        <v>0</v>
      </c>
      <c r="AO32" s="12"/>
      <c r="AR32" s="49"/>
      <c r="AS32" s="49"/>
      <c r="AT32" s="49"/>
      <c r="AU32" s="49"/>
      <c r="AV32" s="49"/>
      <c r="AW32" s="49"/>
    </row>
    <row r="33" spans="1:53" ht="18" customHeight="1" x14ac:dyDescent="0.35">
      <c r="A33" s="11"/>
      <c r="B33" s="20">
        <v>23</v>
      </c>
      <c r="C33" s="102" t="s">
        <v>88</v>
      </c>
      <c r="D33" s="103"/>
      <c r="E33" s="38" t="s">
        <v>97</v>
      </c>
      <c r="F33" s="38" t="s">
        <v>98</v>
      </c>
      <c r="G33" s="40"/>
      <c r="H33" s="40"/>
      <c r="I33" s="40"/>
      <c r="J33" s="40">
        <v>12</v>
      </c>
      <c r="K33" s="40">
        <v>12</v>
      </c>
      <c r="L33" s="40">
        <v>12</v>
      </c>
      <c r="M33" s="40">
        <v>12</v>
      </c>
      <c r="N33" s="40">
        <v>12</v>
      </c>
      <c r="O33" s="40">
        <v>12</v>
      </c>
      <c r="P33" s="40">
        <v>12</v>
      </c>
      <c r="Q33" s="40">
        <v>12</v>
      </c>
      <c r="R33" s="40">
        <v>12</v>
      </c>
      <c r="S33" s="40">
        <v>12</v>
      </c>
      <c r="T33" s="40">
        <v>12</v>
      </c>
      <c r="U33" s="40">
        <v>12</v>
      </c>
      <c r="V33" s="40">
        <v>12</v>
      </c>
      <c r="W33" s="40">
        <v>12</v>
      </c>
      <c r="X33" s="40">
        <v>12</v>
      </c>
      <c r="Y33" s="40">
        <v>12</v>
      </c>
      <c r="Z33" s="40">
        <v>12</v>
      </c>
      <c r="AA33" s="40">
        <v>12</v>
      </c>
      <c r="AB33" s="40">
        <v>12</v>
      </c>
      <c r="AC33" s="40">
        <v>12</v>
      </c>
      <c r="AD33" s="40">
        <v>12</v>
      </c>
      <c r="AE33" s="40">
        <v>12</v>
      </c>
      <c r="AF33" s="40">
        <v>12</v>
      </c>
      <c r="AG33" s="40">
        <v>12</v>
      </c>
      <c r="AH33" s="40">
        <v>12</v>
      </c>
      <c r="AI33" s="40">
        <v>12</v>
      </c>
      <c r="AJ33" s="40">
        <v>12</v>
      </c>
      <c r="AL33" s="22">
        <f t="shared" si="0"/>
        <v>324</v>
      </c>
      <c r="AM33" s="22">
        <f t="shared" si="1"/>
        <v>27</v>
      </c>
      <c r="AN33" s="22">
        <v>0</v>
      </c>
      <c r="AO33" s="12"/>
      <c r="AR33" s="49"/>
      <c r="AS33" s="49"/>
      <c r="AT33" s="49"/>
      <c r="AU33" s="49"/>
      <c r="AV33" s="49"/>
      <c r="AW33" s="49"/>
    </row>
    <row r="34" spans="1:53" ht="18" customHeight="1" x14ac:dyDescent="0.35">
      <c r="A34" s="11"/>
      <c r="B34" s="20">
        <v>24</v>
      </c>
      <c r="C34" s="47" t="s">
        <v>38</v>
      </c>
      <c r="D34" s="48"/>
      <c r="E34" s="38" t="s">
        <v>62</v>
      </c>
      <c r="F34" s="38" t="s">
        <v>101</v>
      </c>
      <c r="G34" s="40"/>
      <c r="H34" s="40"/>
      <c r="I34" s="40"/>
      <c r="J34" s="40"/>
      <c r="K34" s="40"/>
      <c r="L34" s="40"/>
      <c r="M34" s="40">
        <v>12</v>
      </c>
      <c r="N34" s="40">
        <v>12</v>
      </c>
      <c r="O34" s="40">
        <v>12</v>
      </c>
      <c r="P34" s="40">
        <v>12</v>
      </c>
      <c r="Q34" s="40">
        <v>12</v>
      </c>
      <c r="R34" s="40">
        <v>12</v>
      </c>
      <c r="S34" s="40">
        <v>12</v>
      </c>
      <c r="T34" s="40">
        <v>12</v>
      </c>
      <c r="U34" s="40">
        <v>12</v>
      </c>
      <c r="V34" s="40">
        <v>12</v>
      </c>
      <c r="W34" s="40">
        <v>12</v>
      </c>
      <c r="X34" s="40">
        <v>12</v>
      </c>
      <c r="Y34" s="40">
        <v>12</v>
      </c>
      <c r="Z34" s="40">
        <v>12</v>
      </c>
      <c r="AA34" s="40">
        <v>12</v>
      </c>
      <c r="AB34" s="40">
        <v>12</v>
      </c>
      <c r="AC34" s="40">
        <v>12</v>
      </c>
      <c r="AD34" s="40">
        <v>12</v>
      </c>
      <c r="AE34" s="40">
        <v>12</v>
      </c>
      <c r="AF34" s="40">
        <v>12</v>
      </c>
      <c r="AG34" s="40">
        <v>12</v>
      </c>
      <c r="AH34" s="40">
        <v>12</v>
      </c>
      <c r="AI34" s="40">
        <v>12</v>
      </c>
      <c r="AJ34" s="40">
        <v>12</v>
      </c>
      <c r="AL34" s="22">
        <f t="shared" si="0"/>
        <v>288</v>
      </c>
      <c r="AM34" s="22">
        <f t="shared" si="1"/>
        <v>24</v>
      </c>
      <c r="AN34" s="22">
        <v>0</v>
      </c>
      <c r="AO34" s="12"/>
      <c r="AR34" s="49"/>
      <c r="AS34" s="49"/>
      <c r="AT34" s="49"/>
      <c r="AU34" s="49"/>
      <c r="AV34" s="49"/>
      <c r="AW34" s="49"/>
    </row>
    <row r="35" spans="1:53" ht="18" customHeight="1" x14ac:dyDescent="0.35">
      <c r="A35" s="11"/>
      <c r="B35" s="20">
        <v>25</v>
      </c>
      <c r="C35" s="102" t="s">
        <v>20</v>
      </c>
      <c r="D35" s="103"/>
      <c r="E35" s="38" t="s">
        <v>100</v>
      </c>
      <c r="F35" s="38" t="s">
        <v>99</v>
      </c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>
        <v>12</v>
      </c>
      <c r="R35" s="40">
        <v>12</v>
      </c>
      <c r="S35" s="40">
        <v>12</v>
      </c>
      <c r="T35" s="40">
        <v>12</v>
      </c>
      <c r="U35" s="40">
        <v>12</v>
      </c>
      <c r="V35" s="40">
        <v>12</v>
      </c>
      <c r="W35" s="40">
        <v>12</v>
      </c>
      <c r="X35" s="40">
        <v>12</v>
      </c>
      <c r="Y35" s="40">
        <v>12</v>
      </c>
      <c r="Z35" s="40">
        <v>12</v>
      </c>
      <c r="AA35" s="40">
        <v>12</v>
      </c>
      <c r="AB35" s="40">
        <v>12</v>
      </c>
      <c r="AC35" s="40">
        <v>12</v>
      </c>
      <c r="AD35" s="40">
        <v>12</v>
      </c>
      <c r="AE35" s="40">
        <v>12</v>
      </c>
      <c r="AF35" s="40">
        <v>12</v>
      </c>
      <c r="AG35" s="40">
        <v>12</v>
      </c>
      <c r="AH35" s="40">
        <v>12</v>
      </c>
      <c r="AI35" s="40">
        <v>12</v>
      </c>
      <c r="AJ35" s="40">
        <v>12</v>
      </c>
      <c r="AL35" s="22">
        <f t="shared" si="0"/>
        <v>240</v>
      </c>
      <c r="AM35" s="22">
        <f t="shared" si="1"/>
        <v>20</v>
      </c>
      <c r="AN35" s="22">
        <v>0</v>
      </c>
      <c r="AO35" s="12"/>
      <c r="AR35" s="49"/>
      <c r="AS35" s="49"/>
      <c r="AT35" s="49"/>
      <c r="AU35" s="49"/>
      <c r="AV35" s="49"/>
      <c r="AW35" s="49"/>
    </row>
    <row r="36" spans="1:53" ht="18" customHeight="1" x14ac:dyDescent="0.35">
      <c r="A36" s="11"/>
      <c r="B36" s="20">
        <v>26</v>
      </c>
      <c r="C36" s="102" t="s">
        <v>20</v>
      </c>
      <c r="D36" s="103"/>
      <c r="E36" s="38" t="s">
        <v>102</v>
      </c>
      <c r="F36" s="38" t="s">
        <v>103</v>
      </c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>
        <v>12</v>
      </c>
      <c r="R36" s="40">
        <v>12</v>
      </c>
      <c r="S36" s="40">
        <v>12</v>
      </c>
      <c r="T36" s="40">
        <v>12</v>
      </c>
      <c r="U36" s="40">
        <v>12</v>
      </c>
      <c r="V36" s="40">
        <v>12</v>
      </c>
      <c r="W36" s="40">
        <v>12</v>
      </c>
      <c r="X36" s="40">
        <v>12</v>
      </c>
      <c r="Y36" s="40">
        <v>12</v>
      </c>
      <c r="Z36" s="40">
        <v>12</v>
      </c>
      <c r="AA36" s="40">
        <v>12</v>
      </c>
      <c r="AB36" s="40">
        <v>12</v>
      </c>
      <c r="AC36" s="40">
        <v>12</v>
      </c>
      <c r="AD36" s="40">
        <v>12</v>
      </c>
      <c r="AE36" s="40">
        <v>12</v>
      </c>
      <c r="AF36" s="40">
        <v>12</v>
      </c>
      <c r="AG36" s="40">
        <v>12</v>
      </c>
      <c r="AH36" s="40">
        <v>12</v>
      </c>
      <c r="AI36" s="40">
        <v>12</v>
      </c>
      <c r="AJ36" s="40">
        <v>12</v>
      </c>
      <c r="AL36" s="22">
        <f t="shared" si="0"/>
        <v>240</v>
      </c>
      <c r="AM36" s="22">
        <f t="shared" si="1"/>
        <v>20</v>
      </c>
      <c r="AN36" s="22">
        <v>0</v>
      </c>
      <c r="AO36" s="12"/>
      <c r="AR36" s="101"/>
      <c r="AS36" s="101"/>
      <c r="AT36" s="101"/>
      <c r="AU36" s="101"/>
      <c r="AV36" s="101"/>
      <c r="AW36" s="101"/>
    </row>
    <row r="37" spans="1:53" ht="18" customHeight="1" x14ac:dyDescent="0.35">
      <c r="A37" s="11"/>
      <c r="B37" s="20">
        <v>27</v>
      </c>
      <c r="C37" s="102" t="s">
        <v>20</v>
      </c>
      <c r="D37" s="103"/>
      <c r="E37" s="38" t="s">
        <v>104</v>
      </c>
      <c r="F37" s="38" t="s">
        <v>105</v>
      </c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>
        <v>12</v>
      </c>
      <c r="W37" s="40">
        <v>12</v>
      </c>
      <c r="X37" s="40">
        <v>12</v>
      </c>
      <c r="Y37" s="40">
        <v>12</v>
      </c>
      <c r="Z37" s="40">
        <v>12</v>
      </c>
      <c r="AA37" s="40">
        <v>12</v>
      </c>
      <c r="AB37" s="40">
        <v>12</v>
      </c>
      <c r="AC37" s="40">
        <v>12</v>
      </c>
      <c r="AD37" s="40">
        <v>12</v>
      </c>
      <c r="AE37" s="40">
        <v>12</v>
      </c>
      <c r="AF37" s="40">
        <v>12</v>
      </c>
      <c r="AG37" s="40">
        <v>12</v>
      </c>
      <c r="AH37" s="40">
        <v>12</v>
      </c>
      <c r="AI37" s="40">
        <v>12</v>
      </c>
      <c r="AJ37" s="40">
        <v>12</v>
      </c>
      <c r="AL37" s="22">
        <f t="shared" si="0"/>
        <v>180</v>
      </c>
      <c r="AM37" s="22">
        <f t="shared" si="1"/>
        <v>15</v>
      </c>
      <c r="AN37" s="22">
        <v>0</v>
      </c>
      <c r="AO37" s="12"/>
      <c r="AR37" s="104"/>
      <c r="AS37" s="104"/>
      <c r="AT37" s="104"/>
      <c r="AU37" s="104"/>
      <c r="AV37" s="104"/>
      <c r="AW37" s="104"/>
    </row>
    <row r="38" spans="1:53" ht="18" customHeight="1" x14ac:dyDescent="0.35">
      <c r="A38" s="11"/>
      <c r="B38" s="20">
        <v>28</v>
      </c>
      <c r="C38" s="102" t="s">
        <v>20</v>
      </c>
      <c r="D38" s="103"/>
      <c r="E38" s="38" t="s">
        <v>107</v>
      </c>
      <c r="F38" s="38" t="s">
        <v>106</v>
      </c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>
        <v>12</v>
      </c>
      <c r="W38" s="40">
        <v>12</v>
      </c>
      <c r="X38" s="40">
        <v>12</v>
      </c>
      <c r="Y38" s="40">
        <v>12</v>
      </c>
      <c r="Z38" s="40">
        <v>12</v>
      </c>
      <c r="AA38" s="40">
        <v>12</v>
      </c>
      <c r="AB38" s="40">
        <v>12</v>
      </c>
      <c r="AC38" s="40">
        <v>12</v>
      </c>
      <c r="AD38" s="40">
        <v>12</v>
      </c>
      <c r="AE38" s="40">
        <v>12</v>
      </c>
      <c r="AF38" s="40">
        <v>12</v>
      </c>
      <c r="AG38" s="40">
        <v>12</v>
      </c>
      <c r="AH38" s="40">
        <v>12</v>
      </c>
      <c r="AI38" s="40">
        <v>12</v>
      </c>
      <c r="AJ38" s="40">
        <v>12</v>
      </c>
      <c r="AL38" s="22">
        <f t="shared" si="0"/>
        <v>180</v>
      </c>
      <c r="AM38" s="22">
        <f t="shared" si="1"/>
        <v>15</v>
      </c>
      <c r="AN38" s="22">
        <v>0</v>
      </c>
      <c r="AO38" s="12"/>
      <c r="AR38" s="104"/>
      <c r="AS38" s="104"/>
      <c r="AT38" s="104"/>
      <c r="AU38" s="104"/>
      <c r="AV38" s="104"/>
      <c r="AW38" s="104"/>
      <c r="AX38" s="35"/>
    </row>
    <row r="39" spans="1:53" ht="18" customHeight="1" x14ac:dyDescent="0.35">
      <c r="A39" s="11"/>
      <c r="B39" s="20">
        <v>29</v>
      </c>
      <c r="C39" s="102" t="s">
        <v>88</v>
      </c>
      <c r="D39" s="103"/>
      <c r="E39" s="38" t="s">
        <v>109</v>
      </c>
      <c r="F39" s="38" t="s">
        <v>108</v>
      </c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>
        <v>12</v>
      </c>
      <c r="W39" s="40">
        <v>12</v>
      </c>
      <c r="X39" s="40">
        <v>12</v>
      </c>
      <c r="Y39" s="40">
        <v>12</v>
      </c>
      <c r="Z39" s="40">
        <v>12</v>
      </c>
      <c r="AA39" s="40">
        <v>12</v>
      </c>
      <c r="AB39" s="40">
        <v>12</v>
      </c>
      <c r="AC39" s="40">
        <v>12</v>
      </c>
      <c r="AD39" s="40">
        <v>12</v>
      </c>
      <c r="AE39" s="40">
        <v>12</v>
      </c>
      <c r="AF39" s="40">
        <v>12</v>
      </c>
      <c r="AG39" s="40">
        <v>12</v>
      </c>
      <c r="AH39" s="40">
        <v>12</v>
      </c>
      <c r="AI39" s="40">
        <v>12</v>
      </c>
      <c r="AJ39" s="40">
        <v>12</v>
      </c>
      <c r="AL39" s="22">
        <f t="shared" si="0"/>
        <v>180</v>
      </c>
      <c r="AM39" s="22">
        <f t="shared" si="1"/>
        <v>15</v>
      </c>
      <c r="AN39" s="22">
        <v>0</v>
      </c>
      <c r="AO39" s="12"/>
    </row>
    <row r="40" spans="1:53" ht="18" customHeight="1" x14ac:dyDescent="0.35">
      <c r="A40" s="11"/>
      <c r="B40" s="20">
        <v>30</v>
      </c>
      <c r="C40" s="47" t="s">
        <v>38</v>
      </c>
      <c r="D40" s="48"/>
      <c r="E40" s="38" t="s">
        <v>111</v>
      </c>
      <c r="F40" s="38" t="s">
        <v>112</v>
      </c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>
        <v>12</v>
      </c>
      <c r="Y40" s="40">
        <v>12</v>
      </c>
      <c r="Z40" s="40">
        <v>12</v>
      </c>
      <c r="AA40" s="40">
        <v>12</v>
      </c>
      <c r="AB40" s="40">
        <v>12</v>
      </c>
      <c r="AC40" s="40">
        <v>12</v>
      </c>
      <c r="AD40" s="40">
        <v>12</v>
      </c>
      <c r="AE40" s="40">
        <v>12</v>
      </c>
      <c r="AF40" s="40">
        <v>12</v>
      </c>
      <c r="AG40" s="40">
        <v>12</v>
      </c>
      <c r="AH40" s="40">
        <v>12</v>
      </c>
      <c r="AI40" s="40">
        <v>12</v>
      </c>
      <c r="AJ40" s="40">
        <v>12</v>
      </c>
      <c r="AL40" s="22">
        <f t="shared" si="0"/>
        <v>156</v>
      </c>
      <c r="AM40" s="22">
        <f t="shared" si="1"/>
        <v>13</v>
      </c>
      <c r="AN40" s="22">
        <v>0</v>
      </c>
      <c r="AO40" s="12"/>
    </row>
    <row r="41" spans="1:53" ht="18" customHeight="1" x14ac:dyDescent="0.35">
      <c r="A41" s="11"/>
      <c r="B41" s="20">
        <v>31</v>
      </c>
      <c r="C41" s="102" t="s">
        <v>47</v>
      </c>
      <c r="D41" s="103"/>
      <c r="E41" s="38" t="s">
        <v>116</v>
      </c>
      <c r="F41" s="38" t="s">
        <v>115</v>
      </c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>
        <v>12</v>
      </c>
      <c r="Y41" s="40">
        <v>12</v>
      </c>
      <c r="Z41" s="40">
        <v>12</v>
      </c>
      <c r="AA41" s="40">
        <v>12</v>
      </c>
      <c r="AB41" s="40">
        <v>12</v>
      </c>
      <c r="AC41" s="40">
        <v>12</v>
      </c>
      <c r="AD41" s="40">
        <v>12</v>
      </c>
      <c r="AE41" s="40">
        <v>12</v>
      </c>
      <c r="AF41" s="40">
        <v>12</v>
      </c>
      <c r="AG41" s="40">
        <v>12</v>
      </c>
      <c r="AH41" s="40">
        <v>12</v>
      </c>
      <c r="AI41" s="40">
        <v>12</v>
      </c>
      <c r="AJ41" s="40">
        <v>12</v>
      </c>
      <c r="AL41" s="22">
        <f t="shared" si="0"/>
        <v>156</v>
      </c>
      <c r="AM41" s="22">
        <f t="shared" si="1"/>
        <v>13</v>
      </c>
      <c r="AN41" s="22">
        <v>0</v>
      </c>
      <c r="AO41" s="12"/>
    </row>
    <row r="42" spans="1:53" ht="18" customHeight="1" x14ac:dyDescent="0.35">
      <c r="A42" s="11"/>
      <c r="B42" s="20">
        <v>32</v>
      </c>
      <c r="C42" s="47" t="s">
        <v>44</v>
      </c>
      <c r="D42" s="48"/>
      <c r="E42" s="38" t="s">
        <v>118</v>
      </c>
      <c r="F42" s="38" t="s">
        <v>117</v>
      </c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>
        <v>12</v>
      </c>
      <c r="AF42" s="40">
        <v>12</v>
      </c>
      <c r="AG42" s="40">
        <v>12</v>
      </c>
      <c r="AH42" s="40">
        <v>12</v>
      </c>
      <c r="AI42" s="40">
        <v>12</v>
      </c>
      <c r="AJ42" s="40">
        <v>12</v>
      </c>
      <c r="AL42" s="22">
        <f t="shared" si="0"/>
        <v>72</v>
      </c>
      <c r="AM42" s="22">
        <f t="shared" si="1"/>
        <v>6</v>
      </c>
      <c r="AN42" s="22">
        <v>0</v>
      </c>
      <c r="AO42" s="12"/>
      <c r="BA42" t="s">
        <v>24</v>
      </c>
    </row>
    <row r="43" spans="1:53" ht="18" customHeight="1" x14ac:dyDescent="0.35">
      <c r="A43" s="11"/>
      <c r="B43" s="20">
        <v>33</v>
      </c>
      <c r="C43" s="102" t="s">
        <v>44</v>
      </c>
      <c r="D43" s="103"/>
      <c r="E43" s="38" t="s">
        <v>113</v>
      </c>
      <c r="F43" s="38" t="s">
        <v>114</v>
      </c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>
        <v>12</v>
      </c>
      <c r="AF43" s="40">
        <v>12</v>
      </c>
      <c r="AG43" s="40">
        <v>12</v>
      </c>
      <c r="AH43" s="40">
        <v>12</v>
      </c>
      <c r="AI43" s="40">
        <v>12</v>
      </c>
      <c r="AJ43" s="40">
        <v>12</v>
      </c>
      <c r="AL43" s="22">
        <f t="shared" si="0"/>
        <v>72</v>
      </c>
      <c r="AM43" s="22">
        <f t="shared" si="1"/>
        <v>6</v>
      </c>
      <c r="AN43" s="22">
        <v>0</v>
      </c>
      <c r="AO43" s="12"/>
    </row>
    <row r="44" spans="1:53" ht="17.25" customHeight="1" x14ac:dyDescent="0.35">
      <c r="A44" s="11"/>
      <c r="B44" s="20"/>
      <c r="C44" s="20"/>
      <c r="D44" s="21"/>
      <c r="E44" s="20"/>
      <c r="F44" s="21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L44" s="22">
        <f t="shared" si="0"/>
        <v>0</v>
      </c>
      <c r="AM44" s="22">
        <f t="shared" si="1"/>
        <v>0</v>
      </c>
      <c r="AN44" s="22">
        <v>0</v>
      </c>
      <c r="AO44" s="12"/>
    </row>
    <row r="45" spans="1:53" ht="18" hidden="1" customHeight="1" x14ac:dyDescent="0.35">
      <c r="A45" s="11"/>
      <c r="B45" s="20"/>
      <c r="C45" s="7"/>
      <c r="D45" s="8"/>
      <c r="E45" s="7"/>
      <c r="F45" s="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L45" s="9">
        <f t="shared" si="0"/>
        <v>0</v>
      </c>
      <c r="AM45" s="22">
        <f t="shared" si="1"/>
        <v>0</v>
      </c>
      <c r="AN45" s="9">
        <f t="shared" ref="AN45:AN54" si="2">COUNTIF(G45:AK45,"Q")</f>
        <v>0</v>
      </c>
      <c r="AO45" s="12"/>
    </row>
    <row r="46" spans="1:53" ht="18" hidden="1" customHeight="1" thickBot="1" x14ac:dyDescent="0.4">
      <c r="A46" s="11"/>
      <c r="B46" s="7"/>
      <c r="C46" s="20"/>
      <c r="D46" s="21"/>
      <c r="E46" s="20"/>
      <c r="F46" s="21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L46" s="22">
        <f t="shared" si="0"/>
        <v>0</v>
      </c>
      <c r="AM46" s="22">
        <f t="shared" si="1"/>
        <v>0</v>
      </c>
      <c r="AN46" s="9">
        <f t="shared" si="2"/>
        <v>0</v>
      </c>
      <c r="AO46" s="12"/>
    </row>
    <row r="47" spans="1:53" ht="18" hidden="1" customHeight="1" thickBot="1" x14ac:dyDescent="0.4">
      <c r="A47" s="11"/>
      <c r="B47" s="20"/>
      <c r="C47" s="20"/>
      <c r="D47" s="21"/>
      <c r="E47" s="20"/>
      <c r="F47" s="21"/>
      <c r="G47" s="9"/>
      <c r="H47" s="9"/>
      <c r="I47" s="9"/>
      <c r="J47" s="9"/>
      <c r="K47" s="9"/>
      <c r="L47" s="9"/>
      <c r="M47" s="9"/>
      <c r="N47" s="9"/>
      <c r="O47" s="9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L47" s="22">
        <f t="shared" si="0"/>
        <v>0</v>
      </c>
      <c r="AM47" s="22">
        <f t="shared" si="1"/>
        <v>0</v>
      </c>
      <c r="AN47" s="9">
        <f t="shared" si="2"/>
        <v>0</v>
      </c>
      <c r="AO47" s="12"/>
    </row>
    <row r="48" spans="1:53" ht="18" hidden="1" customHeight="1" thickBot="1" x14ac:dyDescent="0.4">
      <c r="A48" s="11"/>
      <c r="B48" s="7"/>
      <c r="C48" s="7"/>
      <c r="D48" s="8"/>
      <c r="E48" s="7"/>
      <c r="F48" s="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L48" s="9">
        <f t="shared" si="0"/>
        <v>0</v>
      </c>
      <c r="AM48" s="22">
        <f t="shared" si="1"/>
        <v>0</v>
      </c>
      <c r="AN48" s="9">
        <f t="shared" si="2"/>
        <v>0</v>
      </c>
      <c r="AO48" s="12"/>
    </row>
    <row r="49" spans="1:53" ht="18" hidden="1" customHeight="1" thickBot="1" x14ac:dyDescent="0.4">
      <c r="A49" s="11"/>
      <c r="B49" s="20"/>
      <c r="C49" s="20"/>
      <c r="D49" s="21"/>
      <c r="E49" s="20"/>
      <c r="F49" s="21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22"/>
      <c r="AL49" s="22">
        <f t="shared" si="0"/>
        <v>0</v>
      </c>
      <c r="AM49" s="22">
        <f t="shared" si="1"/>
        <v>0</v>
      </c>
      <c r="AN49" s="9">
        <f t="shared" si="2"/>
        <v>0</v>
      </c>
      <c r="AO49" s="12"/>
    </row>
    <row r="50" spans="1:53" ht="18" hidden="1" customHeight="1" thickBot="1" x14ac:dyDescent="0.4">
      <c r="A50" s="11"/>
      <c r="B50" s="7"/>
      <c r="C50" s="7"/>
      <c r="D50" s="8"/>
      <c r="E50" s="7"/>
      <c r="F50" s="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L50" s="9">
        <f t="shared" si="0"/>
        <v>0</v>
      </c>
      <c r="AM50" s="22">
        <f t="shared" si="1"/>
        <v>0</v>
      </c>
      <c r="AN50" s="9">
        <f t="shared" si="2"/>
        <v>0</v>
      </c>
      <c r="AO50" s="12"/>
    </row>
    <row r="51" spans="1:53" ht="18" hidden="1" customHeight="1" thickBot="1" x14ac:dyDescent="0.4">
      <c r="A51" s="11"/>
      <c r="B51" s="20"/>
      <c r="C51" s="20"/>
      <c r="D51" s="21"/>
      <c r="E51" s="20"/>
      <c r="F51" s="2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L51" s="22">
        <f t="shared" si="0"/>
        <v>0</v>
      </c>
      <c r="AM51" s="22">
        <f t="shared" si="1"/>
        <v>0</v>
      </c>
      <c r="AN51" s="9">
        <f t="shared" si="2"/>
        <v>0</v>
      </c>
      <c r="AO51" s="12"/>
    </row>
    <row r="52" spans="1:53" s="1" customFormat="1" ht="18" hidden="1" customHeight="1" thickBot="1" x14ac:dyDescent="0.4">
      <c r="A52" s="11"/>
      <c r="B52" s="7"/>
      <c r="C52" s="20"/>
      <c r="D52" s="21"/>
      <c r="E52" s="20"/>
      <c r="F52" s="21"/>
      <c r="G52" s="22"/>
      <c r="H52" s="22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L52" s="22">
        <f t="shared" si="0"/>
        <v>0</v>
      </c>
      <c r="AM52" s="22">
        <f t="shared" si="1"/>
        <v>0</v>
      </c>
      <c r="AN52" s="9">
        <f t="shared" si="2"/>
        <v>0</v>
      </c>
      <c r="AO52" s="12"/>
      <c r="AQ52"/>
      <c r="AR52"/>
      <c r="AS52"/>
      <c r="AT52"/>
      <c r="AU52"/>
      <c r="AV52"/>
      <c r="AW52"/>
      <c r="AX52"/>
      <c r="AY52"/>
      <c r="AZ52"/>
      <c r="BA52"/>
    </row>
    <row r="53" spans="1:53" s="1" customFormat="1" ht="18" hidden="1" customHeight="1" thickBot="1" x14ac:dyDescent="0.4">
      <c r="A53" s="11"/>
      <c r="B53" s="20"/>
      <c r="C53" s="7"/>
      <c r="D53" s="8"/>
      <c r="E53" s="7"/>
      <c r="F53" s="8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L53" s="9">
        <f t="shared" si="0"/>
        <v>0</v>
      </c>
      <c r="AM53" s="22">
        <f t="shared" si="1"/>
        <v>0</v>
      </c>
      <c r="AN53" s="9">
        <f t="shared" si="2"/>
        <v>0</v>
      </c>
      <c r="AO53" s="12"/>
      <c r="AQ53"/>
      <c r="AR53"/>
      <c r="AS53"/>
      <c r="AT53"/>
      <c r="AU53"/>
      <c r="AV53"/>
      <c r="AW53"/>
      <c r="AX53"/>
      <c r="AY53"/>
      <c r="AZ53"/>
      <c r="BA53"/>
    </row>
    <row r="54" spans="1:53" s="1" customFormat="1" ht="18" hidden="1" customHeight="1" thickBot="1" x14ac:dyDescent="0.4">
      <c r="A54" s="11"/>
      <c r="B54" s="7"/>
      <c r="C54" s="20"/>
      <c r="D54" s="21"/>
      <c r="E54" s="20"/>
      <c r="F54" s="21"/>
      <c r="G54" s="9"/>
      <c r="H54" s="9"/>
      <c r="I54" s="9"/>
      <c r="J54" s="9"/>
      <c r="K54" s="9"/>
      <c r="L54" s="9"/>
      <c r="M54" s="9"/>
      <c r="N54" s="9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L54" s="22">
        <f t="shared" si="0"/>
        <v>0</v>
      </c>
      <c r="AM54" s="22">
        <f t="shared" si="1"/>
        <v>0</v>
      </c>
      <c r="AN54" s="22">
        <f t="shared" si="2"/>
        <v>0</v>
      </c>
      <c r="AO54" s="12"/>
      <c r="AQ54"/>
      <c r="AR54"/>
      <c r="AS54"/>
      <c r="AT54"/>
      <c r="AU54"/>
      <c r="AV54"/>
      <c r="AW54"/>
      <c r="AX54"/>
      <c r="AY54"/>
      <c r="AZ54"/>
      <c r="BA54"/>
    </row>
    <row r="55" spans="1:53" s="1" customFormat="1" ht="15" thickBot="1" x14ac:dyDescent="0.4">
      <c r="A55" s="11"/>
      <c r="AO55" s="12"/>
      <c r="AQ55"/>
      <c r="AR55"/>
      <c r="AS55"/>
      <c r="AT55"/>
      <c r="AU55"/>
      <c r="AV55"/>
      <c r="AW55"/>
      <c r="AX55"/>
      <c r="AY55"/>
      <c r="AZ55"/>
      <c r="BA55"/>
    </row>
    <row r="56" spans="1:53" s="1" customFormat="1" ht="26.25" customHeight="1" x14ac:dyDescent="0.35">
      <c r="A56" s="11"/>
      <c r="B56" s="10" t="s">
        <v>11</v>
      </c>
      <c r="C56" s="22"/>
      <c r="D56" s="1" t="s">
        <v>7</v>
      </c>
      <c r="E56" s="29"/>
      <c r="F56" s="30"/>
      <c r="H56" s="26"/>
      <c r="I56" s="26"/>
      <c r="J56" s="26"/>
      <c r="K56" s="105" t="s">
        <v>23</v>
      </c>
      <c r="L56" s="105"/>
      <c r="M56" s="105"/>
      <c r="N56" s="105"/>
      <c r="O56" s="105"/>
      <c r="P56" s="105"/>
      <c r="Q56" s="105"/>
      <c r="R56" s="105"/>
      <c r="S56" s="105"/>
      <c r="T56" s="26"/>
      <c r="Z56" s="106" t="s">
        <v>9</v>
      </c>
      <c r="AA56" s="107"/>
      <c r="AB56" s="107"/>
      <c r="AC56" s="107"/>
      <c r="AD56" s="107"/>
      <c r="AE56" s="107"/>
      <c r="AF56" s="107"/>
      <c r="AG56" s="107"/>
      <c r="AH56" s="107"/>
      <c r="AI56" s="107"/>
      <c r="AJ56" s="107"/>
      <c r="AL56" s="5">
        <f>SUM(AL11:AL54)</f>
        <v>7992</v>
      </c>
      <c r="AM56" s="5">
        <f>SUM(AM11:AM54)</f>
        <v>666</v>
      </c>
      <c r="AN56" s="5">
        <f>SUM(AN11:AN54)</f>
        <v>0</v>
      </c>
      <c r="AO56" s="12"/>
      <c r="AQ56"/>
      <c r="AR56"/>
      <c r="AS56"/>
      <c r="AT56"/>
      <c r="AU56"/>
      <c r="AV56"/>
      <c r="AW56"/>
      <c r="AX56"/>
      <c r="AY56"/>
      <c r="AZ56"/>
      <c r="BA56"/>
    </row>
    <row r="57" spans="1:53" s="1" customFormat="1" ht="14.5" x14ac:dyDescent="0.35">
      <c r="A57" s="11"/>
      <c r="B57" s="10" t="s">
        <v>12</v>
      </c>
      <c r="C57" s="24"/>
      <c r="D57" s="1" t="s">
        <v>13</v>
      </c>
      <c r="E57" s="31"/>
      <c r="F57" s="32"/>
      <c r="K57" s="108" t="s">
        <v>35</v>
      </c>
      <c r="L57" s="109"/>
      <c r="M57" s="109"/>
      <c r="N57" s="109"/>
      <c r="O57" s="109"/>
      <c r="P57" s="109"/>
      <c r="Q57" s="109"/>
      <c r="R57" s="109"/>
      <c r="S57" s="110"/>
      <c r="Z57" s="114" t="s">
        <v>17</v>
      </c>
      <c r="AA57" s="115"/>
      <c r="AB57" s="115"/>
      <c r="AC57" s="115"/>
      <c r="AD57" s="116"/>
      <c r="AE57" s="45"/>
      <c r="AF57" s="45"/>
      <c r="AG57" s="114" t="s">
        <v>17</v>
      </c>
      <c r="AH57" s="115"/>
      <c r="AI57" s="115"/>
      <c r="AJ57" s="115"/>
      <c r="AO57" s="12"/>
      <c r="AQ57"/>
      <c r="AR57"/>
      <c r="AS57"/>
      <c r="AT57"/>
      <c r="AU57"/>
      <c r="AV57"/>
      <c r="AW57"/>
      <c r="AX57"/>
      <c r="AY57"/>
      <c r="AZ57"/>
      <c r="BA57"/>
    </row>
    <row r="58" spans="1:53" s="1" customFormat="1" ht="18" customHeight="1" x14ac:dyDescent="0.35">
      <c r="A58" s="11"/>
      <c r="B58" s="10" t="s">
        <v>22</v>
      </c>
      <c r="C58" s="25"/>
      <c r="D58" s="1" t="s">
        <v>14</v>
      </c>
      <c r="E58" s="31"/>
      <c r="F58" s="32"/>
      <c r="K58" s="111"/>
      <c r="L58" s="112"/>
      <c r="M58" s="112"/>
      <c r="N58" s="112"/>
      <c r="O58" s="112"/>
      <c r="P58" s="112"/>
      <c r="Q58" s="112"/>
      <c r="R58" s="112"/>
      <c r="S58" s="113"/>
      <c r="Z58" s="117" t="s">
        <v>25</v>
      </c>
      <c r="AA58" s="118"/>
      <c r="AB58" s="118"/>
      <c r="AC58" s="118"/>
      <c r="AD58" s="119"/>
      <c r="AE58" s="44"/>
      <c r="AF58" s="44"/>
      <c r="AG58" s="118" t="s">
        <v>34</v>
      </c>
      <c r="AH58" s="118"/>
      <c r="AI58" s="118"/>
      <c r="AJ58" s="118"/>
      <c r="AO58" s="12"/>
      <c r="AQ58"/>
      <c r="AR58"/>
      <c r="AS58"/>
      <c r="AT58"/>
      <c r="AU58"/>
      <c r="AV58"/>
      <c r="AW58"/>
      <c r="AX58"/>
      <c r="AY58"/>
      <c r="AZ58"/>
      <c r="BA58"/>
    </row>
    <row r="59" spans="1:53" s="1" customFormat="1" ht="18" customHeight="1" x14ac:dyDescent="0.35">
      <c r="A59" s="11"/>
      <c r="B59" s="10" t="s">
        <v>15</v>
      </c>
      <c r="C59" s="27"/>
      <c r="D59" s="1" t="s">
        <v>16</v>
      </c>
      <c r="E59" s="33"/>
      <c r="F59" s="34"/>
      <c r="K59" s="108"/>
      <c r="L59" s="109"/>
      <c r="M59" s="109"/>
      <c r="N59" s="109"/>
      <c r="O59" s="110"/>
      <c r="P59" s="120">
        <v>46295</v>
      </c>
      <c r="Q59" s="109"/>
      <c r="R59" s="109"/>
      <c r="S59" s="110"/>
      <c r="Z59" s="121"/>
      <c r="AA59" s="122"/>
      <c r="AB59" s="122"/>
      <c r="AC59" s="122"/>
      <c r="AD59" s="122"/>
      <c r="AE59" s="42"/>
      <c r="AF59" s="42"/>
      <c r="AG59" s="125"/>
      <c r="AH59" s="122"/>
      <c r="AI59" s="122"/>
      <c r="AJ59" s="122"/>
      <c r="AO59" s="12"/>
      <c r="AQ59"/>
      <c r="AR59"/>
      <c r="AS59"/>
      <c r="AT59"/>
      <c r="AU59"/>
      <c r="AV59"/>
      <c r="AW59"/>
      <c r="AX59"/>
      <c r="AY59"/>
      <c r="AZ59"/>
      <c r="BA59"/>
    </row>
    <row r="60" spans="1:53" s="1" customFormat="1" ht="18" customHeight="1" x14ac:dyDescent="0.35">
      <c r="A60" s="11"/>
      <c r="K60" s="111"/>
      <c r="L60" s="112"/>
      <c r="M60" s="112"/>
      <c r="N60" s="112"/>
      <c r="O60" s="113"/>
      <c r="P60" s="111"/>
      <c r="Q60" s="112"/>
      <c r="R60" s="112"/>
      <c r="S60" s="113"/>
      <c r="Z60" s="123"/>
      <c r="AA60" s="124"/>
      <c r="AB60" s="124"/>
      <c r="AC60" s="124"/>
      <c r="AD60" s="124"/>
      <c r="AE60" s="43"/>
      <c r="AF60" s="43"/>
      <c r="AG60" s="126"/>
      <c r="AH60" s="124"/>
      <c r="AI60" s="124"/>
      <c r="AJ60" s="124"/>
      <c r="AO60" s="12"/>
      <c r="AQ60"/>
      <c r="AR60"/>
      <c r="AS60"/>
      <c r="AT60"/>
      <c r="AU60"/>
      <c r="AV60"/>
      <c r="AW60"/>
      <c r="AX60"/>
      <c r="AY60"/>
      <c r="AZ60"/>
      <c r="BA60"/>
    </row>
    <row r="61" spans="1:53" s="1" customFormat="1" ht="18" customHeight="1" thickBot="1" x14ac:dyDescent="0.4">
      <c r="A61" s="11"/>
      <c r="Z61" s="127" t="s">
        <v>8</v>
      </c>
      <c r="AA61" s="128"/>
      <c r="AB61" s="129"/>
      <c r="AC61" s="129"/>
      <c r="AD61" s="129"/>
      <c r="AE61" s="41"/>
      <c r="AF61" s="41"/>
      <c r="AG61" s="130" t="s">
        <v>8</v>
      </c>
      <c r="AH61" s="128"/>
      <c r="AI61" s="129"/>
      <c r="AJ61" s="129"/>
      <c r="AO61" s="12"/>
      <c r="AQ61"/>
      <c r="AR61"/>
      <c r="AS61"/>
      <c r="AT61"/>
      <c r="AU61"/>
      <c r="AV61"/>
      <c r="AW61"/>
      <c r="AX61"/>
      <c r="AY61"/>
      <c r="AZ61"/>
      <c r="BA61"/>
    </row>
    <row r="62" spans="1:53" s="1" customFormat="1" ht="9.9" customHeight="1" thickBot="1" x14ac:dyDescent="0.4">
      <c r="A62" s="1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16"/>
      <c r="AQ62"/>
      <c r="AR62"/>
      <c r="AS62"/>
      <c r="AT62"/>
      <c r="AU62"/>
      <c r="AV62"/>
      <c r="AW62"/>
      <c r="AX62"/>
      <c r="AY62"/>
      <c r="AZ62"/>
      <c r="BA62"/>
    </row>
    <row r="65" spans="12:53" s="1" customFormat="1" ht="18" customHeight="1" x14ac:dyDescent="0.35">
      <c r="L65" s="101"/>
      <c r="M65" s="101"/>
      <c r="N65" s="101"/>
      <c r="O65" s="101"/>
      <c r="P65" s="101"/>
      <c r="Q65" s="101"/>
      <c r="AQ65"/>
      <c r="AR65"/>
      <c r="AS65"/>
      <c r="AT65"/>
      <c r="AU65"/>
      <c r="AV65"/>
      <c r="AW65"/>
      <c r="AX65"/>
      <c r="AY65"/>
      <c r="AZ65"/>
      <c r="BA65"/>
    </row>
    <row r="66" spans="12:53" s="1" customFormat="1" ht="18" customHeight="1" x14ac:dyDescent="0.35">
      <c r="L66" s="101"/>
      <c r="M66" s="101"/>
      <c r="N66" s="101"/>
      <c r="O66" s="101"/>
      <c r="P66" s="101"/>
      <c r="Q66" s="101"/>
      <c r="AQ66"/>
      <c r="AR66"/>
      <c r="AS66"/>
      <c r="AT66"/>
      <c r="AU66"/>
      <c r="AV66"/>
      <c r="AW66"/>
      <c r="AX66"/>
      <c r="AY66"/>
      <c r="AZ66"/>
      <c r="BA66"/>
    </row>
    <row r="67" spans="12:53" s="1" customFormat="1" ht="18" customHeight="1" x14ac:dyDescent="0.35">
      <c r="L67" s="101"/>
      <c r="M67" s="101"/>
      <c r="N67" s="101"/>
      <c r="O67" s="101"/>
      <c r="P67" s="101"/>
      <c r="Q67" s="101"/>
      <c r="AQ67"/>
      <c r="AR67"/>
      <c r="AS67"/>
      <c r="AT67"/>
      <c r="AU67"/>
      <c r="AV67"/>
      <c r="AW67"/>
      <c r="AX67"/>
      <c r="AY67"/>
      <c r="AZ67"/>
      <c r="BA67"/>
    </row>
    <row r="68" spans="12:53" s="1" customFormat="1" ht="18" customHeight="1" x14ac:dyDescent="0.35">
      <c r="L68" s="104"/>
      <c r="M68" s="104"/>
      <c r="N68" s="104"/>
      <c r="O68" s="104"/>
      <c r="P68" s="104"/>
      <c r="Q68" s="104"/>
      <c r="AQ68"/>
      <c r="AR68"/>
      <c r="AS68"/>
      <c r="AT68"/>
      <c r="AU68"/>
      <c r="AV68"/>
      <c r="AW68"/>
      <c r="AX68"/>
      <c r="AY68"/>
      <c r="AZ68"/>
      <c r="BA68"/>
    </row>
    <row r="69" spans="12:53" s="1" customFormat="1" ht="18" customHeight="1" x14ac:dyDescent="0.35">
      <c r="L69" s="104"/>
      <c r="M69" s="104"/>
      <c r="N69" s="104"/>
      <c r="O69" s="104"/>
      <c r="P69" s="104"/>
      <c r="Q69" s="104"/>
      <c r="AQ69"/>
      <c r="AR69"/>
      <c r="AS69"/>
      <c r="AT69"/>
      <c r="AU69"/>
      <c r="AV69"/>
      <c r="AW69"/>
      <c r="AX69"/>
      <c r="AY69"/>
      <c r="AZ69"/>
      <c r="BA69"/>
    </row>
    <row r="70" spans="12:53" s="1" customFormat="1" ht="18" customHeight="1" x14ac:dyDescent="0.35">
      <c r="L70" s="104"/>
      <c r="M70" s="104"/>
      <c r="N70" s="104"/>
      <c r="O70" s="104"/>
      <c r="P70" s="104"/>
      <c r="Q70" s="104"/>
      <c r="AQ70"/>
      <c r="AR70"/>
      <c r="AS70"/>
      <c r="AT70"/>
      <c r="AU70"/>
      <c r="AV70"/>
      <c r="AW70"/>
      <c r="AX70"/>
      <c r="AY70"/>
      <c r="AZ70"/>
      <c r="BA70"/>
    </row>
    <row r="71" spans="12:53" s="1" customFormat="1" ht="18" customHeight="1" x14ac:dyDescent="0.35">
      <c r="L71" s="104"/>
      <c r="M71" s="104"/>
      <c r="N71" s="104"/>
      <c r="O71" s="104"/>
      <c r="P71" s="104"/>
      <c r="Q71" s="104"/>
      <c r="AQ71"/>
      <c r="AR71"/>
      <c r="AS71"/>
      <c r="AT71"/>
      <c r="AU71"/>
      <c r="AV71"/>
      <c r="AW71"/>
      <c r="AX71"/>
      <c r="AY71"/>
      <c r="AZ71"/>
      <c r="BA71"/>
    </row>
  </sheetData>
  <mergeCells count="65">
    <mergeCell ref="C38:D38"/>
    <mergeCell ref="C39:D39"/>
    <mergeCell ref="C41:D41"/>
    <mergeCell ref="C43:D43"/>
    <mergeCell ref="C31:D31"/>
    <mergeCell ref="C32:D32"/>
    <mergeCell ref="C33:D33"/>
    <mergeCell ref="C35:D35"/>
    <mergeCell ref="C37:D37"/>
    <mergeCell ref="L71:Q71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L65:Q65"/>
    <mergeCell ref="L66:Q66"/>
    <mergeCell ref="L67:Q67"/>
    <mergeCell ref="L68:Q68"/>
    <mergeCell ref="L69:Q69"/>
    <mergeCell ref="L70:Q70"/>
    <mergeCell ref="K59:O60"/>
    <mergeCell ref="P59:S60"/>
    <mergeCell ref="Z59:AD60"/>
    <mergeCell ref="AG59:AJ60"/>
    <mergeCell ref="Z61:AA61"/>
    <mergeCell ref="AB61:AD61"/>
    <mergeCell ref="AG61:AH61"/>
    <mergeCell ref="AI61:AJ61"/>
    <mergeCell ref="AR37:AW37"/>
    <mergeCell ref="AR38:AW38"/>
    <mergeCell ref="K56:S56"/>
    <mergeCell ref="Z56:AJ56"/>
    <mergeCell ref="K57:S58"/>
    <mergeCell ref="Z57:AD57"/>
    <mergeCell ref="AG57:AJ57"/>
    <mergeCell ref="Z58:AD58"/>
    <mergeCell ref="AG58:AJ58"/>
    <mergeCell ref="B9:F9"/>
    <mergeCell ref="AL9:AN9"/>
    <mergeCell ref="AR11:AW11"/>
    <mergeCell ref="AR36:AW36"/>
    <mergeCell ref="C20:D20"/>
    <mergeCell ref="C21:D21"/>
    <mergeCell ref="C22:D22"/>
    <mergeCell ref="C23:D23"/>
    <mergeCell ref="C36:D36"/>
    <mergeCell ref="C24:D24"/>
    <mergeCell ref="C25:D25"/>
    <mergeCell ref="C26:D26"/>
    <mergeCell ref="C27:D27"/>
    <mergeCell ref="C28:D28"/>
    <mergeCell ref="C29:D29"/>
    <mergeCell ref="C30:D30"/>
    <mergeCell ref="B2:AM2"/>
    <mergeCell ref="B3:AM4"/>
    <mergeCell ref="B5:AM5"/>
    <mergeCell ref="B6:F7"/>
    <mergeCell ref="AK6:AL6"/>
    <mergeCell ref="AM6:AN6"/>
    <mergeCell ref="AM7:AN7"/>
  </mergeCells>
  <conditionalFormatting sqref="G44:AJ54">
    <cfRule type="cellIs" dxfId="43" priority="2" operator="greaterThan">
      <formula>12</formula>
    </cfRule>
  </conditionalFormatting>
  <conditionalFormatting sqref="G9:AK9">
    <cfRule type="expression" dxfId="42" priority="4">
      <formula>WEEKDAY(G9)=1</formula>
    </cfRule>
  </conditionalFormatting>
  <conditionalFormatting sqref="Y11:AJ11 Y12:AD12 N21:R23">
    <cfRule type="cellIs" dxfId="41" priority="1" operator="greaterThan">
      <formula>12</formula>
    </cfRule>
  </conditionalFormatting>
  <conditionalFormatting sqref="AL11:AN54">
    <cfRule type="cellIs" dxfId="40" priority="3" operator="lessThanOrEqual">
      <formula>0</formula>
    </cfRule>
  </conditionalFormatting>
  <printOptions horizontalCentered="1"/>
  <pageMargins left="0.25" right="0.25" top="0.5" bottom="0.5" header="0.3" footer="0.3"/>
  <pageSetup paperSize="9" scale="61" fitToHeight="0" orientation="landscape" r:id="rId1"/>
  <headerFooter>
    <oddFooter>&amp;C&amp;10Page &amp;P of &amp;N&amp;L&amp;1#&amp;"Calibri"&amp;10&amp;K000000TOTAL Classification: Restricted Distribution TOTAL - All rights reserved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8EA4-2794-4D9E-8CCC-1106ACA823D4}">
  <sheetPr>
    <pageSetUpPr fitToPage="1"/>
  </sheetPr>
  <dimension ref="A1:BD52"/>
  <sheetViews>
    <sheetView showGridLines="0" zoomScale="85" zoomScaleNormal="85" workbookViewId="0">
      <pane xSplit="6" ySplit="10" topLeftCell="AB19" activePane="bottomRight" state="frozen"/>
      <selection pane="topRight" activeCell="E1" sqref="E1"/>
      <selection pane="bottomLeft" activeCell="A11" sqref="A11"/>
      <selection pane="bottomRight" activeCell="I38" sqref="I38"/>
    </sheetView>
  </sheetViews>
  <sheetFormatPr defaultRowHeight="18" customHeight="1" x14ac:dyDescent="0.35"/>
  <cols>
    <col min="1" max="1" width="1.81640625" style="1" customWidth="1"/>
    <col min="2" max="2" width="6.54296875" style="1" customWidth="1"/>
    <col min="3" max="3" width="20.36328125" style="1" customWidth="1"/>
    <col min="4" max="4" width="33.453125" style="1" hidden="1" customWidth="1"/>
    <col min="5" max="5" width="27" style="1" customWidth="1"/>
    <col min="6" max="6" width="15.90625" style="1" customWidth="1"/>
    <col min="7" max="39" width="4.81640625" style="1" customWidth="1"/>
    <col min="40" max="40" width="4" style="1" customWidth="1"/>
    <col min="41" max="41" width="8.1796875" style="1" customWidth="1"/>
    <col min="42" max="43" width="5.81640625" style="1" customWidth="1"/>
    <col min="44" max="45" width="1.81640625" style="1" customWidth="1"/>
    <col min="46" max="46" width="8.90625" bestFit="1" customWidth="1"/>
  </cols>
  <sheetData>
    <row r="1" spans="1:52" ht="9.9" customHeight="1" x14ac:dyDescent="0.35">
      <c r="A1" s="1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15"/>
    </row>
    <row r="2" spans="1:52" ht="18" customHeight="1" x14ac:dyDescent="0.35">
      <c r="A2" s="11"/>
      <c r="B2" s="94" t="s">
        <v>36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23"/>
      <c r="AR2" s="12"/>
    </row>
    <row r="3" spans="1:52" ht="5.15" customHeight="1" x14ac:dyDescent="0.35">
      <c r="A3" s="11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23"/>
      <c r="AR3" s="12"/>
    </row>
    <row r="4" spans="1:52" ht="5.15" customHeight="1" x14ac:dyDescent="0.35">
      <c r="A4" s="11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23"/>
      <c r="AR4" s="12"/>
    </row>
    <row r="5" spans="1:52" ht="18" customHeight="1" x14ac:dyDescent="0.35">
      <c r="A5" s="11"/>
      <c r="B5" s="94" t="s">
        <v>37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23"/>
      <c r="AR5" s="12"/>
    </row>
    <row r="6" spans="1:52" ht="18" customHeight="1" x14ac:dyDescent="0.35">
      <c r="A6" s="11"/>
      <c r="B6" s="95" t="s">
        <v>17</v>
      </c>
      <c r="C6" s="95"/>
      <c r="D6" s="95"/>
      <c r="E6" s="95"/>
      <c r="F6" s="95"/>
      <c r="AN6" s="96" t="s">
        <v>4</v>
      </c>
      <c r="AO6" s="96"/>
      <c r="AP6" s="97" t="s">
        <v>5</v>
      </c>
      <c r="AQ6" s="98"/>
      <c r="AR6" s="12"/>
    </row>
    <row r="7" spans="1:52" ht="18" customHeight="1" x14ac:dyDescent="0.35">
      <c r="A7" s="11"/>
      <c r="B7" s="95"/>
      <c r="C7" s="95"/>
      <c r="D7" s="95"/>
      <c r="E7" s="95"/>
      <c r="F7" s="95"/>
      <c r="AN7" s="6">
        <v>30</v>
      </c>
      <c r="AO7" s="2" t="s">
        <v>87</v>
      </c>
      <c r="AP7" s="99">
        <v>2026</v>
      </c>
      <c r="AQ7" s="100"/>
      <c r="AR7" s="12"/>
    </row>
    <row r="8" spans="1:52" ht="5.15" customHeight="1" x14ac:dyDescent="0.35">
      <c r="A8" s="11"/>
      <c r="AR8" s="12"/>
    </row>
    <row r="9" spans="1:52" ht="18" customHeight="1" x14ac:dyDescent="0.35">
      <c r="A9" s="11"/>
      <c r="B9" s="96" t="s">
        <v>6</v>
      </c>
      <c r="C9" s="96"/>
      <c r="D9" s="96"/>
      <c r="E9" s="96"/>
      <c r="F9" s="96"/>
      <c r="G9" s="39"/>
      <c r="H9" s="28"/>
      <c r="I9" s="18"/>
      <c r="J9" s="18" t="s">
        <v>32</v>
      </c>
      <c r="K9" s="18" t="s">
        <v>26</v>
      </c>
      <c r="L9" s="18" t="s">
        <v>27</v>
      </c>
      <c r="M9" s="18" t="s">
        <v>28</v>
      </c>
      <c r="N9" s="18" t="s">
        <v>29</v>
      </c>
      <c r="O9" s="28" t="s">
        <v>30</v>
      </c>
      <c r="P9" s="18" t="s">
        <v>31</v>
      </c>
      <c r="Q9" s="18" t="s">
        <v>32</v>
      </c>
      <c r="R9" s="18" t="s">
        <v>26</v>
      </c>
      <c r="S9" s="18" t="s">
        <v>27</v>
      </c>
      <c r="T9" s="18" t="s">
        <v>28</v>
      </c>
      <c r="U9" s="18" t="s">
        <v>29</v>
      </c>
      <c r="V9" s="28" t="s">
        <v>30</v>
      </c>
      <c r="W9" s="18" t="s">
        <v>31</v>
      </c>
      <c r="X9" s="18" t="s">
        <v>32</v>
      </c>
      <c r="Y9" s="18" t="s">
        <v>26</v>
      </c>
      <c r="Z9" s="18" t="s">
        <v>27</v>
      </c>
      <c r="AA9" s="18" t="s">
        <v>28</v>
      </c>
      <c r="AB9" s="18" t="s">
        <v>29</v>
      </c>
      <c r="AC9" s="28" t="s">
        <v>30</v>
      </c>
      <c r="AD9" s="18" t="s">
        <v>31</v>
      </c>
      <c r="AE9" s="18" t="s">
        <v>32</v>
      </c>
      <c r="AF9" s="18" t="s">
        <v>26</v>
      </c>
      <c r="AG9" s="18" t="s">
        <v>27</v>
      </c>
      <c r="AH9" s="18" t="s">
        <v>28</v>
      </c>
      <c r="AI9" s="18" t="s">
        <v>29</v>
      </c>
      <c r="AJ9" s="28" t="s">
        <v>30</v>
      </c>
      <c r="AK9" s="18" t="s">
        <v>31</v>
      </c>
      <c r="AL9" s="39" t="s">
        <v>32</v>
      </c>
      <c r="AM9" s="18" t="s">
        <v>26</v>
      </c>
      <c r="AN9" s="18"/>
      <c r="AO9" s="96" t="s">
        <v>3</v>
      </c>
      <c r="AP9" s="96"/>
      <c r="AQ9" s="96"/>
      <c r="AR9" s="12"/>
    </row>
    <row r="10" spans="1:52" ht="18" customHeight="1" x14ac:dyDescent="0.35">
      <c r="A10" s="11"/>
      <c r="B10" s="17" t="s">
        <v>10</v>
      </c>
      <c r="C10" s="17" t="s">
        <v>0</v>
      </c>
      <c r="D10" s="17" t="s">
        <v>21</v>
      </c>
      <c r="E10" s="17" t="s">
        <v>18</v>
      </c>
      <c r="F10" s="17" t="s">
        <v>19</v>
      </c>
      <c r="G10" s="19"/>
      <c r="H10" s="19"/>
      <c r="I10" s="19"/>
      <c r="J10" s="19">
        <v>1</v>
      </c>
      <c r="K10" s="19">
        <v>2</v>
      </c>
      <c r="L10" s="19">
        <v>3</v>
      </c>
      <c r="M10" s="19">
        <v>4</v>
      </c>
      <c r="N10" s="19">
        <v>5</v>
      </c>
      <c r="O10" s="19">
        <v>6</v>
      </c>
      <c r="P10" s="19">
        <v>7</v>
      </c>
      <c r="Q10" s="19">
        <v>8</v>
      </c>
      <c r="R10" s="19">
        <v>9</v>
      </c>
      <c r="S10" s="19">
        <v>10</v>
      </c>
      <c r="T10" s="19">
        <v>11</v>
      </c>
      <c r="U10" s="19">
        <v>12</v>
      </c>
      <c r="V10" s="19">
        <v>13</v>
      </c>
      <c r="W10" s="19">
        <v>14</v>
      </c>
      <c r="X10" s="19">
        <v>15</v>
      </c>
      <c r="Y10" s="19">
        <v>16</v>
      </c>
      <c r="Z10" s="19">
        <v>17</v>
      </c>
      <c r="AA10" s="19">
        <v>18</v>
      </c>
      <c r="AB10" s="19">
        <v>19</v>
      </c>
      <c r="AC10" s="19">
        <v>20</v>
      </c>
      <c r="AD10" s="19">
        <v>21</v>
      </c>
      <c r="AE10" s="19">
        <v>22</v>
      </c>
      <c r="AF10" s="19">
        <v>23</v>
      </c>
      <c r="AG10" s="19">
        <v>24</v>
      </c>
      <c r="AH10" s="19">
        <v>25</v>
      </c>
      <c r="AI10" s="19">
        <v>26</v>
      </c>
      <c r="AJ10" s="19">
        <v>27</v>
      </c>
      <c r="AK10" s="19">
        <v>28</v>
      </c>
      <c r="AL10" s="19">
        <v>29</v>
      </c>
      <c r="AM10" s="19">
        <v>30</v>
      </c>
      <c r="AN10" s="19"/>
      <c r="AO10" s="17" t="s">
        <v>1</v>
      </c>
      <c r="AP10" s="17" t="s">
        <v>2</v>
      </c>
      <c r="AQ10" s="17" t="s">
        <v>22</v>
      </c>
      <c r="AR10" s="12"/>
    </row>
    <row r="11" spans="1:52" ht="18" customHeight="1" x14ac:dyDescent="0.35">
      <c r="A11" s="11"/>
      <c r="B11" s="20">
        <v>1</v>
      </c>
      <c r="C11" s="38" t="s">
        <v>38</v>
      </c>
      <c r="D11" s="38"/>
      <c r="E11" s="38" t="s">
        <v>39</v>
      </c>
      <c r="F11" s="38" t="s">
        <v>40</v>
      </c>
      <c r="G11" s="22"/>
      <c r="H11" s="22"/>
      <c r="I11" s="22"/>
      <c r="J11" s="22">
        <v>10</v>
      </c>
      <c r="K11" s="22">
        <v>10</v>
      </c>
      <c r="L11" s="22">
        <v>10</v>
      </c>
      <c r="M11" s="22">
        <v>10</v>
      </c>
      <c r="N11" s="22">
        <v>10</v>
      </c>
      <c r="O11" s="22">
        <v>10</v>
      </c>
      <c r="P11" s="22">
        <v>10</v>
      </c>
      <c r="Q11" s="22">
        <v>10</v>
      </c>
      <c r="R11" s="22">
        <v>10</v>
      </c>
      <c r="S11" s="22">
        <v>10</v>
      </c>
      <c r="T11" s="22">
        <v>10</v>
      </c>
      <c r="U11" s="22">
        <v>10</v>
      </c>
      <c r="V11" s="22">
        <v>10</v>
      </c>
      <c r="W11" s="22">
        <v>10</v>
      </c>
      <c r="X11" s="22">
        <v>10</v>
      </c>
      <c r="Y11" s="22">
        <v>10</v>
      </c>
      <c r="Z11" s="22">
        <v>10</v>
      </c>
      <c r="AA11" s="22">
        <v>10</v>
      </c>
      <c r="AB11" s="22">
        <v>10</v>
      </c>
      <c r="AC11" s="22">
        <v>10</v>
      </c>
      <c r="AD11" s="22">
        <v>10</v>
      </c>
      <c r="AE11" s="22">
        <v>10</v>
      </c>
      <c r="AF11" s="22">
        <v>10</v>
      </c>
      <c r="AG11" s="22">
        <v>10</v>
      </c>
      <c r="AH11" s="22">
        <v>10</v>
      </c>
      <c r="AI11" s="22">
        <v>10</v>
      </c>
      <c r="AJ11" s="22">
        <v>10</v>
      </c>
      <c r="AK11" s="22">
        <v>10</v>
      </c>
      <c r="AL11" s="22">
        <v>10</v>
      </c>
      <c r="AM11" s="22">
        <v>10</v>
      </c>
      <c r="AO11" s="22">
        <f t="shared" ref="AO11:AP35" si="0">SUM(G11:AM11)</f>
        <v>300</v>
      </c>
      <c r="AP11" s="22">
        <f t="shared" ref="AP11:AP35" si="1">COUNTIF(G11:AM11,"&gt;1")</f>
        <v>30</v>
      </c>
      <c r="AQ11" s="22">
        <f>COUNTIF(I11:AN11,"Q")</f>
        <v>0</v>
      </c>
      <c r="AR11" s="12"/>
    </row>
    <row r="12" spans="1:52" ht="18" customHeight="1" x14ac:dyDescent="0.35">
      <c r="A12" s="11"/>
      <c r="B12" s="20"/>
      <c r="C12" s="38"/>
      <c r="D12" s="38"/>
      <c r="E12" s="38"/>
      <c r="F12" s="38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O12" s="22">
        <f t="shared" si="0"/>
        <v>0</v>
      </c>
      <c r="AP12" s="22">
        <f t="shared" si="1"/>
        <v>0</v>
      </c>
      <c r="AQ12" s="22">
        <v>0</v>
      </c>
      <c r="AR12" s="12"/>
      <c r="AU12" s="101"/>
      <c r="AV12" s="101"/>
      <c r="AW12" s="101"/>
      <c r="AX12" s="101"/>
      <c r="AY12" s="101"/>
      <c r="AZ12" s="101"/>
    </row>
    <row r="13" spans="1:52" ht="18" customHeight="1" x14ac:dyDescent="0.35">
      <c r="A13" s="11"/>
      <c r="B13" s="20"/>
      <c r="C13" s="38"/>
      <c r="D13" s="38"/>
      <c r="E13" s="38"/>
      <c r="F13" s="38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O13" s="22">
        <f t="shared" si="0"/>
        <v>0</v>
      </c>
      <c r="AP13" s="22">
        <f t="shared" si="1"/>
        <v>0</v>
      </c>
      <c r="AQ13" s="22">
        <f>COUNTIF(I13:AN13,"Q")</f>
        <v>0</v>
      </c>
      <c r="AR13" s="12"/>
      <c r="AU13" s="101"/>
      <c r="AV13" s="101"/>
      <c r="AW13" s="101"/>
      <c r="AX13" s="101"/>
      <c r="AY13" s="101"/>
      <c r="AZ13" s="101"/>
    </row>
    <row r="14" spans="1:52" ht="18" customHeight="1" x14ac:dyDescent="0.35">
      <c r="A14" s="11"/>
      <c r="B14" s="20"/>
      <c r="C14" s="38"/>
      <c r="D14" s="38"/>
      <c r="E14" s="38"/>
      <c r="F14" s="38"/>
      <c r="G14" s="22"/>
      <c r="H14" s="22"/>
      <c r="I14" s="22"/>
      <c r="J14" s="22"/>
      <c r="K14" s="22"/>
      <c r="L14" s="22"/>
      <c r="M14" s="22"/>
      <c r="N14" s="116" t="s">
        <v>43</v>
      </c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3"/>
      <c r="AK14" s="22"/>
      <c r="AL14" s="22"/>
      <c r="AM14" s="22"/>
      <c r="AO14" s="22">
        <f t="shared" si="0"/>
        <v>0</v>
      </c>
      <c r="AP14" s="22">
        <f t="shared" si="1"/>
        <v>0</v>
      </c>
      <c r="AQ14" s="22">
        <f>COUNTIF(I14:AN14,"Q")</f>
        <v>0</v>
      </c>
      <c r="AR14" s="12"/>
      <c r="AU14" s="104"/>
      <c r="AV14" s="104"/>
      <c r="AW14" s="104"/>
      <c r="AX14" s="104"/>
      <c r="AY14" s="104"/>
      <c r="AZ14" s="104"/>
    </row>
    <row r="15" spans="1:52" ht="18" customHeight="1" x14ac:dyDescent="0.35">
      <c r="A15" s="11"/>
      <c r="B15" s="20">
        <v>1</v>
      </c>
      <c r="C15" s="38" t="s">
        <v>38</v>
      </c>
      <c r="D15" s="38"/>
      <c r="E15" s="38" t="s">
        <v>41</v>
      </c>
      <c r="F15" s="38" t="s">
        <v>42</v>
      </c>
      <c r="G15" s="22"/>
      <c r="H15" s="22"/>
      <c r="I15" s="22"/>
      <c r="J15" s="22">
        <v>1</v>
      </c>
      <c r="K15" s="22">
        <v>1</v>
      </c>
      <c r="L15" s="22">
        <v>1</v>
      </c>
      <c r="M15" s="22">
        <v>1</v>
      </c>
      <c r="N15" s="22">
        <v>1</v>
      </c>
      <c r="O15" s="22">
        <v>1</v>
      </c>
      <c r="P15" s="22">
        <v>1</v>
      </c>
      <c r="Q15" s="22">
        <v>1</v>
      </c>
      <c r="R15" s="22">
        <v>1</v>
      </c>
      <c r="S15" s="22">
        <v>1</v>
      </c>
      <c r="T15" s="22">
        <v>1</v>
      </c>
      <c r="U15" s="22">
        <v>1</v>
      </c>
      <c r="V15" s="22">
        <v>1</v>
      </c>
      <c r="W15" s="22">
        <v>1</v>
      </c>
      <c r="X15" s="22">
        <v>1</v>
      </c>
      <c r="Y15" s="22">
        <v>1</v>
      </c>
      <c r="Z15" s="22">
        <v>1</v>
      </c>
      <c r="AA15" s="22">
        <v>1</v>
      </c>
      <c r="AB15" s="22">
        <v>1</v>
      </c>
      <c r="AC15" s="22">
        <v>1</v>
      </c>
      <c r="AD15" s="22">
        <v>1</v>
      </c>
      <c r="AE15" s="22">
        <v>1</v>
      </c>
      <c r="AF15" s="22">
        <v>1</v>
      </c>
      <c r="AG15" s="22">
        <v>1</v>
      </c>
      <c r="AH15" s="22">
        <v>1</v>
      </c>
      <c r="AI15" s="22">
        <v>1</v>
      </c>
      <c r="AJ15" s="22">
        <v>1</v>
      </c>
      <c r="AK15" s="22">
        <v>1</v>
      </c>
      <c r="AL15" s="22">
        <v>1</v>
      </c>
      <c r="AM15" s="22">
        <v>1</v>
      </c>
      <c r="AO15" s="22">
        <f t="shared" si="0"/>
        <v>30</v>
      </c>
      <c r="AP15" s="22">
        <f t="shared" si="0"/>
        <v>30</v>
      </c>
      <c r="AQ15" s="22">
        <f>COUNTIF(I15:AN15,"Q")</f>
        <v>0</v>
      </c>
      <c r="AR15" s="12"/>
      <c r="AU15" s="104"/>
      <c r="AV15" s="104"/>
      <c r="AW15" s="104"/>
      <c r="AX15" s="104"/>
      <c r="AY15" s="104"/>
      <c r="AZ15" s="104"/>
    </row>
    <row r="16" spans="1:52" ht="18" customHeight="1" x14ac:dyDescent="0.35">
      <c r="A16" s="11"/>
      <c r="B16" s="20"/>
      <c r="C16" s="38"/>
      <c r="D16" s="38"/>
      <c r="E16" s="37"/>
      <c r="F16" s="38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O16" s="22">
        <f t="shared" si="0"/>
        <v>0</v>
      </c>
      <c r="AP16" s="22">
        <f t="shared" si="1"/>
        <v>0</v>
      </c>
      <c r="AQ16" s="22">
        <f>COUNTIF(I16:AN16,"Q")</f>
        <v>0</v>
      </c>
      <c r="AR16" s="12"/>
      <c r="AU16" s="104"/>
      <c r="AV16" s="104"/>
      <c r="AW16" s="104"/>
      <c r="AX16" s="104"/>
      <c r="AY16" s="104"/>
      <c r="AZ16" s="104"/>
    </row>
    <row r="17" spans="1:56" ht="18" customHeight="1" x14ac:dyDescent="0.35">
      <c r="A17" s="11"/>
      <c r="B17" s="20"/>
      <c r="C17" s="38"/>
      <c r="D17" s="38"/>
      <c r="E17" s="38"/>
      <c r="F17" s="38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O17" s="22">
        <f t="shared" si="0"/>
        <v>0</v>
      </c>
      <c r="AP17" s="22">
        <f t="shared" si="1"/>
        <v>0</v>
      </c>
      <c r="AQ17" s="22">
        <v>0</v>
      </c>
      <c r="AR17" s="12"/>
      <c r="AU17" s="104"/>
      <c r="AV17" s="104"/>
      <c r="AW17" s="104"/>
      <c r="AX17" s="104"/>
      <c r="AY17" s="104"/>
      <c r="AZ17" s="104"/>
      <c r="BA17" s="35"/>
    </row>
    <row r="18" spans="1:56" ht="18" customHeight="1" x14ac:dyDescent="0.35">
      <c r="A18" s="11"/>
      <c r="B18" s="20"/>
      <c r="C18" s="38"/>
      <c r="D18" s="38"/>
      <c r="E18" s="38"/>
      <c r="F18" s="38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O18" s="22">
        <f t="shared" si="0"/>
        <v>0</v>
      </c>
      <c r="AP18" s="22">
        <f t="shared" si="1"/>
        <v>0</v>
      </c>
      <c r="AQ18" s="22">
        <f>COUNTIF(I18:AN18,"Q")</f>
        <v>0</v>
      </c>
      <c r="AR18" s="12"/>
    </row>
    <row r="19" spans="1:56" ht="18" customHeight="1" x14ac:dyDescent="0.35">
      <c r="A19" s="11"/>
      <c r="B19" s="20"/>
      <c r="C19" s="20"/>
      <c r="D19" s="21"/>
      <c r="E19" s="20"/>
      <c r="F19" s="21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O19" s="22">
        <f t="shared" si="0"/>
        <v>0</v>
      </c>
      <c r="AP19" s="22">
        <f t="shared" si="1"/>
        <v>0</v>
      </c>
      <c r="AQ19" s="22">
        <f>COUNTIF(I19:AN19,"Q")</f>
        <v>0</v>
      </c>
      <c r="AR19" s="12"/>
    </row>
    <row r="20" spans="1:56" ht="18" customHeight="1" x14ac:dyDescent="0.35">
      <c r="A20" s="11"/>
      <c r="B20" s="20"/>
      <c r="C20" s="20"/>
      <c r="D20" s="21"/>
      <c r="E20" s="20"/>
      <c r="F20" s="21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O20" s="22">
        <f t="shared" si="0"/>
        <v>0</v>
      </c>
      <c r="AP20" s="22">
        <f t="shared" si="1"/>
        <v>0</v>
      </c>
      <c r="AQ20" s="22">
        <f>COUNTIF(I20:AN20,"Q")</f>
        <v>0</v>
      </c>
      <c r="AR20" s="12"/>
    </row>
    <row r="21" spans="1:56" ht="18" customHeight="1" x14ac:dyDescent="0.35">
      <c r="A21" s="11"/>
      <c r="B21" s="20"/>
      <c r="C21" s="20"/>
      <c r="D21" s="21"/>
      <c r="E21" s="20"/>
      <c r="F21" s="2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O21" s="22">
        <f t="shared" si="0"/>
        <v>0</v>
      </c>
      <c r="AP21" s="22">
        <f t="shared" si="1"/>
        <v>0</v>
      </c>
      <c r="AQ21" s="22">
        <v>0</v>
      </c>
      <c r="AR21" s="12"/>
      <c r="BD21" t="s">
        <v>24</v>
      </c>
    </row>
    <row r="22" spans="1:56" ht="18" customHeight="1" x14ac:dyDescent="0.35">
      <c r="A22" s="11"/>
      <c r="B22" s="20"/>
      <c r="C22" s="20"/>
      <c r="D22" s="21"/>
      <c r="E22" s="20"/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O22" s="22">
        <f t="shared" si="0"/>
        <v>0</v>
      </c>
      <c r="AP22" s="22">
        <f t="shared" si="1"/>
        <v>0</v>
      </c>
      <c r="AQ22" s="22">
        <f t="shared" ref="AQ22:AQ35" si="2">COUNTIF(I22:AN22,"Q")</f>
        <v>0</v>
      </c>
      <c r="AR22" s="12"/>
    </row>
    <row r="23" spans="1:56" ht="18" customHeight="1" x14ac:dyDescent="0.35">
      <c r="A23" s="11"/>
      <c r="B23" s="20"/>
      <c r="C23" s="20"/>
      <c r="D23" s="21"/>
      <c r="E23" s="20"/>
      <c r="F23" s="2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O23" s="22">
        <f t="shared" si="0"/>
        <v>0</v>
      </c>
      <c r="AP23" s="22">
        <f t="shared" si="1"/>
        <v>0</v>
      </c>
      <c r="AQ23" s="22">
        <f t="shared" si="2"/>
        <v>0</v>
      </c>
      <c r="AR23" s="12"/>
    </row>
    <row r="24" spans="1:56" ht="18" customHeight="1" x14ac:dyDescent="0.35">
      <c r="A24" s="11"/>
      <c r="B24" s="20"/>
      <c r="C24" s="20"/>
      <c r="D24" s="21"/>
      <c r="E24" s="20"/>
      <c r="F24" s="21"/>
      <c r="G24" s="22"/>
      <c r="H24" s="22"/>
      <c r="I24" s="36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O24" s="22">
        <f t="shared" si="0"/>
        <v>0</v>
      </c>
      <c r="AP24" s="22">
        <f t="shared" si="1"/>
        <v>0</v>
      </c>
      <c r="AQ24" s="22">
        <f t="shared" si="2"/>
        <v>0</v>
      </c>
      <c r="AR24" s="12"/>
    </row>
    <row r="25" spans="1:56" ht="17.25" customHeight="1" x14ac:dyDescent="0.35">
      <c r="A25" s="11"/>
      <c r="B25" s="20"/>
      <c r="C25" s="20"/>
      <c r="D25" s="21"/>
      <c r="E25" s="20"/>
      <c r="F25" s="21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O25" s="22">
        <f t="shared" si="0"/>
        <v>0</v>
      </c>
      <c r="AP25" s="22">
        <f t="shared" si="1"/>
        <v>0</v>
      </c>
      <c r="AQ25" s="22">
        <f t="shared" si="2"/>
        <v>0</v>
      </c>
      <c r="AR25" s="12"/>
    </row>
    <row r="26" spans="1:56" ht="18" hidden="1" customHeight="1" x14ac:dyDescent="0.35">
      <c r="A26" s="11"/>
      <c r="B26" s="20"/>
      <c r="C26" s="7"/>
      <c r="D26" s="8"/>
      <c r="E26" s="7"/>
      <c r="F26" s="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O26" s="9">
        <f t="shared" si="0"/>
        <v>0</v>
      </c>
      <c r="AP26" s="9">
        <f t="shared" si="1"/>
        <v>0</v>
      </c>
      <c r="AQ26" s="9">
        <f t="shared" si="2"/>
        <v>0</v>
      </c>
      <c r="AR26" s="12"/>
    </row>
    <row r="27" spans="1:56" ht="18" hidden="1" customHeight="1" x14ac:dyDescent="0.35">
      <c r="A27" s="11"/>
      <c r="B27" s="7"/>
      <c r="C27" s="20"/>
      <c r="D27" s="21"/>
      <c r="E27" s="20"/>
      <c r="F27" s="21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O27" s="22">
        <f t="shared" si="0"/>
        <v>0</v>
      </c>
      <c r="AP27" s="22">
        <f t="shared" si="1"/>
        <v>0</v>
      </c>
      <c r="AQ27" s="9">
        <f t="shared" si="2"/>
        <v>0</v>
      </c>
      <c r="AR27" s="12"/>
    </row>
    <row r="28" spans="1:56" ht="18" hidden="1" customHeight="1" thickBot="1" x14ac:dyDescent="0.4">
      <c r="A28" s="11"/>
      <c r="B28" s="20"/>
      <c r="C28" s="20"/>
      <c r="D28" s="21"/>
      <c r="E28" s="20"/>
      <c r="F28" s="2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O28" s="22">
        <f t="shared" si="0"/>
        <v>0</v>
      </c>
      <c r="AP28" s="22">
        <f t="shared" si="1"/>
        <v>0</v>
      </c>
      <c r="AQ28" s="9">
        <f t="shared" si="2"/>
        <v>0</v>
      </c>
      <c r="AR28" s="12"/>
    </row>
    <row r="29" spans="1:56" ht="18" hidden="1" customHeight="1" thickBot="1" x14ac:dyDescent="0.4">
      <c r="A29" s="11"/>
      <c r="B29" s="7"/>
      <c r="C29" s="7"/>
      <c r="D29" s="8"/>
      <c r="E29" s="7"/>
      <c r="F29" s="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O29" s="9">
        <f t="shared" si="0"/>
        <v>0</v>
      </c>
      <c r="AP29" s="9">
        <f t="shared" si="1"/>
        <v>0</v>
      </c>
      <c r="AQ29" s="9">
        <f t="shared" si="2"/>
        <v>0</v>
      </c>
      <c r="AR29" s="12"/>
    </row>
    <row r="30" spans="1:56" ht="18" hidden="1" customHeight="1" thickBot="1" x14ac:dyDescent="0.4">
      <c r="A30" s="11"/>
      <c r="B30" s="20"/>
      <c r="C30" s="20"/>
      <c r="D30" s="21"/>
      <c r="E30" s="20"/>
      <c r="F30" s="21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22"/>
      <c r="AO30" s="22">
        <f t="shared" si="0"/>
        <v>0</v>
      </c>
      <c r="AP30" s="22">
        <f t="shared" si="1"/>
        <v>0</v>
      </c>
      <c r="AQ30" s="9">
        <f t="shared" si="2"/>
        <v>0</v>
      </c>
      <c r="AR30" s="12"/>
    </row>
    <row r="31" spans="1:56" ht="18" hidden="1" customHeight="1" thickBot="1" x14ac:dyDescent="0.4">
      <c r="A31" s="11"/>
      <c r="B31" s="7"/>
      <c r="C31" s="7"/>
      <c r="D31" s="8"/>
      <c r="E31" s="7"/>
      <c r="F31" s="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O31" s="9">
        <f t="shared" si="0"/>
        <v>0</v>
      </c>
      <c r="AP31" s="9">
        <f t="shared" si="1"/>
        <v>0</v>
      </c>
      <c r="AQ31" s="9">
        <f t="shared" si="2"/>
        <v>0</v>
      </c>
      <c r="AR31" s="12"/>
    </row>
    <row r="32" spans="1:56" ht="18" hidden="1" customHeight="1" thickBot="1" x14ac:dyDescent="0.4">
      <c r="A32" s="11"/>
      <c r="B32" s="20"/>
      <c r="C32" s="20"/>
      <c r="D32" s="21"/>
      <c r="E32" s="20"/>
      <c r="F32" s="21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O32" s="22">
        <f t="shared" si="0"/>
        <v>0</v>
      </c>
      <c r="AP32" s="22">
        <f t="shared" si="1"/>
        <v>0</v>
      </c>
      <c r="AQ32" s="9">
        <f t="shared" si="2"/>
        <v>0</v>
      </c>
      <c r="AR32" s="12"/>
    </row>
    <row r="33" spans="1:44" ht="18" hidden="1" customHeight="1" thickBot="1" x14ac:dyDescent="0.4">
      <c r="A33" s="11"/>
      <c r="B33" s="7"/>
      <c r="C33" s="20"/>
      <c r="D33" s="21"/>
      <c r="E33" s="20"/>
      <c r="F33" s="21"/>
      <c r="G33" s="22"/>
      <c r="H33" s="22"/>
      <c r="I33" s="22"/>
      <c r="J33" s="22"/>
      <c r="K33" s="22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O33" s="22">
        <f t="shared" si="0"/>
        <v>0</v>
      </c>
      <c r="AP33" s="22">
        <f t="shared" si="1"/>
        <v>0</v>
      </c>
      <c r="AQ33" s="9">
        <f t="shared" si="2"/>
        <v>0</v>
      </c>
      <c r="AR33" s="12"/>
    </row>
    <row r="34" spans="1:44" ht="18" hidden="1" customHeight="1" thickBot="1" x14ac:dyDescent="0.4">
      <c r="A34" s="11"/>
      <c r="B34" s="20"/>
      <c r="C34" s="7"/>
      <c r="D34" s="8"/>
      <c r="E34" s="7"/>
      <c r="F34" s="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O34" s="9">
        <f t="shared" si="0"/>
        <v>0</v>
      </c>
      <c r="AP34" s="9">
        <f t="shared" si="1"/>
        <v>0</v>
      </c>
      <c r="AQ34" s="9">
        <f t="shared" si="2"/>
        <v>0</v>
      </c>
      <c r="AR34" s="12"/>
    </row>
    <row r="35" spans="1:44" ht="18" hidden="1" customHeight="1" thickBot="1" x14ac:dyDescent="0.4">
      <c r="A35" s="11"/>
      <c r="B35" s="7"/>
      <c r="C35" s="20"/>
      <c r="D35" s="21"/>
      <c r="E35" s="20"/>
      <c r="F35" s="21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O35" s="22">
        <f t="shared" si="0"/>
        <v>0</v>
      </c>
      <c r="AP35" s="22">
        <f t="shared" si="1"/>
        <v>0</v>
      </c>
      <c r="AQ35" s="22">
        <f t="shared" si="2"/>
        <v>0</v>
      </c>
      <c r="AR35" s="12"/>
    </row>
    <row r="36" spans="1:44" ht="15" thickBot="1" x14ac:dyDescent="0.4">
      <c r="A36" s="11"/>
      <c r="AR36" s="12"/>
    </row>
    <row r="37" spans="1:44" ht="26.25" customHeight="1" x14ac:dyDescent="0.35">
      <c r="A37" s="11"/>
      <c r="B37" s="10" t="s">
        <v>11</v>
      </c>
      <c r="C37" s="22"/>
      <c r="D37" s="1" t="s">
        <v>7</v>
      </c>
      <c r="E37" s="29"/>
      <c r="F37" s="30"/>
      <c r="K37" s="26"/>
      <c r="L37" s="26"/>
      <c r="M37" s="26"/>
      <c r="N37" s="105" t="s">
        <v>23</v>
      </c>
      <c r="O37" s="105"/>
      <c r="P37" s="105"/>
      <c r="Q37" s="105"/>
      <c r="R37" s="105"/>
      <c r="S37" s="105"/>
      <c r="T37" s="105"/>
      <c r="U37" s="105"/>
      <c r="V37" s="105"/>
      <c r="W37" s="26"/>
      <c r="AC37" s="106" t="s">
        <v>9</v>
      </c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O37" s="5">
        <f>SUM(AO11:AO35)</f>
        <v>330</v>
      </c>
      <c r="AP37" s="5">
        <f>SUM(AP11:AP35)</f>
        <v>60</v>
      </c>
      <c r="AQ37" s="5">
        <f>SUM(AQ11:AQ35)</f>
        <v>0</v>
      </c>
      <c r="AR37" s="12"/>
    </row>
    <row r="38" spans="1:44" ht="14.5" x14ac:dyDescent="0.35">
      <c r="A38" s="11"/>
      <c r="B38" s="10" t="s">
        <v>12</v>
      </c>
      <c r="C38" s="24"/>
      <c r="D38" s="1" t="s">
        <v>13</v>
      </c>
      <c r="E38" s="31"/>
      <c r="F38" s="32"/>
      <c r="N38" s="108" t="s">
        <v>35</v>
      </c>
      <c r="O38" s="109"/>
      <c r="P38" s="109"/>
      <c r="Q38" s="109"/>
      <c r="R38" s="109"/>
      <c r="S38" s="109"/>
      <c r="T38" s="109"/>
      <c r="U38" s="109"/>
      <c r="V38" s="110"/>
      <c r="AC38" s="114" t="s">
        <v>17</v>
      </c>
      <c r="AD38" s="115"/>
      <c r="AE38" s="115"/>
      <c r="AF38" s="115"/>
      <c r="AG38" s="116"/>
      <c r="AH38" s="45"/>
      <c r="AI38" s="45"/>
      <c r="AJ38" s="114" t="s">
        <v>17</v>
      </c>
      <c r="AK38" s="115"/>
      <c r="AL38" s="115"/>
      <c r="AM38" s="115"/>
      <c r="AR38" s="12"/>
    </row>
    <row r="39" spans="1:44" ht="18" customHeight="1" x14ac:dyDescent="0.35">
      <c r="A39" s="11"/>
      <c r="B39" s="10" t="s">
        <v>22</v>
      </c>
      <c r="C39" s="25"/>
      <c r="D39" s="1" t="s">
        <v>14</v>
      </c>
      <c r="E39" s="31"/>
      <c r="F39" s="32"/>
      <c r="N39" s="111"/>
      <c r="O39" s="112"/>
      <c r="P39" s="112"/>
      <c r="Q39" s="112"/>
      <c r="R39" s="112"/>
      <c r="S39" s="112"/>
      <c r="T39" s="112"/>
      <c r="U39" s="112"/>
      <c r="V39" s="113"/>
      <c r="AC39" s="117" t="s">
        <v>25</v>
      </c>
      <c r="AD39" s="118"/>
      <c r="AE39" s="118"/>
      <c r="AF39" s="118"/>
      <c r="AG39" s="119"/>
      <c r="AH39" s="44"/>
      <c r="AI39" s="44"/>
      <c r="AJ39" s="118" t="s">
        <v>34</v>
      </c>
      <c r="AK39" s="118"/>
      <c r="AL39" s="118"/>
      <c r="AM39" s="118"/>
      <c r="AR39" s="12"/>
    </row>
    <row r="40" spans="1:44" ht="18" customHeight="1" x14ac:dyDescent="0.35">
      <c r="A40" s="11"/>
      <c r="B40" s="10" t="s">
        <v>15</v>
      </c>
      <c r="C40" s="27"/>
      <c r="D40" s="1" t="s">
        <v>16</v>
      </c>
      <c r="E40" s="33"/>
      <c r="F40" s="34"/>
      <c r="N40" s="108"/>
      <c r="O40" s="109"/>
      <c r="P40" s="109"/>
      <c r="Q40" s="109"/>
      <c r="R40" s="110"/>
      <c r="S40" s="120">
        <v>46295</v>
      </c>
      <c r="T40" s="109"/>
      <c r="U40" s="109"/>
      <c r="V40" s="110"/>
      <c r="AC40" s="121"/>
      <c r="AD40" s="122"/>
      <c r="AE40" s="122"/>
      <c r="AF40" s="122"/>
      <c r="AG40" s="122"/>
      <c r="AH40" s="42"/>
      <c r="AI40" s="42"/>
      <c r="AJ40" s="125"/>
      <c r="AK40" s="122"/>
      <c r="AL40" s="122"/>
      <c r="AM40" s="122"/>
      <c r="AR40" s="12"/>
    </row>
    <row r="41" spans="1:44" ht="18" customHeight="1" x14ac:dyDescent="0.35">
      <c r="A41" s="11"/>
      <c r="N41" s="111"/>
      <c r="O41" s="112"/>
      <c r="P41" s="112"/>
      <c r="Q41" s="112"/>
      <c r="R41" s="113"/>
      <c r="S41" s="111"/>
      <c r="T41" s="112"/>
      <c r="U41" s="112"/>
      <c r="V41" s="113"/>
      <c r="AC41" s="123"/>
      <c r="AD41" s="124"/>
      <c r="AE41" s="124"/>
      <c r="AF41" s="124"/>
      <c r="AG41" s="124"/>
      <c r="AH41" s="43"/>
      <c r="AI41" s="43"/>
      <c r="AJ41" s="126"/>
      <c r="AK41" s="124"/>
      <c r="AL41" s="124"/>
      <c r="AM41" s="124"/>
      <c r="AR41" s="12"/>
    </row>
    <row r="42" spans="1:44" ht="18" customHeight="1" thickBot="1" x14ac:dyDescent="0.4">
      <c r="A42" s="11"/>
      <c r="AC42" s="127" t="s">
        <v>8</v>
      </c>
      <c r="AD42" s="128"/>
      <c r="AE42" s="129"/>
      <c r="AF42" s="129"/>
      <c r="AG42" s="129"/>
      <c r="AH42" s="41"/>
      <c r="AI42" s="41"/>
      <c r="AJ42" s="130" t="s">
        <v>8</v>
      </c>
      <c r="AK42" s="128"/>
      <c r="AL42" s="129"/>
      <c r="AM42" s="129"/>
      <c r="AR42" s="12"/>
    </row>
    <row r="43" spans="1:44" ht="9.9" customHeight="1" thickBot="1" x14ac:dyDescent="0.4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16"/>
    </row>
    <row r="46" spans="1:44" ht="18" customHeight="1" x14ac:dyDescent="0.35">
      <c r="O46" s="101"/>
      <c r="P46" s="101"/>
      <c r="Q46" s="101"/>
      <c r="R46" s="101"/>
      <c r="S46" s="101"/>
      <c r="T46" s="101"/>
    </row>
    <row r="47" spans="1:44" ht="18" customHeight="1" x14ac:dyDescent="0.35">
      <c r="O47" s="101"/>
      <c r="P47" s="101"/>
      <c r="Q47" s="101"/>
      <c r="R47" s="101"/>
      <c r="S47" s="101"/>
      <c r="T47" s="101"/>
    </row>
    <row r="48" spans="1:44" ht="18" customHeight="1" x14ac:dyDescent="0.35">
      <c r="O48" s="101"/>
      <c r="P48" s="101"/>
      <c r="Q48" s="101"/>
      <c r="R48" s="101"/>
      <c r="S48" s="101"/>
      <c r="T48" s="101"/>
    </row>
    <row r="49" spans="15:20" ht="18" customHeight="1" x14ac:dyDescent="0.35">
      <c r="O49" s="104"/>
      <c r="P49" s="104"/>
      <c r="Q49" s="104"/>
      <c r="R49" s="104"/>
      <c r="S49" s="104"/>
      <c r="T49" s="104"/>
    </row>
    <row r="50" spans="15:20" ht="18" customHeight="1" x14ac:dyDescent="0.35">
      <c r="O50" s="104"/>
      <c r="P50" s="104"/>
      <c r="Q50" s="104"/>
      <c r="R50" s="104"/>
      <c r="S50" s="104"/>
      <c r="T50" s="104"/>
    </row>
    <row r="51" spans="15:20" ht="18" customHeight="1" x14ac:dyDescent="0.35">
      <c r="O51" s="104"/>
      <c r="P51" s="104"/>
      <c r="Q51" s="104"/>
      <c r="R51" s="104"/>
      <c r="S51" s="104"/>
      <c r="T51" s="104"/>
    </row>
    <row r="52" spans="15:20" ht="18" customHeight="1" x14ac:dyDescent="0.35">
      <c r="O52" s="104"/>
      <c r="P52" s="104"/>
      <c r="Q52" s="104"/>
      <c r="R52" s="104"/>
      <c r="S52" s="104"/>
      <c r="T52" s="104"/>
    </row>
  </sheetData>
  <mergeCells count="38">
    <mergeCell ref="AU14:AZ14"/>
    <mergeCell ref="B2:AP2"/>
    <mergeCell ref="B3:AP4"/>
    <mergeCell ref="B5:AP5"/>
    <mergeCell ref="B6:F7"/>
    <mergeCell ref="AN6:AO6"/>
    <mergeCell ref="AP6:AQ6"/>
    <mergeCell ref="AP7:AQ7"/>
    <mergeCell ref="N14:AJ14"/>
    <mergeCell ref="B9:F9"/>
    <mergeCell ref="AO9:AQ9"/>
    <mergeCell ref="AU12:AZ12"/>
    <mergeCell ref="AU13:AZ13"/>
    <mergeCell ref="N38:V39"/>
    <mergeCell ref="AC38:AG38"/>
    <mergeCell ref="AJ38:AM38"/>
    <mergeCell ref="AC39:AG39"/>
    <mergeCell ref="AJ39:AM39"/>
    <mergeCell ref="AU15:AZ15"/>
    <mergeCell ref="AU16:AZ16"/>
    <mergeCell ref="AU17:AZ17"/>
    <mergeCell ref="N37:V37"/>
    <mergeCell ref="AC37:AM37"/>
    <mergeCell ref="N40:R41"/>
    <mergeCell ref="S40:V41"/>
    <mergeCell ref="AC40:AG41"/>
    <mergeCell ref="AJ40:AM41"/>
    <mergeCell ref="AC42:AD42"/>
    <mergeCell ref="AE42:AG42"/>
    <mergeCell ref="AJ42:AK42"/>
    <mergeCell ref="AL42:AM42"/>
    <mergeCell ref="O52:T52"/>
    <mergeCell ref="O46:T46"/>
    <mergeCell ref="O47:T47"/>
    <mergeCell ref="O48:T48"/>
    <mergeCell ref="O49:T49"/>
    <mergeCell ref="O50:T50"/>
    <mergeCell ref="O51:T51"/>
  </mergeCells>
  <phoneticPr fontId="5" type="noConversion"/>
  <conditionalFormatting sqref="G11:AM13 G14:N14 AK14:AM14 G15:AM35">
    <cfRule type="cellIs" dxfId="34" priority="1" operator="greaterThan">
      <formula>12</formula>
    </cfRule>
  </conditionalFormatting>
  <conditionalFormatting sqref="G9:AN9">
    <cfRule type="expression" dxfId="33" priority="3">
      <formula>WEEKDAY(G9)=1</formula>
    </cfRule>
  </conditionalFormatting>
  <conditionalFormatting sqref="AO11:AQ35">
    <cfRule type="cellIs" dxfId="32" priority="2" operator="lessThanOrEqual">
      <formula>0</formula>
    </cfRule>
  </conditionalFormatting>
  <printOptions horizontalCentered="1"/>
  <pageMargins left="0.25" right="0.25" top="0.5" bottom="0.5" header="0.3" footer="0.3"/>
  <pageSetup paperSize="9" scale="61" fitToHeight="0" orientation="landscape" r:id="rId1"/>
  <headerFooter>
    <oddFooter>&amp;C&amp;10Page &amp;P of &amp;N&amp;L&amp;1#&amp;"Calibri"&amp;10&amp;K000000TOTAL Classification: Restricted Distribution TOTAL - All rights reserved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AFAA-BB99-46A9-9C03-D2168A82E8E9}">
  <dimension ref="A2:S88"/>
  <sheetViews>
    <sheetView tabSelected="1" topLeftCell="A26" workbookViewId="0">
      <selection activeCell="K7" sqref="K7"/>
    </sheetView>
  </sheetViews>
  <sheetFormatPr defaultColWidth="9.1796875" defaultRowHeight="13" x14ac:dyDescent="0.3"/>
  <cols>
    <col min="1" max="1" width="8" style="53" bestFit="1" customWidth="1"/>
    <col min="2" max="2" width="25.7265625" style="53" bestFit="1" customWidth="1"/>
    <col min="3" max="3" width="24.81640625" style="53" bestFit="1" customWidth="1"/>
    <col min="4" max="4" width="14.36328125" style="53" bestFit="1" customWidth="1"/>
    <col min="5" max="5" width="16.08984375" style="53" bestFit="1" customWidth="1"/>
    <col min="6" max="6" width="19.453125" style="53" bestFit="1" customWidth="1"/>
    <col min="7" max="7" width="22.7265625" style="53" bestFit="1" customWidth="1"/>
    <col min="8" max="8" width="19.453125" style="53" bestFit="1" customWidth="1"/>
    <col min="9" max="9" width="15.90625" style="53" bestFit="1" customWidth="1"/>
    <col min="10" max="10" width="16.453125" style="53" bestFit="1" customWidth="1"/>
    <col min="11" max="11" width="15.7265625" style="53" customWidth="1"/>
    <col min="12" max="13" width="25.1796875" style="53" bestFit="1" customWidth="1"/>
    <col min="14" max="14" width="24.26953125" style="53" bestFit="1" customWidth="1"/>
    <col min="15" max="15" width="25.1796875" style="53" bestFit="1" customWidth="1"/>
    <col min="16" max="16" width="25.7265625" style="53" bestFit="1" customWidth="1"/>
    <col min="17" max="17" width="16.81640625" style="53" bestFit="1" customWidth="1"/>
    <col min="18" max="18" width="24.7265625" style="53" bestFit="1" customWidth="1"/>
    <col min="19" max="19" width="19.7265625" style="53" bestFit="1" customWidth="1"/>
    <col min="20" max="20" width="9.1796875" style="53"/>
    <col min="21" max="21" width="16.1796875" style="53" bestFit="1" customWidth="1"/>
    <col min="22" max="16384" width="9.1796875" style="53"/>
  </cols>
  <sheetData>
    <row r="2" spans="1:19" x14ac:dyDescent="0.3">
      <c r="A2" s="131" t="s">
        <v>119</v>
      </c>
      <c r="B2" s="131"/>
      <c r="C2" s="131"/>
      <c r="D2" s="131"/>
      <c r="E2" s="131"/>
      <c r="F2" s="131"/>
      <c r="G2" s="131"/>
      <c r="H2" s="131"/>
      <c r="I2" s="131"/>
      <c r="J2" s="131"/>
      <c r="K2" s="50"/>
      <c r="L2" s="50"/>
      <c r="M2" s="50"/>
      <c r="N2" s="51"/>
      <c r="O2" s="52"/>
      <c r="S2" s="54"/>
    </row>
    <row r="3" spans="1:19" x14ac:dyDescent="0.3">
      <c r="A3" s="55" t="s">
        <v>120</v>
      </c>
      <c r="B3" s="56" t="s">
        <v>0</v>
      </c>
      <c r="C3" s="56" t="s">
        <v>18</v>
      </c>
      <c r="D3" s="56" t="s">
        <v>19</v>
      </c>
      <c r="E3" s="57" t="s">
        <v>121</v>
      </c>
      <c r="F3" s="56" t="s">
        <v>122</v>
      </c>
      <c r="G3" s="57" t="s">
        <v>123</v>
      </c>
      <c r="H3" s="56" t="s">
        <v>124</v>
      </c>
      <c r="I3" s="57" t="s">
        <v>125</v>
      </c>
      <c r="J3" s="58" t="s">
        <v>126</v>
      </c>
      <c r="K3" s="59" t="s">
        <v>127</v>
      </c>
      <c r="L3" s="60" t="s">
        <v>128</v>
      </c>
      <c r="M3" s="60" t="s">
        <v>129</v>
      </c>
      <c r="N3" s="57" t="s">
        <v>130</v>
      </c>
      <c r="O3" s="61" t="s">
        <v>131</v>
      </c>
    </row>
    <row r="4" spans="1:19" x14ac:dyDescent="0.3">
      <c r="A4" s="62">
        <v>1</v>
      </c>
      <c r="B4" s="62" t="s">
        <v>38</v>
      </c>
      <c r="C4" s="62" t="s">
        <v>39</v>
      </c>
      <c r="D4" s="63" t="s">
        <v>40</v>
      </c>
      <c r="E4" s="63">
        <v>30</v>
      </c>
      <c r="F4" s="62" t="s">
        <v>132</v>
      </c>
      <c r="G4" s="63">
        <v>25000</v>
      </c>
      <c r="H4" s="62" t="s">
        <v>133</v>
      </c>
      <c r="I4" s="63">
        <f>Table25[[#This Row],[Days Worked]]*Table25[[#This Row],[Day Rate]]</f>
        <v>750000</v>
      </c>
      <c r="J4" s="63">
        <f>Table25[[#This Row],[Net Pay]]*5%</f>
        <v>37500</v>
      </c>
      <c r="K4" s="64">
        <f>Table25[[#This Row],[Net Pay]]+Table25[[#This Row],[Tax (WHT)]]</f>
        <v>787500</v>
      </c>
      <c r="L4" s="63" t="s">
        <v>134</v>
      </c>
      <c r="M4" s="65" t="s">
        <v>135</v>
      </c>
      <c r="N4" s="66" t="s">
        <v>136</v>
      </c>
      <c r="O4" s="67"/>
    </row>
    <row r="5" spans="1:19" x14ac:dyDescent="0.3">
      <c r="A5" s="62">
        <v>2</v>
      </c>
      <c r="B5" s="68" t="s">
        <v>38</v>
      </c>
      <c r="C5" s="68" t="s">
        <v>41</v>
      </c>
      <c r="D5" s="68" t="s">
        <v>42</v>
      </c>
      <c r="E5" s="69">
        <v>30</v>
      </c>
      <c r="F5" s="68" t="s">
        <v>132</v>
      </c>
      <c r="G5" s="69">
        <v>10000</v>
      </c>
      <c r="H5" s="68" t="s">
        <v>137</v>
      </c>
      <c r="I5" s="69">
        <f>Table25[[#This Row],[Days Worked]]*Table25[[#This Row],[Day Rate]]</f>
        <v>300000</v>
      </c>
      <c r="J5" s="69"/>
      <c r="K5" s="70">
        <f>Table25[[#This Row],[Net Pay]]+Table25[[#This Row],[Tax (WHT)]]</f>
        <v>300000</v>
      </c>
      <c r="L5" s="68" t="s">
        <v>138</v>
      </c>
      <c r="M5" s="68" t="s">
        <v>139</v>
      </c>
      <c r="N5" s="68" t="s">
        <v>140</v>
      </c>
      <c r="O5" s="71" t="s">
        <v>141</v>
      </c>
    </row>
    <row r="6" spans="1:19" ht="14.5" x14ac:dyDescent="0.3">
      <c r="A6" s="62">
        <v>3</v>
      </c>
      <c r="B6" s="62" t="s">
        <v>38</v>
      </c>
      <c r="C6" s="21" t="s">
        <v>51</v>
      </c>
      <c r="D6" s="21" t="s">
        <v>50</v>
      </c>
      <c r="E6" s="63">
        <v>2</v>
      </c>
      <c r="F6" s="62" t="s">
        <v>142</v>
      </c>
      <c r="G6" s="63">
        <v>40000</v>
      </c>
      <c r="H6" s="62" t="s">
        <v>133</v>
      </c>
      <c r="I6" s="63">
        <f>Table25[[#This Row],[Days Worked]]*Table25[[#This Row],[Day Rate]]</f>
        <v>80000</v>
      </c>
      <c r="J6" s="63">
        <f>Table25[[#This Row],[Net Pay]]*5%</f>
        <v>4000</v>
      </c>
      <c r="K6" s="64">
        <f>Table25[[#This Row],[Net Pay]]+Table25[[#This Row],[Tax (WHT)]]</f>
        <v>84000</v>
      </c>
      <c r="L6" s="63" t="s">
        <v>143</v>
      </c>
      <c r="M6" s="65" t="s">
        <v>144</v>
      </c>
      <c r="N6" s="67" t="s">
        <v>145</v>
      </c>
      <c r="O6" s="67"/>
    </row>
    <row r="7" spans="1:19" x14ac:dyDescent="0.3">
      <c r="A7" s="62">
        <v>4</v>
      </c>
      <c r="B7" s="62" t="s">
        <v>38</v>
      </c>
      <c r="C7" s="62" t="s">
        <v>52</v>
      </c>
      <c r="D7" s="63" t="s">
        <v>53</v>
      </c>
      <c r="E7" s="63">
        <v>8</v>
      </c>
      <c r="F7" s="62" t="s">
        <v>142</v>
      </c>
      <c r="G7" s="63">
        <v>40000</v>
      </c>
      <c r="H7" s="62" t="s">
        <v>133</v>
      </c>
      <c r="I7" s="63">
        <f>Table25[[#This Row],[Days Worked]]*Table25[[#This Row],[Day Rate]]</f>
        <v>320000</v>
      </c>
      <c r="J7" s="63">
        <f>Table25[[#This Row],[Net Pay]]*5%</f>
        <v>16000</v>
      </c>
      <c r="K7" s="64">
        <f>Table25[[#This Row],[Net Pay]]+Table25[[#This Row],[Tax (WHT)]]</f>
        <v>336000</v>
      </c>
      <c r="L7" s="72" t="s">
        <v>146</v>
      </c>
      <c r="M7" s="73" t="s">
        <v>147</v>
      </c>
      <c r="N7" s="62" t="s">
        <v>148</v>
      </c>
      <c r="O7" s="67"/>
    </row>
    <row r="8" spans="1:19" x14ac:dyDescent="0.3">
      <c r="A8" s="62">
        <v>5</v>
      </c>
      <c r="B8" s="62" t="s">
        <v>20</v>
      </c>
      <c r="C8" s="62" t="s">
        <v>65</v>
      </c>
      <c r="D8" s="63" t="s">
        <v>64</v>
      </c>
      <c r="E8" s="63">
        <v>16</v>
      </c>
      <c r="F8" s="62" t="s">
        <v>142</v>
      </c>
      <c r="G8" s="63">
        <v>33000</v>
      </c>
      <c r="H8" s="62" t="s">
        <v>133</v>
      </c>
      <c r="I8" s="63">
        <f>Table25[[#This Row],[Days Worked]]*Table25[[#This Row],[Day Rate]]</f>
        <v>528000</v>
      </c>
      <c r="J8" s="63">
        <f>Table25[[#This Row],[Net Pay]]*5%</f>
        <v>26400</v>
      </c>
      <c r="K8" s="64">
        <f>Table25[[#This Row],[Net Pay]]+Table25[[#This Row],[Tax (WHT)]]</f>
        <v>554400</v>
      </c>
      <c r="L8" s="63" t="s">
        <v>149</v>
      </c>
      <c r="M8" s="65" t="s">
        <v>150</v>
      </c>
      <c r="N8" s="66" t="s">
        <v>151</v>
      </c>
      <c r="O8" s="67"/>
    </row>
    <row r="9" spans="1:19" x14ac:dyDescent="0.3">
      <c r="A9" s="62">
        <v>6</v>
      </c>
      <c r="B9" s="62" t="s">
        <v>152</v>
      </c>
      <c r="C9" s="62" t="s">
        <v>62</v>
      </c>
      <c r="D9" s="62" t="s">
        <v>63</v>
      </c>
      <c r="E9" s="63">
        <v>17</v>
      </c>
      <c r="F9" s="62" t="s">
        <v>142</v>
      </c>
      <c r="G9" s="63">
        <v>50000</v>
      </c>
      <c r="H9" s="62" t="s">
        <v>133</v>
      </c>
      <c r="I9" s="63">
        <f>Table25[[#This Row],[Days Worked]]*Table25[[#This Row],[Day Rate]]</f>
        <v>850000</v>
      </c>
      <c r="J9" s="63">
        <f>Table25[[#This Row],[Net Pay]]*5%</f>
        <v>42500</v>
      </c>
      <c r="K9" s="64">
        <f>Table25[[#This Row],[Net Pay]]+Table25[[#This Row],[Tax (WHT)]]</f>
        <v>892500</v>
      </c>
      <c r="L9" s="63" t="s">
        <v>153</v>
      </c>
      <c r="M9" s="65" t="s">
        <v>154</v>
      </c>
      <c r="N9" s="66" t="s">
        <v>145</v>
      </c>
      <c r="O9" s="67"/>
    </row>
    <row r="10" spans="1:19" ht="14.5" x14ac:dyDescent="0.3">
      <c r="A10" s="62">
        <v>7</v>
      </c>
      <c r="B10" s="62" t="s">
        <v>38</v>
      </c>
      <c r="C10" s="21" t="s">
        <v>62</v>
      </c>
      <c r="D10" s="21" t="s">
        <v>101</v>
      </c>
      <c r="E10" s="63">
        <v>24</v>
      </c>
      <c r="F10" s="62" t="s">
        <v>142</v>
      </c>
      <c r="G10" s="63">
        <v>40000</v>
      </c>
      <c r="H10" s="62" t="s">
        <v>133</v>
      </c>
      <c r="I10" s="63">
        <f>Table25[[#This Row],[Days Worked]]*Table25[[#This Row],[Day Rate]]</f>
        <v>960000</v>
      </c>
      <c r="J10" s="63">
        <f>Table25[[#This Row],[Net Pay]]*5%</f>
        <v>48000</v>
      </c>
      <c r="K10" s="64">
        <f>Table25[[#This Row],[Net Pay]]+Table25[[#This Row],[Tax (WHT)]]</f>
        <v>1008000</v>
      </c>
      <c r="L10" s="72" t="s">
        <v>225</v>
      </c>
      <c r="M10" s="134" t="s">
        <v>226</v>
      </c>
      <c r="N10" s="72" t="s">
        <v>227</v>
      </c>
      <c r="O10" s="67"/>
    </row>
    <row r="11" spans="1:19" ht="14.5" x14ac:dyDescent="0.3">
      <c r="A11" s="62">
        <v>8</v>
      </c>
      <c r="B11" s="62" t="s">
        <v>38</v>
      </c>
      <c r="C11" s="21" t="s">
        <v>96</v>
      </c>
      <c r="D11" s="21" t="s">
        <v>95</v>
      </c>
      <c r="E11" s="63">
        <v>29</v>
      </c>
      <c r="F11" s="62" t="s">
        <v>155</v>
      </c>
      <c r="G11" s="63">
        <v>40000</v>
      </c>
      <c r="H11" s="62" t="s">
        <v>133</v>
      </c>
      <c r="I11" s="63">
        <f>Table25[[#This Row],[Days Worked]]*Table25[[#This Row],[Day Rate]]</f>
        <v>1160000</v>
      </c>
      <c r="J11" s="63">
        <f>Table25[[#This Row],[Net Pay]]*5%</f>
        <v>58000</v>
      </c>
      <c r="K11" s="64">
        <f>Table25[[#This Row],[Net Pay]]+Table25[[#This Row],[Tax (WHT)]]</f>
        <v>1218000</v>
      </c>
      <c r="L11" s="143" t="s">
        <v>231</v>
      </c>
      <c r="M11" s="144" t="s">
        <v>232</v>
      </c>
      <c r="N11" s="145" t="s">
        <v>233</v>
      </c>
      <c r="O11" s="67"/>
    </row>
    <row r="12" spans="1:19" x14ac:dyDescent="0.3">
      <c r="A12" s="62">
        <v>9</v>
      </c>
      <c r="B12" s="62" t="s">
        <v>59</v>
      </c>
      <c r="C12" s="62" t="s">
        <v>60</v>
      </c>
      <c r="D12" s="62" t="s">
        <v>61</v>
      </c>
      <c r="E12" s="74">
        <v>17</v>
      </c>
      <c r="F12" s="62" t="s">
        <v>142</v>
      </c>
      <c r="G12" s="63">
        <v>39600</v>
      </c>
      <c r="H12" s="62" t="s">
        <v>133</v>
      </c>
      <c r="I12" s="63">
        <f>Table25[[#This Row],[Days Worked]]*Table25[[#This Row],[Day Rate]]</f>
        <v>673200</v>
      </c>
      <c r="J12" s="63">
        <f>Table25[[#This Row],[Net Pay]]*5%</f>
        <v>33660</v>
      </c>
      <c r="K12" s="64">
        <f>Table25[[#This Row],[Net Pay]]+Table25[[#This Row],[Tax (WHT)]]</f>
        <v>706860</v>
      </c>
      <c r="L12" s="63" t="s">
        <v>156</v>
      </c>
      <c r="M12" s="65" t="s">
        <v>157</v>
      </c>
      <c r="N12" s="66" t="s">
        <v>158</v>
      </c>
      <c r="O12" s="67"/>
    </row>
    <row r="13" spans="1:19" x14ac:dyDescent="0.3">
      <c r="A13" s="62">
        <v>10</v>
      </c>
      <c r="B13" s="62" t="s">
        <v>20</v>
      </c>
      <c r="C13" s="62" t="s">
        <v>159</v>
      </c>
      <c r="D13" s="63" t="s">
        <v>57</v>
      </c>
      <c r="E13" s="63">
        <v>11</v>
      </c>
      <c r="F13" s="62" t="s">
        <v>142</v>
      </c>
      <c r="G13" s="63">
        <v>33000</v>
      </c>
      <c r="H13" s="62" t="s">
        <v>133</v>
      </c>
      <c r="I13" s="63">
        <f>Table25[[#This Row],[Days Worked]]*Table25[[#This Row],[Day Rate]]</f>
        <v>363000</v>
      </c>
      <c r="J13" s="63">
        <f>Table25[[#This Row],[Net Pay]]*5%</f>
        <v>18150</v>
      </c>
      <c r="K13" s="64">
        <f>Table25[[#This Row],[Net Pay]]+Table25[[#This Row],[Tax (WHT)]]</f>
        <v>381150</v>
      </c>
      <c r="L13" s="75" t="s">
        <v>160</v>
      </c>
      <c r="M13" s="76" t="s">
        <v>161</v>
      </c>
      <c r="N13" s="77" t="s">
        <v>162</v>
      </c>
      <c r="O13" s="67"/>
    </row>
    <row r="14" spans="1:19" x14ac:dyDescent="0.3">
      <c r="A14" s="62">
        <v>11</v>
      </c>
      <c r="B14" s="62" t="s">
        <v>20</v>
      </c>
      <c r="C14" s="62" t="s">
        <v>163</v>
      </c>
      <c r="D14" s="63" t="s">
        <v>54</v>
      </c>
      <c r="E14" s="63">
        <v>19</v>
      </c>
      <c r="F14" s="62" t="s">
        <v>142</v>
      </c>
      <c r="G14" s="63">
        <v>33000</v>
      </c>
      <c r="H14" s="62" t="s">
        <v>133</v>
      </c>
      <c r="I14" s="63">
        <f>Table25[[#This Row],[Days Worked]]*Table25[[#This Row],[Day Rate]]</f>
        <v>627000</v>
      </c>
      <c r="J14" s="63">
        <f>Table25[[#This Row],[Net Pay]]*5%</f>
        <v>31350</v>
      </c>
      <c r="K14" s="64">
        <f>Table25[[#This Row],[Net Pay]]+Table25[[#This Row],[Tax (WHT)]]</f>
        <v>658350</v>
      </c>
      <c r="L14" s="63" t="s">
        <v>164</v>
      </c>
      <c r="M14" s="65" t="s">
        <v>165</v>
      </c>
      <c r="N14" s="66" t="s">
        <v>166</v>
      </c>
      <c r="O14" s="67"/>
    </row>
    <row r="15" spans="1:19" x14ac:dyDescent="0.3">
      <c r="A15" s="62">
        <v>12</v>
      </c>
      <c r="B15" s="62" t="s">
        <v>44</v>
      </c>
      <c r="C15" s="62" t="s">
        <v>45</v>
      </c>
      <c r="D15" s="63" t="s">
        <v>114</v>
      </c>
      <c r="E15" s="63">
        <v>6</v>
      </c>
      <c r="F15" s="62" t="s">
        <v>142</v>
      </c>
      <c r="G15" s="63">
        <v>50000</v>
      </c>
      <c r="H15" s="62" t="s">
        <v>133</v>
      </c>
      <c r="I15" s="63">
        <f>Table25[[#This Row],[Days Worked]]*Table25[[#This Row],[Day Rate]]</f>
        <v>300000</v>
      </c>
      <c r="J15" s="63">
        <f>Table25[[#This Row],[Net Pay]]*5%</f>
        <v>15000</v>
      </c>
      <c r="K15" s="64">
        <f>Table25[[#This Row],[Net Pay]]+Table25[[#This Row],[Tax (WHT)]]</f>
        <v>315000</v>
      </c>
      <c r="L15" s="72" t="s">
        <v>167</v>
      </c>
      <c r="M15" s="73" t="s">
        <v>168</v>
      </c>
      <c r="N15" s="62" t="s">
        <v>148</v>
      </c>
      <c r="O15" s="67"/>
    </row>
    <row r="16" spans="1:19" x14ac:dyDescent="0.3">
      <c r="A16" s="62">
        <v>13</v>
      </c>
      <c r="B16" s="62" t="s">
        <v>20</v>
      </c>
      <c r="C16" s="62" t="s">
        <v>56</v>
      </c>
      <c r="D16" s="63" t="s">
        <v>46</v>
      </c>
      <c r="E16" s="63">
        <v>11</v>
      </c>
      <c r="F16" s="62" t="s">
        <v>142</v>
      </c>
      <c r="G16" s="63">
        <v>33000</v>
      </c>
      <c r="H16" s="62" t="s">
        <v>133</v>
      </c>
      <c r="I16" s="63">
        <f>Table25[[#This Row],[Days Worked]]*Table25[[#This Row],[Day Rate]]</f>
        <v>363000</v>
      </c>
      <c r="J16" s="63">
        <f>Table25[[#This Row],[Net Pay]]*5%</f>
        <v>18150</v>
      </c>
      <c r="K16" s="64">
        <f>Table25[[#This Row],[Net Pay]]+Table25[[#This Row],[Tax (WHT)]]</f>
        <v>381150</v>
      </c>
      <c r="L16" s="63" t="s">
        <v>169</v>
      </c>
      <c r="M16" s="65" t="s">
        <v>170</v>
      </c>
      <c r="N16" s="66" t="s">
        <v>171</v>
      </c>
      <c r="O16" s="67"/>
    </row>
    <row r="17" spans="1:15" x14ac:dyDescent="0.3">
      <c r="A17" s="62">
        <v>14</v>
      </c>
      <c r="B17" s="62" t="s">
        <v>47</v>
      </c>
      <c r="C17" s="62" t="s">
        <v>66</v>
      </c>
      <c r="D17" s="63" t="s">
        <v>67</v>
      </c>
      <c r="E17" s="63">
        <v>16</v>
      </c>
      <c r="F17" s="62" t="s">
        <v>142</v>
      </c>
      <c r="G17" s="63">
        <v>30000</v>
      </c>
      <c r="H17" s="62" t="s">
        <v>133</v>
      </c>
      <c r="I17" s="63">
        <f>Table25[[#This Row],[Days Worked]]*Table25[[#This Row],[Day Rate]]</f>
        <v>480000</v>
      </c>
      <c r="J17" s="63">
        <f>Table25[[#This Row],[Net Pay]]*5%</f>
        <v>24000</v>
      </c>
      <c r="K17" s="64">
        <f>Table25[[#This Row],[Net Pay]]+Table25[[#This Row],[Tax (WHT)]]</f>
        <v>504000</v>
      </c>
      <c r="L17" s="63" t="s">
        <v>172</v>
      </c>
      <c r="M17" s="65" t="s">
        <v>173</v>
      </c>
      <c r="N17" s="66" t="s">
        <v>174</v>
      </c>
      <c r="O17" s="67"/>
    </row>
    <row r="18" spans="1:15" ht="14.5" x14ac:dyDescent="0.3">
      <c r="A18" s="62">
        <v>15</v>
      </c>
      <c r="B18" s="62" t="s">
        <v>20</v>
      </c>
      <c r="C18" s="21" t="s">
        <v>100</v>
      </c>
      <c r="D18" s="21" t="s">
        <v>99</v>
      </c>
      <c r="E18" s="63">
        <v>20</v>
      </c>
      <c r="F18" s="62" t="s">
        <v>142</v>
      </c>
      <c r="G18" s="63">
        <v>33000</v>
      </c>
      <c r="H18" s="62" t="s">
        <v>133</v>
      </c>
      <c r="I18" s="63">
        <f>Table25[[#This Row],[Days Worked]]*Table25[[#This Row],[Day Rate]]</f>
        <v>660000</v>
      </c>
      <c r="J18" s="63">
        <f>Table25[[#This Row],[Net Pay]]*5%</f>
        <v>33000</v>
      </c>
      <c r="K18" s="64">
        <f>Table25[[#This Row],[Net Pay]]+Table25[[#This Row],[Tax (WHT)]]</f>
        <v>693000</v>
      </c>
      <c r="L18" s="135" t="s">
        <v>236</v>
      </c>
      <c r="M18" s="138">
        <v>3172476354</v>
      </c>
      <c r="N18" s="139" t="s">
        <v>158</v>
      </c>
      <c r="O18" s="67"/>
    </row>
    <row r="19" spans="1:15" ht="13" customHeight="1" x14ac:dyDescent="0.3">
      <c r="A19" s="62">
        <v>16</v>
      </c>
      <c r="B19" s="62" t="s">
        <v>20</v>
      </c>
      <c r="C19" s="21" t="s">
        <v>102</v>
      </c>
      <c r="D19" s="21" t="s">
        <v>103</v>
      </c>
      <c r="E19" s="63">
        <v>20</v>
      </c>
      <c r="F19" s="62" t="s">
        <v>142</v>
      </c>
      <c r="G19" s="63">
        <v>33000</v>
      </c>
      <c r="H19" s="62" t="s">
        <v>133</v>
      </c>
      <c r="I19" s="63">
        <f>Table25[[#This Row],[Days Worked]]*Table25[[#This Row],[Day Rate]]</f>
        <v>660000</v>
      </c>
      <c r="J19" s="63">
        <f>Table25[[#This Row],[Net Pay]]*5%</f>
        <v>33000</v>
      </c>
      <c r="K19" s="64">
        <f>Table25[[#This Row],[Net Pay]]+Table25[[#This Row],[Tax (WHT)]]</f>
        <v>693000</v>
      </c>
      <c r="L19" s="146" t="s">
        <v>234</v>
      </c>
      <c r="M19" s="136" t="s">
        <v>235</v>
      </c>
      <c r="N19" s="137" t="s">
        <v>145</v>
      </c>
      <c r="O19" s="67"/>
    </row>
    <row r="20" spans="1:15" ht="14.5" x14ac:dyDescent="0.3">
      <c r="A20" s="62">
        <v>17</v>
      </c>
      <c r="B20" s="62" t="s">
        <v>20</v>
      </c>
      <c r="C20" s="21" t="s">
        <v>104</v>
      </c>
      <c r="D20" s="21" t="s">
        <v>105</v>
      </c>
      <c r="E20" s="63">
        <v>15</v>
      </c>
      <c r="F20" s="62" t="s">
        <v>142</v>
      </c>
      <c r="G20" s="63">
        <v>33000</v>
      </c>
      <c r="H20" s="62" t="s">
        <v>133</v>
      </c>
      <c r="I20" s="63">
        <f>Table25[[#This Row],[Days Worked]]*Table25[[#This Row],[Day Rate]]</f>
        <v>495000</v>
      </c>
      <c r="J20" s="63">
        <f>Table25[[#This Row],[Net Pay]]*5%</f>
        <v>24750</v>
      </c>
      <c r="K20" s="64">
        <f>Table25[[#This Row],[Net Pay]]+Table25[[#This Row],[Tax (WHT)]]</f>
        <v>519750</v>
      </c>
      <c r="L20" s="67" t="s">
        <v>237</v>
      </c>
      <c r="M20" s="147" t="s">
        <v>238</v>
      </c>
      <c r="N20" s="148" t="s">
        <v>158</v>
      </c>
      <c r="O20" s="67"/>
    </row>
    <row r="21" spans="1:15" ht="14.5" x14ac:dyDescent="0.3">
      <c r="A21" s="62">
        <v>18</v>
      </c>
      <c r="B21" s="62" t="s">
        <v>20</v>
      </c>
      <c r="C21" s="21" t="s">
        <v>107</v>
      </c>
      <c r="D21" s="21" t="s">
        <v>106</v>
      </c>
      <c r="E21" s="63">
        <v>15</v>
      </c>
      <c r="F21" s="62" t="s">
        <v>142</v>
      </c>
      <c r="G21" s="63">
        <v>33000</v>
      </c>
      <c r="H21" s="62" t="s">
        <v>133</v>
      </c>
      <c r="I21" s="63">
        <f>Table25[[#This Row],[Days Worked]]*Table25[[#This Row],[Day Rate]]</f>
        <v>495000</v>
      </c>
      <c r="J21" s="63">
        <f>Table25[[#This Row],[Net Pay]]*5%</f>
        <v>24750</v>
      </c>
      <c r="K21" s="64">
        <f>Table25[[#This Row],[Net Pay]]+Table25[[#This Row],[Tax (WHT)]]</f>
        <v>519750</v>
      </c>
      <c r="L21" s="149" t="s">
        <v>239</v>
      </c>
      <c r="M21" s="134" t="s">
        <v>240</v>
      </c>
      <c r="N21" s="150" t="s">
        <v>241</v>
      </c>
      <c r="O21" s="67"/>
    </row>
    <row r="22" spans="1:15" ht="14.5" x14ac:dyDescent="0.3">
      <c r="A22" s="62">
        <v>19</v>
      </c>
      <c r="B22" s="62" t="s">
        <v>88</v>
      </c>
      <c r="C22" s="21" t="s">
        <v>109</v>
      </c>
      <c r="D22" s="21" t="s">
        <v>108</v>
      </c>
      <c r="E22" s="63">
        <v>15</v>
      </c>
      <c r="F22" s="62" t="s">
        <v>142</v>
      </c>
      <c r="G22" s="63">
        <v>70000</v>
      </c>
      <c r="H22" s="62" t="s">
        <v>133</v>
      </c>
      <c r="I22" s="63">
        <f>Table25[[#This Row],[Days Worked]]*Table25[[#This Row],[Day Rate]]</f>
        <v>1050000</v>
      </c>
      <c r="J22" s="63">
        <f>Table25[[#This Row],[Net Pay]]*5%</f>
        <v>52500</v>
      </c>
      <c r="K22" s="64">
        <f>Table25[[#This Row],[Net Pay]]+Table25[[#This Row],[Tax (WHT)]]</f>
        <v>1102500</v>
      </c>
      <c r="L22" s="151" t="s">
        <v>242</v>
      </c>
      <c r="M22" s="134" t="s">
        <v>243</v>
      </c>
      <c r="N22" s="150" t="s">
        <v>244</v>
      </c>
      <c r="O22" s="67"/>
    </row>
    <row r="23" spans="1:15" ht="14.5" x14ac:dyDescent="0.3">
      <c r="A23" s="62">
        <v>20</v>
      </c>
      <c r="B23" s="62" t="s">
        <v>38</v>
      </c>
      <c r="C23" s="21" t="s">
        <v>111</v>
      </c>
      <c r="D23" s="21" t="s">
        <v>112</v>
      </c>
      <c r="E23" s="63">
        <v>13</v>
      </c>
      <c r="F23" s="62" t="s">
        <v>142</v>
      </c>
      <c r="G23" s="63">
        <v>40000</v>
      </c>
      <c r="H23" s="62" t="s">
        <v>133</v>
      </c>
      <c r="I23" s="63">
        <f>Table25[[#This Row],[Days Worked]]*Table25[[#This Row],[Day Rate]]</f>
        <v>520000</v>
      </c>
      <c r="J23" s="63">
        <f>Table25[[#This Row],[Net Pay]]*5%</f>
        <v>26000</v>
      </c>
      <c r="K23" s="64">
        <f>Table25[[#This Row],[Net Pay]]+Table25[[#This Row],[Tax (WHT)]]</f>
        <v>546000</v>
      </c>
      <c r="L23" s="140" t="s">
        <v>229</v>
      </c>
      <c r="M23" s="141">
        <v>3004360251</v>
      </c>
      <c r="N23" s="137" t="s">
        <v>158</v>
      </c>
      <c r="O23" s="67"/>
    </row>
    <row r="24" spans="1:15" ht="14.5" x14ac:dyDescent="0.3">
      <c r="A24" s="62">
        <v>21</v>
      </c>
      <c r="B24" s="62" t="s">
        <v>47</v>
      </c>
      <c r="C24" s="21" t="s">
        <v>116</v>
      </c>
      <c r="D24" s="21" t="s">
        <v>115</v>
      </c>
      <c r="E24" s="63">
        <v>13</v>
      </c>
      <c r="F24" s="62" t="s">
        <v>142</v>
      </c>
      <c r="G24" s="63">
        <v>30000</v>
      </c>
      <c r="H24" s="62" t="s">
        <v>133</v>
      </c>
      <c r="I24" s="63">
        <f>Table25[[#This Row],[Days Worked]]*Table25[[#This Row],[Day Rate]]</f>
        <v>390000</v>
      </c>
      <c r="J24" s="63">
        <f>Table25[[#This Row],[Net Pay]]*5%</f>
        <v>19500</v>
      </c>
      <c r="K24" s="64">
        <f>Table25[[#This Row],[Net Pay]]+Table25[[#This Row],[Tax (WHT)]]</f>
        <v>409500</v>
      </c>
      <c r="L24" s="67" t="s">
        <v>245</v>
      </c>
      <c r="M24" s="147">
        <v>2023602685</v>
      </c>
      <c r="N24" s="148" t="s">
        <v>246</v>
      </c>
      <c r="O24" s="67"/>
    </row>
    <row r="25" spans="1:15" ht="14.5" x14ac:dyDescent="0.3">
      <c r="A25" s="62">
        <v>22</v>
      </c>
      <c r="B25" s="62" t="s">
        <v>20</v>
      </c>
      <c r="C25" s="21" t="s">
        <v>94</v>
      </c>
      <c r="D25" s="21" t="s">
        <v>93</v>
      </c>
      <c r="E25" s="63">
        <v>29</v>
      </c>
      <c r="F25" s="62" t="s">
        <v>142</v>
      </c>
      <c r="G25" s="63">
        <v>33000</v>
      </c>
      <c r="H25" s="62" t="s">
        <v>133</v>
      </c>
      <c r="I25" s="63">
        <f>Table25[[#This Row],[Days Worked]]*Table25[[#This Row],[Day Rate]]</f>
        <v>957000</v>
      </c>
      <c r="J25" s="63">
        <f>Table25[[#This Row],[Net Pay]]*5%</f>
        <v>47850</v>
      </c>
      <c r="K25" s="64">
        <f>Table25[[#This Row],[Net Pay]]+Table25[[#This Row],[Tax (WHT)]]</f>
        <v>1004850</v>
      </c>
      <c r="L25" s="142" t="s">
        <v>230</v>
      </c>
      <c r="M25" s="141">
        <v>2008750512</v>
      </c>
      <c r="N25" s="137" t="s">
        <v>179</v>
      </c>
      <c r="O25" s="67"/>
    </row>
    <row r="26" spans="1:15" ht="14.5" x14ac:dyDescent="0.3">
      <c r="A26" s="62">
        <v>23</v>
      </c>
      <c r="B26" s="62" t="s">
        <v>88</v>
      </c>
      <c r="C26" s="21" t="s">
        <v>97</v>
      </c>
      <c r="D26" s="21" t="s">
        <v>98</v>
      </c>
      <c r="E26" s="63">
        <v>27</v>
      </c>
      <c r="F26" s="62" t="s">
        <v>142</v>
      </c>
      <c r="G26" s="63">
        <v>70000</v>
      </c>
      <c r="H26" s="62" t="s">
        <v>133</v>
      </c>
      <c r="I26" s="63">
        <f>Table25[[#This Row],[Days Worked]]*Table25[[#This Row],[Day Rate]]</f>
        <v>1890000</v>
      </c>
      <c r="J26" s="63">
        <f>Table25[[#This Row],[Net Pay]]*5%</f>
        <v>94500</v>
      </c>
      <c r="K26" s="64">
        <f>Table25[[#This Row],[Net Pay]]+Table25[[#This Row],[Tax (WHT)]]</f>
        <v>1984500</v>
      </c>
      <c r="L26" s="135" t="s">
        <v>97</v>
      </c>
      <c r="M26" s="136">
        <v>1791236928</v>
      </c>
      <c r="N26" s="137" t="s">
        <v>174</v>
      </c>
      <c r="O26" s="67"/>
    </row>
    <row r="27" spans="1:15" ht="14.5" x14ac:dyDescent="0.3">
      <c r="A27" s="62">
        <v>24</v>
      </c>
      <c r="B27" s="62" t="s">
        <v>92</v>
      </c>
      <c r="C27" s="37" t="s">
        <v>175</v>
      </c>
      <c r="D27" s="21" t="s">
        <v>90</v>
      </c>
      <c r="E27" s="63">
        <v>29</v>
      </c>
      <c r="F27" s="62" t="s">
        <v>142</v>
      </c>
      <c r="G27" s="63">
        <v>90000</v>
      </c>
      <c r="H27" s="62" t="s">
        <v>133</v>
      </c>
      <c r="I27" s="63">
        <f>Table25[[#This Row],[Days Worked]]*Table25[[#This Row],[Day Rate]]</f>
        <v>2610000</v>
      </c>
      <c r="J27" s="63">
        <f>Table25[[#This Row],[Net Pay]]*5%</f>
        <v>130500</v>
      </c>
      <c r="K27" s="64">
        <f>Table25[[#This Row],[Net Pay]]+Table25[[#This Row],[Tax (WHT)]]</f>
        <v>2740500</v>
      </c>
      <c r="L27" s="135" t="s">
        <v>228</v>
      </c>
      <c r="M27" s="138">
        <v>625978086</v>
      </c>
      <c r="N27" s="139" t="s">
        <v>199</v>
      </c>
      <c r="O27" s="67"/>
    </row>
    <row r="28" spans="1:15" x14ac:dyDescent="0.3">
      <c r="A28" s="62">
        <v>25</v>
      </c>
      <c r="B28" s="62" t="s">
        <v>88</v>
      </c>
      <c r="C28" s="62" t="s">
        <v>176</v>
      </c>
      <c r="D28" s="63" t="s">
        <v>86</v>
      </c>
      <c r="E28" s="63">
        <v>30</v>
      </c>
      <c r="F28" s="62" t="s">
        <v>142</v>
      </c>
      <c r="G28" s="63">
        <v>70000</v>
      </c>
      <c r="H28" s="62" t="s">
        <v>133</v>
      </c>
      <c r="I28" s="63">
        <f>Table25[[#This Row],[Days Worked]]*Table25[[#This Row],[Day Rate]]</f>
        <v>2100000</v>
      </c>
      <c r="J28" s="63">
        <f>Table25[[#This Row],[Net Pay]]*5%</f>
        <v>105000</v>
      </c>
      <c r="K28" s="64">
        <f>Table25[[#This Row],[Net Pay]]+Table25[[#This Row],[Tax (WHT)]]</f>
        <v>2205000</v>
      </c>
      <c r="L28" s="72" t="s">
        <v>177</v>
      </c>
      <c r="M28" s="73" t="s">
        <v>178</v>
      </c>
      <c r="N28" s="62" t="s">
        <v>179</v>
      </c>
      <c r="O28" s="67"/>
    </row>
    <row r="29" spans="1:15" x14ac:dyDescent="0.3">
      <c r="A29" s="62">
        <v>26</v>
      </c>
      <c r="B29" s="68" t="s">
        <v>69</v>
      </c>
      <c r="C29" s="68" t="s">
        <v>70</v>
      </c>
      <c r="D29" s="69" t="s">
        <v>71</v>
      </c>
      <c r="E29" s="69">
        <v>30</v>
      </c>
      <c r="F29" s="68" t="s">
        <v>155</v>
      </c>
      <c r="G29" s="69">
        <v>20000</v>
      </c>
      <c r="H29" s="68" t="s">
        <v>137</v>
      </c>
      <c r="I29" s="69">
        <f>Table25[[#This Row],[Days Worked]]*Table25[[#This Row],[Day Rate]]</f>
        <v>600000</v>
      </c>
      <c r="J29" s="69"/>
      <c r="K29" s="70">
        <f>Table25[[#This Row],[Net Pay]]+Table25[[#This Row],[Tax (WHT)]]</f>
        <v>600000</v>
      </c>
      <c r="L29" s="69" t="s">
        <v>180</v>
      </c>
      <c r="M29" s="78" t="s">
        <v>181</v>
      </c>
      <c r="N29" s="69" t="s">
        <v>182</v>
      </c>
      <c r="O29" s="71" t="s">
        <v>183</v>
      </c>
    </row>
    <row r="30" spans="1:15" x14ac:dyDescent="0.3">
      <c r="A30" s="62">
        <v>27</v>
      </c>
      <c r="B30" s="68" t="s">
        <v>184</v>
      </c>
      <c r="C30" s="68" t="s">
        <v>48</v>
      </c>
      <c r="D30" s="69" t="s">
        <v>49</v>
      </c>
      <c r="E30" s="69">
        <v>18</v>
      </c>
      <c r="F30" s="68" t="s">
        <v>142</v>
      </c>
      <c r="G30" s="69">
        <v>40000</v>
      </c>
      <c r="H30" s="68" t="s">
        <v>137</v>
      </c>
      <c r="I30" s="69">
        <f>Table25[[#This Row],[Days Worked]]*Table25[[#This Row],[Day Rate]]</f>
        <v>720000</v>
      </c>
      <c r="J30" s="69"/>
      <c r="K30" s="70">
        <f>Table25[[#This Row],[Net Pay]]+Table25[[#This Row],[Tax (WHT)]]</f>
        <v>720000</v>
      </c>
      <c r="L30" s="69" t="s">
        <v>185</v>
      </c>
      <c r="M30" s="78" t="s">
        <v>186</v>
      </c>
      <c r="N30" s="69" t="s">
        <v>162</v>
      </c>
      <c r="O30" s="71" t="s">
        <v>183</v>
      </c>
    </row>
    <row r="31" spans="1:15" x14ac:dyDescent="0.3">
      <c r="A31" s="62">
        <v>28</v>
      </c>
      <c r="B31" s="62" t="s">
        <v>20</v>
      </c>
      <c r="C31" s="62" t="s">
        <v>74</v>
      </c>
      <c r="D31" s="63" t="s">
        <v>75</v>
      </c>
      <c r="E31" s="63">
        <v>30</v>
      </c>
      <c r="F31" s="62" t="s">
        <v>155</v>
      </c>
      <c r="G31" s="79">
        <v>33000</v>
      </c>
      <c r="H31" s="62" t="s">
        <v>133</v>
      </c>
      <c r="I31" s="63">
        <f>Table25[[#This Row],[Days Worked]]*Table25[[#This Row],[Day Rate]]</f>
        <v>990000</v>
      </c>
      <c r="J31" s="63">
        <f>Table25[[#This Row],[Net Pay]]*5%</f>
        <v>49500</v>
      </c>
      <c r="K31" s="64">
        <f>Table25[[#This Row],[Net Pay]]+Table25[[#This Row],[Tax (WHT)]]</f>
        <v>1039500</v>
      </c>
      <c r="L31" s="63" t="s">
        <v>187</v>
      </c>
      <c r="M31" s="65" t="s">
        <v>188</v>
      </c>
      <c r="N31" s="63" t="s">
        <v>189</v>
      </c>
      <c r="O31" s="67"/>
    </row>
    <row r="32" spans="1:15" x14ac:dyDescent="0.3">
      <c r="A32" s="62">
        <v>29</v>
      </c>
      <c r="B32" s="68" t="s">
        <v>44</v>
      </c>
      <c r="C32" s="68" t="s">
        <v>78</v>
      </c>
      <c r="D32" s="69" t="s">
        <v>79</v>
      </c>
      <c r="E32" s="69">
        <v>30</v>
      </c>
      <c r="F32" s="68" t="s">
        <v>155</v>
      </c>
      <c r="G32" s="69">
        <v>20000</v>
      </c>
      <c r="H32" s="68" t="s">
        <v>137</v>
      </c>
      <c r="I32" s="69">
        <f>Table25[[#This Row],[Days Worked]]*Table25[[#This Row],[Day Rate]]</f>
        <v>600000</v>
      </c>
      <c r="J32" s="69"/>
      <c r="K32" s="70">
        <f>Table25[[#This Row],[Net Pay]]+Table25[[#This Row],[Tax (WHT)]]</f>
        <v>600000</v>
      </c>
      <c r="L32" s="69" t="s">
        <v>190</v>
      </c>
      <c r="M32" s="78" t="s">
        <v>191</v>
      </c>
      <c r="N32" s="69" t="s">
        <v>192</v>
      </c>
      <c r="O32" s="71" t="s">
        <v>183</v>
      </c>
    </row>
    <row r="33" spans="1:19" x14ac:dyDescent="0.3">
      <c r="A33" s="62">
        <v>30</v>
      </c>
      <c r="B33" s="68" t="s">
        <v>44</v>
      </c>
      <c r="C33" s="68" t="s">
        <v>193</v>
      </c>
      <c r="D33" s="69" t="s">
        <v>117</v>
      </c>
      <c r="E33" s="69">
        <v>6</v>
      </c>
      <c r="F33" s="68" t="s">
        <v>142</v>
      </c>
      <c r="G33" s="69">
        <v>20000</v>
      </c>
      <c r="H33" s="68" t="s">
        <v>137</v>
      </c>
      <c r="I33" s="69">
        <f>Table25[[#This Row],[Days Worked]]*Table25[[#This Row],[Day Rate]]</f>
        <v>120000</v>
      </c>
      <c r="J33" s="69"/>
      <c r="K33" s="70">
        <f>Table25[[#This Row],[Net Pay]]+Table25[[#This Row],[Tax (WHT)]]</f>
        <v>120000</v>
      </c>
      <c r="L33" s="69" t="s">
        <v>194</v>
      </c>
      <c r="M33" s="78" t="s">
        <v>195</v>
      </c>
      <c r="N33" s="69" t="s">
        <v>196</v>
      </c>
      <c r="O33" s="71" t="s">
        <v>183</v>
      </c>
    </row>
    <row r="34" spans="1:19" x14ac:dyDescent="0.3">
      <c r="A34" s="62">
        <v>31</v>
      </c>
      <c r="B34" s="68" t="s">
        <v>44</v>
      </c>
      <c r="C34" s="68" t="s">
        <v>68</v>
      </c>
      <c r="D34" s="69" t="s">
        <v>76</v>
      </c>
      <c r="E34" s="69">
        <v>30</v>
      </c>
      <c r="F34" s="68" t="s">
        <v>155</v>
      </c>
      <c r="G34" s="69">
        <v>20000</v>
      </c>
      <c r="H34" s="68" t="s">
        <v>137</v>
      </c>
      <c r="I34" s="69">
        <f>Table25[[#This Row],[Days Worked]]*Table25[[#This Row],[Day Rate]]</f>
        <v>600000</v>
      </c>
      <c r="J34" s="69"/>
      <c r="K34" s="70">
        <f>Table25[[#This Row],[Net Pay]]+Table25[[#This Row],[Tax (WHT)]]</f>
        <v>600000</v>
      </c>
      <c r="L34" s="69" t="s">
        <v>197</v>
      </c>
      <c r="M34" s="78" t="s">
        <v>198</v>
      </c>
      <c r="N34" s="69" t="s">
        <v>199</v>
      </c>
      <c r="O34" s="71" t="s">
        <v>183</v>
      </c>
    </row>
    <row r="35" spans="1:19" x14ac:dyDescent="0.3">
      <c r="A35" s="62">
        <v>32</v>
      </c>
      <c r="B35" s="68" t="s">
        <v>20</v>
      </c>
      <c r="C35" s="68" t="s">
        <v>72</v>
      </c>
      <c r="D35" s="69" t="s">
        <v>73</v>
      </c>
      <c r="E35" s="69">
        <v>30</v>
      </c>
      <c r="F35" s="68" t="s">
        <v>155</v>
      </c>
      <c r="G35" s="69">
        <v>20000</v>
      </c>
      <c r="H35" s="68" t="s">
        <v>137</v>
      </c>
      <c r="I35" s="69">
        <f>Table25[[#This Row],[Days Worked]]*Table25[[#This Row],[Day Rate]]</f>
        <v>600000</v>
      </c>
      <c r="J35" s="69"/>
      <c r="K35" s="70">
        <f>Table25[[#This Row],[Net Pay]]+Table25[[#This Row],[Tax (WHT)]]</f>
        <v>600000</v>
      </c>
      <c r="L35" s="69" t="s">
        <v>200</v>
      </c>
      <c r="M35" s="78" t="s">
        <v>201</v>
      </c>
      <c r="N35" s="69" t="s">
        <v>202</v>
      </c>
      <c r="O35" s="71" t="s">
        <v>183</v>
      </c>
    </row>
    <row r="36" spans="1:19" x14ac:dyDescent="0.3">
      <c r="A36" s="62">
        <v>33</v>
      </c>
      <c r="B36" s="68" t="s">
        <v>80</v>
      </c>
      <c r="C36" s="68" t="s">
        <v>85</v>
      </c>
      <c r="D36" s="69" t="s">
        <v>81</v>
      </c>
      <c r="E36" s="69">
        <v>30</v>
      </c>
      <c r="F36" s="68" t="s">
        <v>155</v>
      </c>
      <c r="G36" s="69">
        <v>20000</v>
      </c>
      <c r="H36" s="68" t="s">
        <v>137</v>
      </c>
      <c r="I36" s="69">
        <f>Table25[[#This Row],[Days Worked]]*Table25[[#This Row],[Day Rate]]</f>
        <v>600000</v>
      </c>
      <c r="J36" s="69"/>
      <c r="K36" s="70">
        <f>Table25[[#This Row],[Net Pay]]+Table25[[#This Row],[Tax (WHT)]]</f>
        <v>600000</v>
      </c>
      <c r="L36" s="69" t="s">
        <v>203</v>
      </c>
      <c r="M36" s="78" t="s">
        <v>204</v>
      </c>
      <c r="N36" s="69" t="s">
        <v>199</v>
      </c>
      <c r="O36" s="71" t="s">
        <v>183</v>
      </c>
    </row>
    <row r="37" spans="1:19" x14ac:dyDescent="0.3">
      <c r="A37" s="62">
        <v>34</v>
      </c>
      <c r="B37" s="68" t="s">
        <v>44</v>
      </c>
      <c r="C37" s="68" t="s">
        <v>45</v>
      </c>
      <c r="D37" s="69" t="s">
        <v>77</v>
      </c>
      <c r="E37" s="69">
        <v>30</v>
      </c>
      <c r="F37" s="68" t="s">
        <v>155</v>
      </c>
      <c r="G37" s="69">
        <v>20000</v>
      </c>
      <c r="H37" s="68" t="s">
        <v>137</v>
      </c>
      <c r="I37" s="69">
        <f>Table25[[#This Row],[Days Worked]]*Table25[[#This Row],[Day Rate]]</f>
        <v>600000</v>
      </c>
      <c r="J37" s="69"/>
      <c r="K37" s="70">
        <f>Table25[[#This Row],[Net Pay]]+Table25[[#This Row],[Tax (WHT)]]</f>
        <v>600000</v>
      </c>
      <c r="L37" s="69" t="s">
        <v>205</v>
      </c>
      <c r="M37" s="78" t="s">
        <v>206</v>
      </c>
      <c r="N37" s="69" t="s">
        <v>192</v>
      </c>
      <c r="O37" s="71" t="s">
        <v>183</v>
      </c>
    </row>
    <row r="38" spans="1:19" x14ac:dyDescent="0.3">
      <c r="A38" s="62">
        <v>35</v>
      </c>
      <c r="B38" s="68" t="s">
        <v>38</v>
      </c>
      <c r="C38" s="68" t="s">
        <v>82</v>
      </c>
      <c r="D38" s="69" t="s">
        <v>83</v>
      </c>
      <c r="E38" s="69">
        <v>30</v>
      </c>
      <c r="F38" s="68" t="s">
        <v>155</v>
      </c>
      <c r="G38" s="69">
        <v>20000</v>
      </c>
      <c r="H38" s="68" t="s">
        <v>137</v>
      </c>
      <c r="I38" s="69">
        <f>Table25[[#This Row],[Days Worked]]*Table25[[#This Row],[Day Rate]]</f>
        <v>600000</v>
      </c>
      <c r="J38" s="69"/>
      <c r="K38" s="70">
        <f>Table25[[#This Row],[Net Pay]]+Table25[[#This Row],[Tax (WHT)]]</f>
        <v>600000</v>
      </c>
      <c r="L38" s="69" t="s">
        <v>207</v>
      </c>
      <c r="M38" s="78" t="s">
        <v>208</v>
      </c>
      <c r="N38" s="69" t="s">
        <v>192</v>
      </c>
      <c r="O38" s="71" t="s">
        <v>183</v>
      </c>
    </row>
    <row r="39" spans="1:19" x14ac:dyDescent="0.3">
      <c r="A39" s="80" t="s">
        <v>209</v>
      </c>
      <c r="B39" s="81">
        <f>SUBTOTAL(103,Table25[POSITION])</f>
        <v>35</v>
      </c>
      <c r="C39" s="81"/>
      <c r="D39" s="81"/>
      <c r="E39" s="82">
        <f>SUBTOTAL(109,Table25[Days Worked])</f>
        <v>726</v>
      </c>
      <c r="F39" s="81"/>
      <c r="G39" s="81"/>
      <c r="H39" s="81"/>
      <c r="I39" s="82">
        <f>SUBTOTAL(109,Table25[Net Pay])</f>
        <v>25611200</v>
      </c>
      <c r="J39" s="83">
        <f>SUBTOTAL(109,Table25[Tax (WHT)])</f>
        <v>1013560</v>
      </c>
      <c r="K39" s="83">
        <f>SUBTOTAL(109,Table25[Total Cost])</f>
        <v>26624760</v>
      </c>
      <c r="L39" s="84"/>
      <c r="M39" s="84"/>
      <c r="N39" s="84"/>
      <c r="O39" s="85"/>
    </row>
    <row r="40" spans="1:19" x14ac:dyDescent="0.3">
      <c r="E40" s="50"/>
      <c r="F40" s="50"/>
      <c r="H40" s="50"/>
      <c r="I40" s="50"/>
      <c r="K40" s="50"/>
      <c r="L40" s="50"/>
      <c r="M40" s="50"/>
      <c r="N40" s="51"/>
      <c r="O40" s="52"/>
      <c r="S40" s="54"/>
    </row>
    <row r="41" spans="1:19" x14ac:dyDescent="0.3">
      <c r="E41" s="50"/>
      <c r="F41" s="50"/>
      <c r="H41" s="50"/>
      <c r="I41" s="50"/>
      <c r="K41" s="50"/>
      <c r="L41" s="50"/>
      <c r="M41" s="50"/>
      <c r="N41" s="51"/>
      <c r="O41" s="52"/>
      <c r="S41" s="54"/>
    </row>
    <row r="42" spans="1:19" ht="14.5" x14ac:dyDescent="0.35">
      <c r="B42" s="93" t="s">
        <v>210</v>
      </c>
      <c r="C42" s="93" t="s">
        <v>211</v>
      </c>
      <c r="D42" s="86" t="s">
        <v>212</v>
      </c>
      <c r="E42" s="86" t="s">
        <v>213</v>
      </c>
      <c r="F42" s="50"/>
      <c r="H42" s="50"/>
      <c r="I42" s="50"/>
      <c r="K42" s="50"/>
      <c r="L42" s="50"/>
      <c r="M42" s="50"/>
      <c r="N42" s="51"/>
      <c r="O42" s="52"/>
      <c r="S42" s="54"/>
    </row>
    <row r="43" spans="1:19" ht="14.5" x14ac:dyDescent="0.35">
      <c r="B43" s="87" t="s">
        <v>137</v>
      </c>
      <c r="C43" s="86">
        <v>10</v>
      </c>
      <c r="D43" s="88">
        <v>5340000</v>
      </c>
      <c r="E43" s="88">
        <v>5340000</v>
      </c>
      <c r="F43" s="50"/>
      <c r="H43" s="50"/>
      <c r="I43" s="50"/>
      <c r="K43" s="50"/>
      <c r="L43" s="50"/>
      <c r="M43" s="50"/>
      <c r="N43" s="51"/>
      <c r="O43" s="52"/>
      <c r="S43" s="54"/>
    </row>
    <row r="44" spans="1:19" ht="14.5" x14ac:dyDescent="0.35">
      <c r="B44" s="87" t="s">
        <v>133</v>
      </c>
      <c r="C44" s="86">
        <v>25</v>
      </c>
      <c r="D44" s="88">
        <v>20271200</v>
      </c>
      <c r="E44" s="88">
        <v>21284760</v>
      </c>
      <c r="F44" s="50"/>
      <c r="H44" s="50"/>
      <c r="I44" s="50"/>
      <c r="K44" s="50"/>
      <c r="L44" s="50"/>
      <c r="M44" s="50"/>
      <c r="N44" s="51"/>
      <c r="O44" s="52"/>
      <c r="S44" s="54"/>
    </row>
    <row r="45" spans="1:19" ht="14.5" x14ac:dyDescent="0.35">
      <c r="B45" s="87" t="s">
        <v>214</v>
      </c>
      <c r="C45" s="86">
        <v>35</v>
      </c>
      <c r="D45" s="88">
        <v>25611200</v>
      </c>
      <c r="E45" s="88">
        <v>26624760</v>
      </c>
      <c r="F45" s="50"/>
      <c r="H45" s="50"/>
      <c r="I45" s="50"/>
      <c r="K45" s="50"/>
      <c r="L45" s="50"/>
      <c r="M45" s="50"/>
      <c r="N45" s="51"/>
      <c r="O45" s="52"/>
      <c r="S45" s="54"/>
    </row>
    <row r="46" spans="1:19" ht="14.5" x14ac:dyDescent="0.35">
      <c r="B46"/>
      <c r="C46"/>
      <c r="D46"/>
      <c r="E46" s="50"/>
      <c r="F46" s="50"/>
      <c r="H46" s="50"/>
      <c r="I46" s="50"/>
      <c r="K46" s="50"/>
      <c r="L46" s="50"/>
      <c r="M46" s="50"/>
      <c r="N46" s="51"/>
      <c r="O46" s="52"/>
      <c r="S46" s="54"/>
    </row>
    <row r="47" spans="1:19" ht="14.5" x14ac:dyDescent="0.35">
      <c r="B47"/>
      <c r="C47"/>
      <c r="D47"/>
      <c r="E47" s="50"/>
      <c r="F47" s="50"/>
      <c r="H47" s="50"/>
      <c r="I47" s="50"/>
      <c r="K47" s="50"/>
      <c r="L47" s="50"/>
      <c r="M47" s="50"/>
      <c r="N47" s="51"/>
      <c r="O47" s="52"/>
      <c r="S47" s="54"/>
    </row>
    <row r="48" spans="1:19" ht="14.5" x14ac:dyDescent="0.35">
      <c r="B48"/>
      <c r="C48"/>
      <c r="D48"/>
      <c r="E48" s="50"/>
      <c r="F48" s="50"/>
      <c r="H48" s="50"/>
      <c r="I48" s="50"/>
      <c r="K48" s="50"/>
      <c r="L48" s="50"/>
      <c r="M48" s="50"/>
      <c r="N48" s="51"/>
      <c r="O48" s="52"/>
      <c r="S48" s="54"/>
    </row>
    <row r="49" spans="2:19" ht="14.5" x14ac:dyDescent="0.35">
      <c r="B49"/>
      <c r="C49"/>
      <c r="D49"/>
      <c r="E49" s="50"/>
      <c r="F49" s="50"/>
      <c r="H49" s="50"/>
      <c r="I49" s="50"/>
      <c r="K49" s="50"/>
      <c r="L49" s="50"/>
      <c r="M49" s="50"/>
      <c r="N49" s="51"/>
      <c r="O49" s="52"/>
      <c r="S49" s="54"/>
    </row>
    <row r="50" spans="2:19" ht="14.5" x14ac:dyDescent="0.35">
      <c r="B50"/>
      <c r="C50"/>
      <c r="D50"/>
      <c r="E50" s="50"/>
      <c r="F50" s="50"/>
      <c r="H50" s="50"/>
      <c r="I50" s="50"/>
      <c r="K50" s="50"/>
      <c r="L50" s="50"/>
      <c r="M50" s="50"/>
      <c r="N50" s="51"/>
      <c r="O50" s="52"/>
      <c r="S50" s="54"/>
    </row>
    <row r="51" spans="2:19" ht="14.5" x14ac:dyDescent="0.35">
      <c r="B51"/>
      <c r="C51"/>
      <c r="D51"/>
      <c r="E51" s="50"/>
      <c r="F51" s="50"/>
      <c r="H51" s="50"/>
      <c r="I51" s="50"/>
      <c r="K51" s="50"/>
      <c r="L51" s="50"/>
      <c r="M51" s="50"/>
      <c r="N51" s="51"/>
      <c r="O51" s="52"/>
      <c r="S51" s="54"/>
    </row>
    <row r="52" spans="2:19" ht="14.5" x14ac:dyDescent="0.35">
      <c r="B52"/>
      <c r="C52"/>
      <c r="D52"/>
      <c r="E52" s="50"/>
      <c r="F52" s="50"/>
      <c r="H52" s="50"/>
      <c r="I52" s="50"/>
      <c r="K52" s="50"/>
      <c r="L52" s="50"/>
      <c r="M52" s="50"/>
      <c r="N52" s="51"/>
      <c r="O52" s="52"/>
      <c r="S52" s="54"/>
    </row>
    <row r="53" spans="2:19" ht="14.5" x14ac:dyDescent="0.35">
      <c r="B53"/>
      <c r="C53"/>
      <c r="D53"/>
      <c r="E53" s="50"/>
      <c r="F53" s="50"/>
      <c r="H53" s="50"/>
      <c r="I53" s="50"/>
      <c r="K53" s="50"/>
      <c r="L53" s="50"/>
      <c r="M53" s="50"/>
      <c r="N53" s="51"/>
      <c r="O53" s="52"/>
      <c r="S53" s="54"/>
    </row>
    <row r="54" spans="2:19" ht="14.5" x14ac:dyDescent="0.35">
      <c r="B54"/>
      <c r="C54"/>
      <c r="D54"/>
      <c r="E54" s="50"/>
      <c r="F54" s="50"/>
      <c r="H54" s="50"/>
      <c r="I54" s="50"/>
      <c r="K54" s="50"/>
      <c r="L54" s="50"/>
      <c r="M54" s="50"/>
      <c r="N54" s="51"/>
      <c r="O54" s="52"/>
      <c r="S54" s="54"/>
    </row>
    <row r="55" spans="2:19" ht="14.5" x14ac:dyDescent="0.35">
      <c r="B55"/>
      <c r="C55"/>
      <c r="D55"/>
      <c r="E55"/>
      <c r="F55"/>
      <c r="G55"/>
      <c r="H55"/>
    </row>
    <row r="56" spans="2:19" ht="14.5" x14ac:dyDescent="0.35">
      <c r="B56"/>
      <c r="C56"/>
      <c r="D56"/>
      <c r="E56"/>
      <c r="F56"/>
      <c r="G56"/>
      <c r="H56"/>
    </row>
    <row r="57" spans="2:19" ht="14.5" x14ac:dyDescent="0.35">
      <c r="B57"/>
      <c r="C57"/>
      <c r="D57"/>
      <c r="E57"/>
      <c r="F57"/>
      <c r="G57"/>
      <c r="H57"/>
    </row>
    <row r="58" spans="2:19" ht="14.5" x14ac:dyDescent="0.35">
      <c r="B58"/>
      <c r="C58"/>
      <c r="D58"/>
      <c r="E58"/>
      <c r="F58"/>
      <c r="G58"/>
      <c r="H58"/>
    </row>
    <row r="59" spans="2:19" ht="14.5" x14ac:dyDescent="0.35">
      <c r="B59"/>
      <c r="C59"/>
      <c r="D59"/>
      <c r="E59"/>
      <c r="F59"/>
      <c r="G59"/>
      <c r="H59"/>
    </row>
    <row r="60" spans="2:19" ht="14.5" x14ac:dyDescent="0.35">
      <c r="B60"/>
      <c r="C60"/>
      <c r="D60"/>
      <c r="E60"/>
      <c r="F60"/>
      <c r="G60"/>
      <c r="H60"/>
    </row>
    <row r="61" spans="2:19" ht="14.5" x14ac:dyDescent="0.35">
      <c r="B61"/>
      <c r="C61"/>
      <c r="D61"/>
    </row>
    <row r="62" spans="2:19" x14ac:dyDescent="0.3">
      <c r="B62" s="89" t="s">
        <v>215</v>
      </c>
      <c r="C62" s="89" t="s">
        <v>216</v>
      </c>
      <c r="D62" s="89" t="s">
        <v>217</v>
      </c>
      <c r="E62" s="90"/>
      <c r="F62" s="90"/>
    </row>
    <row r="63" spans="2:19" x14ac:dyDescent="0.3">
      <c r="B63" s="91" t="s">
        <v>218</v>
      </c>
      <c r="C63" s="92" t="s">
        <v>219</v>
      </c>
      <c r="D63" s="92" t="s">
        <v>219</v>
      </c>
      <c r="E63" s="92"/>
      <c r="F63" s="92"/>
    </row>
    <row r="64" spans="2:19" x14ac:dyDescent="0.3">
      <c r="B64" s="91" t="s">
        <v>220</v>
      </c>
      <c r="C64" s="92" t="s">
        <v>221</v>
      </c>
      <c r="D64" s="92" t="s">
        <v>219</v>
      </c>
      <c r="E64" s="92"/>
      <c r="F64" s="92"/>
    </row>
    <row r="65" spans="2:4" x14ac:dyDescent="0.3">
      <c r="B65" s="91" t="s">
        <v>222</v>
      </c>
      <c r="C65" s="92" t="s">
        <v>223</v>
      </c>
      <c r="D65" s="92" t="s">
        <v>219</v>
      </c>
    </row>
    <row r="66" spans="2:4" x14ac:dyDescent="0.3">
      <c r="B66" s="91" t="s">
        <v>224</v>
      </c>
      <c r="C66" s="92" t="s">
        <v>223</v>
      </c>
      <c r="D66" s="92" t="s">
        <v>219</v>
      </c>
    </row>
    <row r="78" spans="2:4" ht="14.5" x14ac:dyDescent="0.35">
      <c r="B78"/>
      <c r="C78"/>
      <c r="D78"/>
    </row>
    <row r="79" spans="2:4" ht="14.5" x14ac:dyDescent="0.35">
      <c r="B79"/>
      <c r="C79"/>
      <c r="D79"/>
    </row>
    <row r="80" spans="2:4" ht="14.5" x14ac:dyDescent="0.35">
      <c r="B80"/>
      <c r="C80"/>
      <c r="D80"/>
    </row>
    <row r="81" spans="2:4" ht="14.5" x14ac:dyDescent="0.35">
      <c r="B81"/>
      <c r="C81"/>
      <c r="D81"/>
    </row>
    <row r="82" spans="2:4" ht="14.5" x14ac:dyDescent="0.35">
      <c r="B82"/>
      <c r="C82"/>
      <c r="D82"/>
    </row>
    <row r="83" spans="2:4" ht="14.5" x14ac:dyDescent="0.35">
      <c r="B83"/>
      <c r="C83"/>
      <c r="D83"/>
    </row>
    <row r="84" spans="2:4" ht="14.5" x14ac:dyDescent="0.35">
      <c r="B84"/>
      <c r="C84"/>
      <c r="D84"/>
    </row>
    <row r="85" spans="2:4" ht="14.5" x14ac:dyDescent="0.35">
      <c r="B85"/>
      <c r="C85"/>
      <c r="D85"/>
    </row>
    <row r="86" spans="2:4" ht="14.5" x14ac:dyDescent="0.35">
      <c r="B86"/>
      <c r="C86"/>
      <c r="D86"/>
    </row>
    <row r="87" spans="2:4" ht="14.5" x14ac:dyDescent="0.35">
      <c r="B87"/>
      <c r="C87"/>
      <c r="D87"/>
    </row>
    <row r="88" spans="2:4" ht="14.5" x14ac:dyDescent="0.35">
      <c r="B88"/>
      <c r="C88"/>
      <c r="D88"/>
    </row>
  </sheetData>
  <mergeCells count="1">
    <mergeCell ref="A2:J2"/>
  </mergeCells>
  <conditionalFormatting sqref="C4:C5">
    <cfRule type="duplicateValues" dxfId="39" priority="2"/>
  </conditionalFormatting>
  <conditionalFormatting sqref="C89:C1048576 C67:C70 C1:C3 C31:C42 C28:C29 C12:C17 C7:C9">
    <cfRule type="duplicateValues" dxfId="38" priority="6"/>
  </conditionalFormatting>
  <conditionalFormatting sqref="M6">
    <cfRule type="containsText" dxfId="37" priority="3" operator="containsText" text="Yes">
      <formula>NOT(ISERROR(SEARCH("Yes",M6)))</formula>
    </cfRule>
  </conditionalFormatting>
  <conditionalFormatting sqref="M13 M15:M16">
    <cfRule type="containsText" dxfId="36" priority="5" operator="containsText" text="Yes">
      <formula>NOT(ISERROR(SEARCH("Yes",M13)))</formula>
    </cfRule>
  </conditionalFormatting>
  <conditionalFormatting sqref="M28">
    <cfRule type="containsText" dxfId="35" priority="4" operator="containsText" text="Yes">
      <formula>NOT(ISERROR(SEARCH("Yes",M28)))</formula>
    </cfRule>
  </conditionalFormatting>
  <conditionalFormatting sqref="L10">
    <cfRule type="containsText" dxfId="30" priority="1" operator="containsText" text="Yes">
      <formula>NOT(ISERROR(SEARCH("Yes",L10)))</formula>
    </cfRule>
  </conditionalFormatting>
  <pageMargins left="0.7" right="0.7" top="0.75" bottom="0.75" header="0.3" footer="0.3"/>
  <tableParts count="1">
    <tablePart r:id="rId2"/>
  </tableParts>
</worksheet>
</file>

<file path=docMetadata/LabelInfo.xml><?xml version="1.0" encoding="utf-8"?>
<clbl:labelList xmlns:clbl="http://schemas.microsoft.com/office/2020/mipLabelMetadata">
  <clbl:label id="{2b30ed1b-e95f-40b5-af89-828263f287a7}" enabled="1" method="Privileged" siteId="{329e91b0-e21f-48fb-a071-456717ecc28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SEPTEMBER-OFFSHORE</vt:lpstr>
      <vt:lpstr>SEPTEMBER-ONSHORE </vt:lpstr>
      <vt:lpstr>Sept Payment</vt:lpstr>
      <vt:lpstr>'SEPTEMBER-OFFSHORE'!Print_Area</vt:lpstr>
      <vt:lpstr>'SEPTEMBER-ONSHORE '!Print_Area</vt:lpstr>
      <vt:lpstr>'SEPTEMBER-OFFSHORE'!Print_Titles</vt:lpstr>
      <vt:lpstr>'SEPTEMBER-ONSHORE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 Thet Naing</dc:creator>
  <cp:lastModifiedBy>Claudia Nwankwo</cp:lastModifiedBy>
  <cp:lastPrinted>2024-12-08T17:06:09Z</cp:lastPrinted>
  <dcterms:created xsi:type="dcterms:W3CDTF">2018-11-28T16:26:33Z</dcterms:created>
  <dcterms:modified xsi:type="dcterms:W3CDTF">2026-10-05T08:29:37Z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3836ff0f-4f5b-4eb2-88c4-7cd64f605cbd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MSIP_Label_2b30ed1b-e95f-40b5-af89-828263f287a7_Enabled">
    <vt:lpwstr>True</vt:lpwstr>
  </property>
  <property fmtid="{D5CDD505-2E9C-101B-9397-08002B2CF9AE}" pid="6" name="MSIP_Label_2b30ed1b-e95f-40b5-af89-828263f287a7_SiteId">
    <vt:lpwstr>329e91b0-e21f-48fb-a071-456717ecc28e</vt:lpwstr>
  </property>
  <property fmtid="{D5CDD505-2E9C-101B-9397-08002B2CF9AE}" pid="7" name="MSIP_Label_2b30ed1b-e95f-40b5-af89-828263f287a7_Owner">
    <vt:lpwstr>ayoola-Reffell.gbolahan@external.total.com</vt:lpwstr>
  </property>
  <property fmtid="{D5CDD505-2E9C-101B-9397-08002B2CF9AE}" pid="8" name="MSIP_Label_2b30ed1b-e95f-40b5-af89-828263f287a7_SetDate">
    <vt:lpwstr>2021-02-08T21:16:45.7380227Z</vt:lpwstr>
  </property>
  <property fmtid="{D5CDD505-2E9C-101B-9397-08002B2CF9AE}" pid="9" name="MSIP_Label_2b30ed1b-e95f-40b5-af89-828263f287a7_Name">
    <vt:lpwstr>Restricted</vt:lpwstr>
  </property>
  <property fmtid="{D5CDD505-2E9C-101B-9397-08002B2CF9AE}" pid="10" name="MSIP_Label_2b30ed1b-e95f-40b5-af89-828263f287a7_Application">
    <vt:lpwstr>Microsoft Azure Information Protection</vt:lpwstr>
  </property>
  <property fmtid="{D5CDD505-2E9C-101B-9397-08002B2CF9AE}" pid="11" name="MSIP_Label_2b30ed1b-e95f-40b5-af89-828263f287a7_ActionId">
    <vt:lpwstr>ef43f9d5-9d41-4110-a6d1-29b6429299c9</vt:lpwstr>
  </property>
  <property fmtid="{D5CDD505-2E9C-101B-9397-08002B2CF9AE}" pid="12" name="MSIP_Label_2b30ed1b-e95f-40b5-af89-828263f287a7_Extended_MSFT_Method">
    <vt:lpwstr>Automatic</vt:lpwstr>
  </property>
  <property fmtid="{D5CDD505-2E9C-101B-9397-08002B2CF9AE}" pid="13" name="Sensitivity">
    <vt:lpwstr>Restricted</vt:lpwstr>
  </property>
</Properties>
</file>