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idrisabubakar_dormanlongeng_com/Documents/Desktop/yinson/SHUTDOWN FILES/"/>
    </mc:Choice>
  </mc:AlternateContent>
  <xr:revisionPtr revIDLastSave="1" documentId="8_{73A912B6-BD80-4615-9CE7-FE284ED4CA55}" xr6:coauthVersionLast="47" xr6:coauthVersionMax="47" xr10:uidLastSave="{58236EEA-18A2-45CA-907E-4D2CD096B00A}"/>
  <bookViews>
    <workbookView xWindow="-108" yWindow="-108" windowWidth="23256" windowHeight="12456" activeTab="1" xr2:uid="{C328B151-3801-42D2-98AC-203154EA6224}"/>
  </bookViews>
  <sheets>
    <sheet name="Domestic Travel allowance  (2)" sheetId="2" r:id="rId1"/>
    <sheet name="Domestic Travel allowance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H2" i="2"/>
  <c r="H2" i="1"/>
  <c r="F3" i="1"/>
</calcChain>
</file>

<file path=xl/sharedStrings.xml><?xml version="1.0" encoding="utf-8"?>
<sst xmlns="http://schemas.openxmlformats.org/spreadsheetml/2006/main" count="25" uniqueCount="14">
  <si>
    <t>Total</t>
  </si>
  <si>
    <t>24/10/2026</t>
  </si>
  <si>
    <t>13/10/2026</t>
  </si>
  <si>
    <t>Management</t>
  </si>
  <si>
    <t>Idris Abubakar</t>
  </si>
  <si>
    <t>Total amount</t>
  </si>
  <si>
    <t>Amount</t>
  </si>
  <si>
    <t>No of days</t>
  </si>
  <si>
    <t>End date</t>
  </si>
  <si>
    <t xml:space="preserve">Start date </t>
  </si>
  <si>
    <t>Job Level</t>
  </si>
  <si>
    <t>Employee Name</t>
  </si>
  <si>
    <t>S/N</t>
  </si>
  <si>
    <t>28/9/2026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</si>
</sst>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4" fontId="0" fillId="0" borderId="0" xfId="0" applyNumberFormat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18">
    <dxf>
      <numFmt numFmtId="0" formatCode="General"/>
    </dxf>
    <dxf>
      <numFmt numFmtId="4" formatCode="#,##0.00"/>
    </dxf>
    <dxf>
      <numFmt numFmtId="4" formatCode="#,##0.0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4" formatCode="#,##0.00"/>
    </dxf>
    <dxf>
      <numFmt numFmtId="4" formatCode="#,##0.0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C3EDD9-CF54-4921-B6FD-BCB5FF215660}" name="Table13" displayName="Table13" ref="A1:H3" totalsRowCount="1" headerRowDxfId="8" tableBorderDxfId="7">
  <autoFilter ref="A1:H2" xr:uid="{53B6BC3A-FF97-49F6-BFBF-4D98E108358F}"/>
  <tableColumns count="8">
    <tableColumn id="1" xr3:uid="{81FF0B45-4C3E-4CE5-954A-4986517ADBC5}" name="S/N" totalsRowLabel="Total" dataDxfId="6" totalsRowDxfId="5"/>
    <tableColumn id="2" xr3:uid="{A4E8E5C7-6695-4D2C-9ED6-76ED9C9D8BB8}" name="Employee Name" dataDxfId="4" totalsRowDxfId="3"/>
    <tableColumn id="3" xr3:uid="{580A7B1D-2C3F-41EB-9C41-57A1238F4B25}" name="Job Level"/>
    <tableColumn id="4" xr3:uid="{4949CF83-77F3-4B21-B0F1-8B28CA0B3484}" name="Start date "/>
    <tableColumn id="5" xr3:uid="{E6325185-F018-4101-88CA-11627F86CF38}" name="End date"/>
    <tableColumn id="6" xr3:uid="{485B44FF-D815-4697-9CEC-1F2D87240961}" name="No of days" totalsRowFunction="sum" dataDxfId="2" totalsRowDxfId="1"/>
    <tableColumn id="9" xr3:uid="{7463FB6E-B465-43BF-822C-B385FAF7857C}" name="Amount"/>
    <tableColumn id="10" xr3:uid="{7040833C-DDFF-4178-88A6-18548B0E8EDA}" name="Total amount" dataDxfId="0">
      <calculatedColumnFormula>Table13[[#This Row],[Amount]]*Table13[[#This Row],[No of days]]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17621-B0D0-4AFD-B0A4-9CBA8FE32BB4}" name="Table1" displayName="Table1" ref="A1:H3" totalsRowCount="1" headerRowDxfId="17" tableBorderDxfId="16">
  <autoFilter ref="A1:H2" xr:uid="{53B6BC3A-FF97-49F6-BFBF-4D98E108358F}"/>
  <tableColumns count="8">
    <tableColumn id="1" xr3:uid="{F74E8937-880F-4A49-89FA-CF684D1C6061}" name="S/N" totalsRowLabel="Total" dataDxfId="15" totalsRowDxfId="14"/>
    <tableColumn id="2" xr3:uid="{7AFBE167-06C3-4D83-A6FB-B8C8B8177F21}" name="Employee Name" dataDxfId="13" totalsRowDxfId="12"/>
    <tableColumn id="3" xr3:uid="{2EE149A7-B077-4957-9864-039BD2CCFA70}" name="Job Level"/>
    <tableColumn id="4" xr3:uid="{491F6CB8-3E27-4B2C-9E17-E47B10452ADD}" name="Start date "/>
    <tableColumn id="5" xr3:uid="{D65E2963-5759-4F80-B3E6-3D56E4698D4E}" name="End date"/>
    <tableColumn id="6" xr3:uid="{DE0DC44E-C21D-45F2-B086-9E9D57D8F8D1}" name="No of days" totalsRowFunction="sum" dataDxfId="11" totalsRowDxfId="10"/>
    <tableColumn id="9" xr3:uid="{CE04556E-BF42-4CEE-9B99-8794BF047064}" name="Amount"/>
    <tableColumn id="10" xr3:uid="{2F6D457A-BFE2-4BE1-9796-16E357D05B84}" name="Total amount" dataDxfId="9">
      <calculatedColumnFormula>Table1[[#This Row],[Amount]]*Table1[[#This Row],[No of days]]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A308-730F-43A2-9E1E-1910D4E328A5}">
  <sheetPr>
    <pageSetUpPr fitToPage="1"/>
  </sheetPr>
  <dimension ref="A1:H11"/>
  <sheetViews>
    <sheetView workbookViewId="0">
      <selection activeCell="E8" sqref="E8"/>
    </sheetView>
  </sheetViews>
  <sheetFormatPr defaultRowHeight="14.4" x14ac:dyDescent="0.3"/>
  <cols>
    <col min="1" max="1" width="5.88671875" customWidth="1"/>
    <col min="2" max="2" width="16.6640625" customWidth="1"/>
    <col min="3" max="3" width="20.44140625" customWidth="1"/>
    <col min="4" max="5" width="18.21875" customWidth="1"/>
    <col min="6" max="6" width="17.33203125" bestFit="1" customWidth="1"/>
    <col min="7" max="7" width="13.21875" bestFit="1" customWidth="1"/>
    <col min="8" max="8" width="13.21875" customWidth="1"/>
  </cols>
  <sheetData>
    <row r="1" spans="1:8" s="9" customFormat="1" x14ac:dyDescent="0.3">
      <c r="A1" s="12" t="s">
        <v>12</v>
      </c>
      <c r="B1" s="11" t="s">
        <v>11</v>
      </c>
      <c r="C1" s="11" t="s">
        <v>10</v>
      </c>
      <c r="D1" s="10" t="s">
        <v>9</v>
      </c>
      <c r="E1" s="10" t="s">
        <v>8</v>
      </c>
      <c r="F1" s="10" t="s">
        <v>7</v>
      </c>
      <c r="G1" s="10" t="s">
        <v>6</v>
      </c>
      <c r="H1" s="10" t="s">
        <v>5</v>
      </c>
    </row>
    <row r="2" spans="1:8" x14ac:dyDescent="0.3">
      <c r="A2" s="8">
        <v>1</v>
      </c>
      <c r="B2" s="7" t="s">
        <v>4</v>
      </c>
      <c r="C2" s="7" t="s">
        <v>3</v>
      </c>
      <c r="D2" s="6" t="s">
        <v>13</v>
      </c>
      <c r="E2" s="6">
        <v>46032</v>
      </c>
      <c r="F2" s="3">
        <v>4</v>
      </c>
      <c r="G2">
        <v>100000</v>
      </c>
      <c r="H2" s="3">
        <f>Table13[[#This Row],[Amount]]*Table13[[#This Row],[No of days]]</f>
        <v>400000</v>
      </c>
    </row>
    <row r="3" spans="1:8" x14ac:dyDescent="0.3">
      <c r="A3" s="5" t="s">
        <v>0</v>
      </c>
      <c r="B3" s="4"/>
      <c r="F3" s="3">
        <f>SUBTOTAL(109,Table13[No of days])</f>
        <v>4</v>
      </c>
    </row>
    <row r="5" spans="1:8" x14ac:dyDescent="0.3">
      <c r="C5" s="2"/>
      <c r="D5" s="2"/>
      <c r="E5" s="2"/>
    </row>
    <row r="6" spans="1:8" x14ac:dyDescent="0.3">
      <c r="C6" s="2"/>
      <c r="D6" s="2"/>
      <c r="E6" s="2"/>
    </row>
    <row r="7" spans="1:8" x14ac:dyDescent="0.3">
      <c r="C7" s="2"/>
      <c r="D7" s="2"/>
      <c r="E7" s="2"/>
    </row>
    <row r="8" spans="1:8" x14ac:dyDescent="0.3">
      <c r="C8" s="2"/>
      <c r="D8" s="2"/>
      <c r="E8" s="2"/>
    </row>
    <row r="9" spans="1:8" x14ac:dyDescent="0.3">
      <c r="C9" s="2"/>
      <c r="D9" s="2"/>
      <c r="E9" s="2"/>
    </row>
    <row r="10" spans="1:8" x14ac:dyDescent="0.3">
      <c r="C10" s="2"/>
      <c r="D10" s="2"/>
      <c r="E10" s="2"/>
    </row>
    <row r="11" spans="1:8" x14ac:dyDescent="0.3">
      <c r="C11" s="1"/>
      <c r="D11" s="1"/>
      <c r="E11" s="1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4B92-CDC0-4863-B254-FE82C5B01669}">
  <sheetPr>
    <pageSetUpPr fitToPage="1"/>
  </sheetPr>
  <dimension ref="A1:H11"/>
  <sheetViews>
    <sheetView tabSelected="1" workbookViewId="0">
      <selection activeCell="I13" sqref="I13"/>
    </sheetView>
  </sheetViews>
  <sheetFormatPr defaultRowHeight="14.4" x14ac:dyDescent="0.3"/>
  <cols>
    <col min="1" max="1" width="5.88671875" customWidth="1"/>
    <col min="2" max="2" width="16.6640625" customWidth="1"/>
    <col min="3" max="5" width="18.21875" customWidth="1"/>
    <col min="6" max="6" width="17.33203125" bestFit="1" customWidth="1"/>
    <col min="7" max="7" width="13.21875" bestFit="1" customWidth="1"/>
    <col min="8" max="8" width="13.21875" customWidth="1"/>
  </cols>
  <sheetData>
    <row r="1" spans="1:8" s="9" customFormat="1" x14ac:dyDescent="0.3">
      <c r="A1" s="12" t="s">
        <v>12</v>
      </c>
      <c r="B1" s="11" t="s">
        <v>11</v>
      </c>
      <c r="C1" s="11" t="s">
        <v>10</v>
      </c>
      <c r="D1" s="10" t="s">
        <v>9</v>
      </c>
      <c r="E1" s="10" t="s">
        <v>8</v>
      </c>
      <c r="F1" s="10" t="s">
        <v>7</v>
      </c>
      <c r="G1" s="10" t="s">
        <v>6</v>
      </c>
      <c r="H1" s="10" t="s">
        <v>5</v>
      </c>
    </row>
    <row r="2" spans="1:8" x14ac:dyDescent="0.3">
      <c r="A2" s="8">
        <v>1</v>
      </c>
      <c r="B2" s="7" t="s">
        <v>4</v>
      </c>
      <c r="C2" s="7" t="s">
        <v>3</v>
      </c>
      <c r="D2" s="6" t="s">
        <v>2</v>
      </c>
      <c r="E2" s="6" t="s">
        <v>1</v>
      </c>
      <c r="F2" s="3">
        <v>12</v>
      </c>
      <c r="G2">
        <v>100000</v>
      </c>
      <c r="H2" s="3">
        <f>Table1[[#This Row],[Amount]]*Table1[[#This Row],[No of days]]</f>
        <v>1200000</v>
      </c>
    </row>
    <row r="3" spans="1:8" x14ac:dyDescent="0.3">
      <c r="A3" s="5" t="s">
        <v>0</v>
      </c>
      <c r="B3" s="4"/>
      <c r="F3" s="3">
        <f>SUBTOTAL(109,Table1[No of days])</f>
        <v>12</v>
      </c>
    </row>
    <row r="5" spans="1:8" x14ac:dyDescent="0.3">
      <c r="C5" s="2"/>
      <c r="D5" s="2"/>
      <c r="E5" s="2"/>
    </row>
    <row r="6" spans="1:8" x14ac:dyDescent="0.3">
      <c r="C6" s="2"/>
      <c r="D6" s="2"/>
      <c r="E6" s="2"/>
    </row>
    <row r="7" spans="1:8" x14ac:dyDescent="0.3">
      <c r="C7" s="2"/>
      <c r="D7" s="2"/>
      <c r="E7" s="2"/>
    </row>
    <row r="8" spans="1:8" x14ac:dyDescent="0.3">
      <c r="C8" s="2"/>
      <c r="D8" s="2"/>
      <c r="E8" s="2"/>
    </row>
    <row r="9" spans="1:8" x14ac:dyDescent="0.3">
      <c r="C9" s="2"/>
      <c r="D9" s="2"/>
      <c r="E9" s="2"/>
    </row>
    <row r="10" spans="1:8" x14ac:dyDescent="0.3">
      <c r="C10" s="2"/>
      <c r="D10" s="2"/>
      <c r="E10" s="2"/>
    </row>
    <row r="11" spans="1:8" x14ac:dyDescent="0.3">
      <c r="C11" s="1"/>
      <c r="D11" s="1"/>
      <c r="E11" s="1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Domestic Travel allowance  (2)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 Abubakar</dc:creator>
  <cp:lastModifiedBy>Idris  Abubakar</cp:lastModifiedBy>
  <dcterms:created xsi:type="dcterms:W3CDTF">2026-10-19T16:29:55Z</dcterms:created>
  <dcterms:modified xsi:type="dcterms:W3CDTF">2026-10-19T17:13:28Z</dcterms:modified>
</cp:coreProperties>
</file>