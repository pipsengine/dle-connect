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esktop/"/>
    </mc:Choice>
  </mc:AlternateContent>
  <xr:revisionPtr revIDLastSave="3" documentId="8_{CB0EA6BB-FEE5-47E3-998B-FF5FCBBDFA7A}" xr6:coauthVersionLast="47" xr6:coauthVersionMax="47" xr10:uidLastSave="{9DD0988C-603F-43BA-8BC4-6FA4FC0AFBC9}"/>
  <bookViews>
    <workbookView xWindow="-108" yWindow="-108" windowWidth="23256" windowHeight="12456" xr2:uid="{253AC27C-E5E2-4BCC-9744-CB6D9F36FD0A}"/>
  </bookViews>
  <sheets>
    <sheet name="AGE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7" i="1"/>
  <c r="G8" i="1"/>
  <c r="B9" i="1"/>
  <c r="E9" i="1"/>
  <c r="F9" i="1"/>
  <c r="G9" i="1"/>
  <c r="J9" i="1"/>
</calcChain>
</file>

<file path=xl/sharedStrings.xml><?xml version="1.0" encoding="utf-8"?>
<sst xmlns="http://schemas.openxmlformats.org/spreadsheetml/2006/main" count="27" uniqueCount="24">
  <si>
    <t>Total</t>
  </si>
  <si>
    <t>Uma Ukpai</t>
  </si>
  <si>
    <t>UBA</t>
  </si>
  <si>
    <t>AGEGE</t>
  </si>
  <si>
    <t>Fueling of car (Tacoma) weekend tranport for 8/08/26</t>
  </si>
  <si>
    <t>BDG 708 BM</t>
  </si>
  <si>
    <t>Wisdom Monday</t>
  </si>
  <si>
    <t>Fidelity</t>
  </si>
  <si>
    <t xml:space="preserve">Fueling of car </t>
  </si>
  <si>
    <t>FKJ 599 FM</t>
  </si>
  <si>
    <t>Ibrahim Kelani</t>
  </si>
  <si>
    <t>Fueling of car, weekend transport for two saturdays 8/08/26 and 15/08/26</t>
  </si>
  <si>
    <t>AGL 744 FJ</t>
  </si>
  <si>
    <t>NAME</t>
  </si>
  <si>
    <t>BANK</t>
  </si>
  <si>
    <t>ACCOUNT NO</t>
  </si>
  <si>
    <t>TOTAL</t>
  </si>
  <si>
    <t>OTHER EXP</t>
  </si>
  <si>
    <t>FUEL AMOUNT</t>
  </si>
  <si>
    <t>LOCATION</t>
  </si>
  <si>
    <t>DETAILS</t>
  </si>
  <si>
    <t>VEHICLE</t>
  </si>
  <si>
    <t>S/N</t>
  </si>
  <si>
    <t>DLE FUEL PAYMENT SCHEDULE 17/08/2026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</si>
</sst>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3440" cy="477753"/>
    <xdr:pic>
      <xdr:nvPicPr>
        <xdr:cNvPr id="2" name="Picture 1">
          <a:extLst>
            <a:ext uri="{FF2B5EF4-FFF2-40B4-BE49-F238E27FC236}">
              <a16:creationId xmlns:a16="http://schemas.microsoft.com/office/drawing/2014/main" id="{9EAAA86D-E05F-41D9-944F-D56C86A0A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3440" cy="477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34AFFB-DE24-4428-B88E-6759EBA28B77}" name="Table1" displayName="Table1" ref="A5:J9" totalsRowCount="1">
  <autoFilter ref="A5:J8" xr:uid="{72461C22-B828-4441-8330-37B324542EA4}"/>
  <tableColumns count="10">
    <tableColumn id="1" xr3:uid="{60C65495-4A5D-48FB-9426-33AA85B24546}" name="S/N" totalsRowLabel="Total"/>
    <tableColumn id="2" xr3:uid="{74554D2E-BF8B-45E4-827E-919D6570BF22}" name="VEHICLE" totalsRowFunction="count"/>
    <tableColumn id="3" xr3:uid="{1AC7874B-1890-4125-B176-3CDD689957BC}" name="DETAILS"/>
    <tableColumn id="4" xr3:uid="{2AEB3744-3176-49B5-8987-09D12AE44431}" name="LOCATION"/>
    <tableColumn id="10" xr3:uid="{55B9CAFF-145F-49C6-BC7B-676BA25B2623}" name="FUEL AMOUNT" totalsRowFunction="sum" dataDxfId="4" totalsRowDxfId="5"/>
    <tableColumn id="9" xr3:uid="{DE05878B-7052-43FF-BE2F-9604B6405918}" name="OTHER EXP" totalsRowFunction="sum" dataDxfId="2" totalsRowDxfId="3"/>
    <tableColumn id="5" xr3:uid="{0C2DAFD4-87A7-4F33-BE4B-BA543216DC7C}" name="TOTAL" totalsRowFunction="sum" dataDxfId="0" totalsRowDxfId="1">
      <calculatedColumnFormula>Table1[[#This Row],[FUEL AMOUNT]]+Table1[[#This Row],[OTHER EXP]]</calculatedColumnFormula>
    </tableColumn>
    <tableColumn id="6" xr3:uid="{99B6CC03-5F13-46C5-B27A-D4ADE4EAF112}" name="ACCOUNT NO"/>
    <tableColumn id="7" xr3:uid="{23F0C6F1-8CA3-41B9-B907-69A5BF60AC16}" name="BANK"/>
    <tableColumn id="8" xr3:uid="{DE2ABFBF-EB51-477F-85CB-63F9AF03725D}" name="NAME" totalsRowFunction="count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B5EE-D349-4101-B059-D6ACDFCE8677}">
  <dimension ref="A4:J9"/>
  <sheetViews>
    <sheetView tabSelected="1" workbookViewId="0">
      <selection activeCell="B12" sqref="B12"/>
    </sheetView>
  </sheetViews>
  <sheetFormatPr defaultRowHeight="14.4" x14ac:dyDescent="0.3"/>
  <cols>
    <col min="2" max="2" width="12.44140625" customWidth="1"/>
    <col min="3" max="3" width="45.109375" bestFit="1" customWidth="1"/>
    <col min="4" max="4" width="12" bestFit="1" customWidth="1"/>
    <col min="5" max="5" width="15.88671875" bestFit="1" customWidth="1"/>
    <col min="6" max="6" width="12.6640625" bestFit="1" customWidth="1"/>
    <col min="7" max="7" width="10.88671875" customWidth="1"/>
    <col min="8" max="8" width="14.44140625" customWidth="1"/>
    <col min="9" max="9" width="12" customWidth="1"/>
    <col min="10" max="10" width="15.77734375" bestFit="1" customWidth="1"/>
  </cols>
  <sheetData>
    <row r="4" spans="1:10" ht="23.4" x14ac:dyDescent="0.45">
      <c r="A4" s="3" t="s">
        <v>23</v>
      </c>
      <c r="B4" s="3"/>
      <c r="C4" s="3"/>
    </row>
    <row r="5" spans="1:10" x14ac:dyDescent="0.3">
      <c r="A5" t="s">
        <v>22</v>
      </c>
      <c r="B5" t="s">
        <v>21</v>
      </c>
      <c r="C5" t="s">
        <v>20</v>
      </c>
      <c r="D5" t="s">
        <v>19</v>
      </c>
      <c r="E5" t="s">
        <v>18</v>
      </c>
      <c r="F5" t="s">
        <v>17</v>
      </c>
      <c r="G5" t="s">
        <v>16</v>
      </c>
      <c r="H5" t="s">
        <v>15</v>
      </c>
      <c r="I5" t="s">
        <v>14</v>
      </c>
      <c r="J5" t="s">
        <v>13</v>
      </c>
    </row>
    <row r="6" spans="1:10" ht="28.8" x14ac:dyDescent="0.3">
      <c r="A6">
        <v>1</v>
      </c>
      <c r="B6" t="s">
        <v>12</v>
      </c>
      <c r="C6" s="2" t="s">
        <v>11</v>
      </c>
      <c r="D6" t="s">
        <v>3</v>
      </c>
      <c r="E6" s="1">
        <v>65000</v>
      </c>
      <c r="F6" s="1">
        <v>6000</v>
      </c>
      <c r="G6" s="1">
        <f>Table1[[#This Row],[FUEL AMOUNT]]+Table1[[#This Row],[OTHER EXP]]</f>
        <v>71000</v>
      </c>
      <c r="H6">
        <v>6312059324</v>
      </c>
      <c r="I6" t="s">
        <v>7</v>
      </c>
      <c r="J6" t="s">
        <v>10</v>
      </c>
    </row>
    <row r="7" spans="1:10" x14ac:dyDescent="0.3">
      <c r="A7">
        <v>2</v>
      </c>
      <c r="B7" t="s">
        <v>9</v>
      </c>
      <c r="C7" t="s">
        <v>8</v>
      </c>
      <c r="D7" t="s">
        <v>3</v>
      </c>
      <c r="E7" s="1">
        <v>65000</v>
      </c>
      <c r="F7" s="1"/>
      <c r="G7" s="1">
        <f>Table1[[#This Row],[FUEL AMOUNT]]+Table1[[#This Row],[OTHER EXP]]</f>
        <v>65000</v>
      </c>
      <c r="H7">
        <v>6231682737</v>
      </c>
      <c r="I7" t="s">
        <v>7</v>
      </c>
      <c r="J7" t="s">
        <v>6</v>
      </c>
    </row>
    <row r="8" spans="1:10" ht="28.8" x14ac:dyDescent="0.3">
      <c r="A8">
        <v>3</v>
      </c>
      <c r="B8" t="s">
        <v>5</v>
      </c>
      <c r="C8" s="2" t="s">
        <v>4</v>
      </c>
      <c r="D8" t="s">
        <v>3</v>
      </c>
      <c r="E8" s="1">
        <v>78000</v>
      </c>
      <c r="F8" s="1">
        <v>3000</v>
      </c>
      <c r="G8" s="1">
        <f>Table1[[#This Row],[FUEL AMOUNT]]+Table1[[#This Row],[OTHER EXP]]</f>
        <v>81000</v>
      </c>
      <c r="H8">
        <v>2202934873</v>
      </c>
      <c r="I8" t="s">
        <v>2</v>
      </c>
      <c r="J8" t="s">
        <v>1</v>
      </c>
    </row>
    <row r="9" spans="1:10" x14ac:dyDescent="0.3">
      <c r="A9" t="s">
        <v>0</v>
      </c>
      <c r="B9">
        <f>SUBTOTAL(103,Table1[VEHICLE])</f>
        <v>3</v>
      </c>
      <c r="E9" s="1">
        <f>SUBTOTAL(109,Table1[FUEL AMOUNT])</f>
        <v>208000</v>
      </c>
      <c r="F9" s="1">
        <f>SUBTOTAL(109,Table1[OTHER EXP])</f>
        <v>9000</v>
      </c>
      <c r="G9" s="1">
        <f>SUBTOTAL(109,Table1[TOTAL])</f>
        <v>217000</v>
      </c>
      <c r="J9">
        <f>SUBTOTAL(103,Table1[NAME])</f>
        <v>3</v>
      </c>
    </row>
  </sheetData>
  <mergeCells count="1">
    <mergeCell ref="A4:C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2026-08-17T13:27:13Z</dcterms:created>
  <dcterms:modified xsi:type="dcterms:W3CDTF">2026-08-17T13:27:49Z</dcterms:modified>
</cp:coreProperties>
</file>