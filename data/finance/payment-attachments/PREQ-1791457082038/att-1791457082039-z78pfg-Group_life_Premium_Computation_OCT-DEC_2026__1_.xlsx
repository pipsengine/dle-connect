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cuments/"/>
    </mc:Choice>
  </mc:AlternateContent>
  <xr:revisionPtr revIDLastSave="0" documentId="8_{8BB0E222-555D-479F-8B59-7E44DCE6911F}" xr6:coauthVersionLast="47" xr6:coauthVersionMax="47" xr10:uidLastSave="{00000000-0000-0000-0000-000000000000}"/>
  <bookViews>
    <workbookView xWindow="28680" yWindow="-120" windowWidth="29040" windowHeight="15720" tabRatio="442" autoFilterDateGrouping="0" xr2:uid="{4E7DA77B-D77D-4F80-AB60-9AA63266E68E}"/>
  </bookViews>
  <sheets>
    <sheet name="SUMMARY" sheetId="6" r:id="rId1"/>
    <sheet name="Permanent" sheetId="1" r:id="rId2"/>
    <sheet name="Sheet1" sheetId="4" state="hidden" r:id="rId3"/>
    <sheet name="contract " sheetId="2" state="hidden" r:id="rId4"/>
    <sheet name="contact 01" sheetId="3" state="hidden" r:id="rId5"/>
    <sheet name="Dayrate" sheetId="7" r:id="rId6"/>
    <sheet name="Lump Sum" sheetId="8" r:id="rId7"/>
    <sheet name="Sheet2" sheetId="9" state="hidden" r:id="rId8"/>
  </sheets>
  <externalReferences>
    <externalReference r:id="rId9"/>
  </externalReferences>
  <definedNames>
    <definedName name="_xlnm._FilterDatabase" localSheetId="3" hidden="1">'contract '!$A$7:$M$310</definedName>
    <definedName name="_xlnm._FilterDatabase" localSheetId="6" hidden="1">'Lump Sum'!$A$1:$I$12</definedName>
    <definedName name="_xlnm._FilterDatabase" localSheetId="1" hidden="1">Permanent!$C$7:$M$78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8" l="1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2" i="8"/>
  <c r="N2" i="8"/>
  <c r="N7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L2" i="8"/>
  <c r="L3" i="8"/>
  <c r="L4" i="8"/>
  <c r="L5" i="8"/>
  <c r="L72" i="8" s="1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Q72" i="8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2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Q186" i="7"/>
  <c r="L186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V78" i="1"/>
  <c r="U79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8" i="1"/>
  <c r="R79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J71" i="8" l="1"/>
  <c r="K71" i="8" s="1"/>
  <c r="A72" i="8"/>
  <c r="J70" i="8"/>
  <c r="K70" i="8" s="1"/>
  <c r="J69" i="8"/>
  <c r="K69" i="8" s="1"/>
  <c r="J68" i="8"/>
  <c r="K68" i="8" s="1"/>
  <c r="J67" i="8"/>
  <c r="K67" i="8" s="1"/>
  <c r="J66" i="8"/>
  <c r="K66" i="8" s="1"/>
  <c r="J185" i="7"/>
  <c r="K185" i="7" s="1"/>
  <c r="J184" i="7"/>
  <c r="K184" i="7" s="1"/>
  <c r="J183" i="7"/>
  <c r="K183" i="7" s="1"/>
  <c r="J182" i="7"/>
  <c r="K182" i="7" s="1"/>
  <c r="J181" i="7"/>
  <c r="K181" i="7" s="1"/>
  <c r="J180" i="7"/>
  <c r="K180" i="7" s="1"/>
  <c r="J179" i="7"/>
  <c r="K179" i="7"/>
  <c r="J178" i="7"/>
  <c r="K178" i="7" s="1"/>
  <c r="J177" i="7"/>
  <c r="K177" i="7" s="1"/>
  <c r="J176" i="7"/>
  <c r="K176" i="7" s="1"/>
  <c r="J175" i="7"/>
  <c r="K175" i="7" s="1"/>
  <c r="J174" i="7"/>
  <c r="K174" i="7" s="1"/>
  <c r="J173" i="7"/>
  <c r="K173" i="7" s="1"/>
  <c r="J172" i="7"/>
  <c r="K172" i="7" s="1"/>
  <c r="J171" i="7"/>
  <c r="K171" i="7" s="1"/>
  <c r="J170" i="7"/>
  <c r="K170" i="7" s="1"/>
  <c r="J169" i="7"/>
  <c r="K169" i="7" s="1"/>
  <c r="J168" i="7"/>
  <c r="K168" i="7" s="1"/>
  <c r="L78" i="1"/>
  <c r="N78" i="1" s="1"/>
  <c r="O78" i="1" s="1"/>
  <c r="J65" i="8"/>
  <c r="K65" i="8" s="1"/>
  <c r="J64" i="8"/>
  <c r="K64" i="8" s="1"/>
  <c r="J63" i="8"/>
  <c r="K63" i="8" s="1"/>
  <c r="J61" i="8"/>
  <c r="K61" i="8" s="1"/>
  <c r="J62" i="8"/>
  <c r="K62" i="8" s="1"/>
  <c r="J60" i="8"/>
  <c r="K60" i="8" s="1"/>
  <c r="J59" i="8"/>
  <c r="K59" i="8" s="1"/>
  <c r="J57" i="8"/>
  <c r="K57" i="8" s="1"/>
  <c r="J58" i="8"/>
  <c r="K58" i="8" s="1"/>
  <c r="J164" i="7"/>
  <c r="K164" i="7" s="1"/>
  <c r="J165" i="7"/>
  <c r="K165" i="7" s="1"/>
  <c r="J166" i="7"/>
  <c r="K166" i="7" s="1"/>
  <c r="J167" i="7"/>
  <c r="K167" i="7" s="1"/>
  <c r="J153" i="7"/>
  <c r="K153" i="7" s="1"/>
  <c r="J154" i="7"/>
  <c r="K154" i="7" s="1"/>
  <c r="J155" i="7"/>
  <c r="K155" i="7" s="1"/>
  <c r="J156" i="7"/>
  <c r="K156" i="7" s="1"/>
  <c r="J157" i="7"/>
  <c r="K157" i="7" s="1"/>
  <c r="J158" i="7"/>
  <c r="K158" i="7" s="1"/>
  <c r="J159" i="7"/>
  <c r="K159" i="7" s="1"/>
  <c r="J160" i="7"/>
  <c r="K160" i="7" s="1"/>
  <c r="J161" i="7"/>
  <c r="K161" i="7" s="1"/>
  <c r="J162" i="7"/>
  <c r="K162" i="7" s="1"/>
  <c r="J163" i="7"/>
  <c r="K163" i="7" s="1"/>
  <c r="J151" i="7"/>
  <c r="K151" i="7" s="1"/>
  <c r="J152" i="7"/>
  <c r="K152" i="7" s="1"/>
  <c r="J149" i="7"/>
  <c r="K149" i="7" s="1"/>
  <c r="J150" i="7"/>
  <c r="K150" i="7" s="1"/>
  <c r="J139" i="7"/>
  <c r="K139" i="7" s="1"/>
  <c r="J140" i="7"/>
  <c r="K140" i="7" s="1"/>
  <c r="J141" i="7"/>
  <c r="K141" i="7" s="1"/>
  <c r="J142" i="7"/>
  <c r="K142" i="7" s="1"/>
  <c r="J143" i="7"/>
  <c r="K143" i="7" s="1"/>
  <c r="J144" i="7"/>
  <c r="K144" i="7" s="1"/>
  <c r="J145" i="7"/>
  <c r="K145" i="7" s="1"/>
  <c r="J146" i="7"/>
  <c r="K146" i="7" s="1"/>
  <c r="J147" i="7"/>
  <c r="K147" i="7" s="1"/>
  <c r="J148" i="7"/>
  <c r="K148" i="7" s="1"/>
  <c r="J125" i="7"/>
  <c r="K125" i="7" s="1"/>
  <c r="J126" i="7"/>
  <c r="K126" i="7" s="1"/>
  <c r="J127" i="7"/>
  <c r="K127" i="7" s="1"/>
  <c r="J128" i="7"/>
  <c r="K128" i="7" s="1"/>
  <c r="J129" i="7"/>
  <c r="K129" i="7" s="1"/>
  <c r="J130" i="7"/>
  <c r="K130" i="7" s="1"/>
  <c r="J131" i="7"/>
  <c r="K131" i="7" s="1"/>
  <c r="J132" i="7"/>
  <c r="K132" i="7" s="1"/>
  <c r="J133" i="7"/>
  <c r="K133" i="7" s="1"/>
  <c r="J134" i="7"/>
  <c r="K134" i="7" s="1"/>
  <c r="J135" i="7"/>
  <c r="K135" i="7" s="1"/>
  <c r="J136" i="7"/>
  <c r="K136" i="7" s="1"/>
  <c r="J137" i="7"/>
  <c r="K137" i="7" s="1"/>
  <c r="J138" i="7"/>
  <c r="K138" i="7" s="1"/>
  <c r="J111" i="7"/>
  <c r="K111" i="7" s="1"/>
  <c r="J112" i="7"/>
  <c r="K112" i="7" s="1"/>
  <c r="J113" i="7"/>
  <c r="K113" i="7" s="1"/>
  <c r="J114" i="7"/>
  <c r="K114" i="7" s="1"/>
  <c r="J115" i="7"/>
  <c r="K115" i="7" s="1"/>
  <c r="J116" i="7"/>
  <c r="K116" i="7" s="1"/>
  <c r="J117" i="7"/>
  <c r="K117" i="7" s="1"/>
  <c r="J118" i="7"/>
  <c r="K118" i="7" s="1"/>
  <c r="J119" i="7"/>
  <c r="K119" i="7" s="1"/>
  <c r="J120" i="7"/>
  <c r="K120" i="7" s="1"/>
  <c r="J121" i="7"/>
  <c r="K121" i="7" s="1"/>
  <c r="J122" i="7"/>
  <c r="K122" i="7" s="1"/>
  <c r="J123" i="7"/>
  <c r="K123" i="7" s="1"/>
  <c r="J124" i="7"/>
  <c r="K124" i="7" s="1"/>
  <c r="J110" i="7"/>
  <c r="K110" i="7" s="1"/>
  <c r="J109" i="7"/>
  <c r="K109" i="7" s="1"/>
  <c r="J108" i="7"/>
  <c r="K108" i="7" s="1"/>
  <c r="J107" i="7"/>
  <c r="K107" i="7" s="1"/>
  <c r="J106" i="7"/>
  <c r="K106" i="7" s="1"/>
  <c r="J105" i="7"/>
  <c r="K105" i="7" s="1"/>
  <c r="J104" i="7"/>
  <c r="K104" i="7" s="1"/>
  <c r="J103" i="7"/>
  <c r="K103" i="7" s="1"/>
  <c r="A186" i="7"/>
  <c r="H77" i="1"/>
  <c r="L77" i="1"/>
  <c r="N77" i="1" s="1"/>
  <c r="O77" i="1" s="1"/>
  <c r="H76" i="1"/>
  <c r="L76" i="1"/>
  <c r="N76" i="1" s="1"/>
  <c r="O76" i="1" s="1"/>
  <c r="H75" i="1"/>
  <c r="L75" i="1"/>
  <c r="N75" i="1" s="1"/>
  <c r="O75" i="1" s="1"/>
  <c r="H74" i="1"/>
  <c r="L74" i="1"/>
  <c r="N74" i="1" s="1"/>
  <c r="O74" i="1" s="1"/>
  <c r="H73" i="1"/>
  <c r="L73" i="1"/>
  <c r="N73" i="1" s="1"/>
  <c r="O73" i="1" s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8" i="1"/>
  <c r="P73" i="1" l="1"/>
  <c r="P74" i="1"/>
  <c r="P77" i="1"/>
  <c r="P75" i="1"/>
  <c r="P78" i="1"/>
  <c r="P76" i="1"/>
  <c r="J25" i="7"/>
  <c r="K25" i="7" s="1"/>
  <c r="J26" i="7"/>
  <c r="K26" i="7" s="1"/>
  <c r="J27" i="7"/>
  <c r="K27" i="7" s="1"/>
  <c r="J28" i="7"/>
  <c r="K28" i="7" s="1"/>
  <c r="J29" i="7"/>
  <c r="K29" i="7" s="1"/>
  <c r="J30" i="7"/>
  <c r="K30" i="7" s="1"/>
  <c r="J31" i="7"/>
  <c r="K31" i="7" s="1"/>
  <c r="J32" i="7"/>
  <c r="K32" i="7" s="1"/>
  <c r="J33" i="7"/>
  <c r="K33" i="7" s="1"/>
  <c r="J102" i="7"/>
  <c r="K102" i="7" s="1"/>
  <c r="J101" i="7"/>
  <c r="K101" i="7" s="1"/>
  <c r="J55" i="8" l="1"/>
  <c r="K55" i="8" s="1"/>
  <c r="J56" i="8"/>
  <c r="K56" i="8" s="1"/>
  <c r="L71" i="1"/>
  <c r="N71" i="1" s="1"/>
  <c r="O71" i="1" s="1"/>
  <c r="L72" i="1"/>
  <c r="N72" i="1" s="1"/>
  <c r="O72" i="1" s="1"/>
  <c r="Q79" i="1"/>
  <c r="L70" i="1"/>
  <c r="N70" i="1" s="1"/>
  <c r="O70" i="1" s="1"/>
  <c r="J50" i="8"/>
  <c r="K50" i="8" s="1"/>
  <c r="J51" i="8"/>
  <c r="K51" i="8" s="1"/>
  <c r="J52" i="8"/>
  <c r="K52" i="8" s="1"/>
  <c r="J53" i="8"/>
  <c r="K53" i="8" s="1"/>
  <c r="J54" i="8"/>
  <c r="K54" i="8" s="1"/>
  <c r="B79" i="1"/>
  <c r="I79" i="1"/>
  <c r="J79" i="1"/>
  <c r="K79" i="1"/>
  <c r="S79" i="1"/>
  <c r="T79" i="1"/>
  <c r="L68" i="1"/>
  <c r="N68" i="1" s="1"/>
  <c r="O68" i="1" s="1"/>
  <c r="L67" i="1"/>
  <c r="N67" i="1" s="1"/>
  <c r="O67" i="1" s="1"/>
  <c r="L69" i="1"/>
  <c r="N69" i="1" s="1"/>
  <c r="O69" i="1" s="1"/>
  <c r="P70" i="1" l="1"/>
  <c r="P69" i="1"/>
  <c r="P67" i="1"/>
  <c r="P71" i="1"/>
  <c r="P72" i="1"/>
  <c r="P68" i="1"/>
  <c r="J93" i="7"/>
  <c r="K93" i="7" s="1"/>
  <c r="J96" i="7"/>
  <c r="K96" i="7" s="1"/>
  <c r="J97" i="7"/>
  <c r="K97" i="7" s="1"/>
  <c r="J100" i="7"/>
  <c r="K100" i="7" s="1"/>
  <c r="J92" i="7"/>
  <c r="K92" i="7" s="1"/>
  <c r="J94" i="7"/>
  <c r="K94" i="7" s="1"/>
  <c r="J95" i="7"/>
  <c r="K95" i="7" s="1"/>
  <c r="J98" i="7"/>
  <c r="K98" i="7" s="1"/>
  <c r="J99" i="7"/>
  <c r="K99" i="7" s="1"/>
  <c r="B72" i="8"/>
  <c r="J90" i="7" l="1"/>
  <c r="K90" i="7" s="1"/>
  <c r="J91" i="7"/>
  <c r="K91" i="7" s="1"/>
  <c r="J49" i="8"/>
  <c r="K49" i="8" s="1"/>
  <c r="L63" i="1" l="1"/>
  <c r="N63" i="1" s="1"/>
  <c r="O63" i="1" s="1"/>
  <c r="L64" i="1"/>
  <c r="N64" i="1" s="1"/>
  <c r="O64" i="1" s="1"/>
  <c r="L65" i="1"/>
  <c r="N65" i="1" s="1"/>
  <c r="O65" i="1" s="1"/>
  <c r="L66" i="1"/>
  <c r="N66" i="1" s="1"/>
  <c r="O66" i="1" s="1"/>
  <c r="P66" i="1" l="1"/>
  <c r="P65" i="1"/>
  <c r="P64" i="1"/>
  <c r="P63" i="1"/>
  <c r="J87" i="7"/>
  <c r="K87" i="7" s="1"/>
  <c r="J88" i="7"/>
  <c r="K88" i="7" s="1"/>
  <c r="J89" i="7"/>
  <c r="K89" i="7" s="1"/>
  <c r="J86" i="7"/>
  <c r="K86" i="7" s="1"/>
  <c r="I186" i="7"/>
  <c r="M186" i="7"/>
  <c r="O186" i="7"/>
  <c r="P186" i="7"/>
  <c r="J48" i="8"/>
  <c r="K48" i="8" s="1"/>
  <c r="I72" i="8"/>
  <c r="M72" i="8"/>
  <c r="O72" i="8"/>
  <c r="P72" i="8"/>
  <c r="L62" i="1"/>
  <c r="N62" i="1" s="1"/>
  <c r="O62" i="1" s="1"/>
  <c r="P62" i="1" l="1"/>
  <c r="L59" i="1"/>
  <c r="N59" i="1" s="1"/>
  <c r="O59" i="1" s="1"/>
  <c r="L60" i="1"/>
  <c r="N60" i="1" s="1"/>
  <c r="O60" i="1" s="1"/>
  <c r="L61" i="1"/>
  <c r="N61" i="1" s="1"/>
  <c r="O61" i="1" s="1"/>
  <c r="D7" i="6"/>
  <c r="D6" i="6"/>
  <c r="J2" i="8"/>
  <c r="J3" i="8"/>
  <c r="K3" i="8" s="1"/>
  <c r="J4" i="8"/>
  <c r="K4" i="8" s="1"/>
  <c r="J5" i="8"/>
  <c r="K5" i="8" s="1"/>
  <c r="J6" i="8"/>
  <c r="K6" i="8" s="1"/>
  <c r="J7" i="8"/>
  <c r="K7" i="8" s="1"/>
  <c r="J8" i="8"/>
  <c r="K8" i="8" s="1"/>
  <c r="J9" i="8"/>
  <c r="K9" i="8" s="1"/>
  <c r="J10" i="8"/>
  <c r="K10" i="8" s="1"/>
  <c r="J11" i="8"/>
  <c r="K11" i="8" s="1"/>
  <c r="J12" i="8"/>
  <c r="K12" i="8" s="1"/>
  <c r="J13" i="8"/>
  <c r="K13" i="8" s="1"/>
  <c r="J14" i="8"/>
  <c r="K14" i="8" s="1"/>
  <c r="J15" i="8"/>
  <c r="K15" i="8" s="1"/>
  <c r="J16" i="8"/>
  <c r="K16" i="8" s="1"/>
  <c r="J17" i="8"/>
  <c r="K17" i="8" s="1"/>
  <c r="J18" i="8"/>
  <c r="K18" i="8" s="1"/>
  <c r="J19" i="8"/>
  <c r="K19" i="8" s="1"/>
  <c r="J20" i="8"/>
  <c r="K20" i="8" s="1"/>
  <c r="J21" i="8"/>
  <c r="K21" i="8" s="1"/>
  <c r="J22" i="8"/>
  <c r="K22" i="8" s="1"/>
  <c r="J23" i="8"/>
  <c r="K23" i="8" s="1"/>
  <c r="J24" i="8"/>
  <c r="K24" i="8" s="1"/>
  <c r="J25" i="8"/>
  <c r="K25" i="8" s="1"/>
  <c r="J26" i="8"/>
  <c r="K26" i="8" s="1"/>
  <c r="J27" i="8"/>
  <c r="K27" i="8" s="1"/>
  <c r="J28" i="8"/>
  <c r="K28" i="8" s="1"/>
  <c r="J29" i="8"/>
  <c r="K29" i="8" s="1"/>
  <c r="J30" i="8"/>
  <c r="K30" i="8" s="1"/>
  <c r="J31" i="8"/>
  <c r="K31" i="8" s="1"/>
  <c r="J32" i="8"/>
  <c r="K32" i="8" s="1"/>
  <c r="J33" i="8"/>
  <c r="K33" i="8" s="1"/>
  <c r="J34" i="8"/>
  <c r="K34" i="8" s="1"/>
  <c r="J35" i="8"/>
  <c r="K35" i="8" s="1"/>
  <c r="J36" i="8"/>
  <c r="K36" i="8" s="1"/>
  <c r="J37" i="8"/>
  <c r="K37" i="8" s="1"/>
  <c r="J38" i="8"/>
  <c r="K38" i="8" s="1"/>
  <c r="J39" i="8"/>
  <c r="K39" i="8" s="1"/>
  <c r="J40" i="8"/>
  <c r="K40" i="8" s="1"/>
  <c r="J41" i="8"/>
  <c r="K41" i="8" s="1"/>
  <c r="J42" i="8"/>
  <c r="K42" i="8" s="1"/>
  <c r="J43" i="8"/>
  <c r="K43" i="8" s="1"/>
  <c r="J44" i="8"/>
  <c r="K44" i="8" s="1"/>
  <c r="J45" i="8"/>
  <c r="K45" i="8" s="1"/>
  <c r="J46" i="8"/>
  <c r="K46" i="8" s="1"/>
  <c r="J47" i="8"/>
  <c r="K47" i="8" s="1"/>
  <c r="P61" i="1" l="1"/>
  <c r="P60" i="1"/>
  <c r="P59" i="1"/>
  <c r="K2" i="8"/>
  <c r="K72" i="8" s="1"/>
  <c r="J72" i="8"/>
  <c r="J2" i="7"/>
  <c r="J3" i="7"/>
  <c r="J4" i="7"/>
  <c r="J5" i="7"/>
  <c r="J6" i="7"/>
  <c r="J7" i="7"/>
  <c r="J8" i="7"/>
  <c r="J9" i="7"/>
  <c r="J10" i="7"/>
  <c r="J11" i="7"/>
  <c r="J12" i="7"/>
  <c r="J13" i="7"/>
  <c r="K13" i="7" s="1"/>
  <c r="J14" i="7"/>
  <c r="K14" i="7" s="1"/>
  <c r="J15" i="7"/>
  <c r="K15" i="7" s="1"/>
  <c r="J16" i="7"/>
  <c r="K16" i="7" s="1"/>
  <c r="J17" i="7"/>
  <c r="K17" i="7" s="1"/>
  <c r="J18" i="7"/>
  <c r="K18" i="7" s="1"/>
  <c r="J19" i="7"/>
  <c r="K19" i="7" s="1"/>
  <c r="J20" i="7"/>
  <c r="K20" i="7" s="1"/>
  <c r="J21" i="7"/>
  <c r="K21" i="7" s="1"/>
  <c r="J22" i="7"/>
  <c r="K22" i="7" s="1"/>
  <c r="J23" i="7"/>
  <c r="K23" i="7" s="1"/>
  <c r="J24" i="7"/>
  <c r="K24" i="7" s="1"/>
  <c r="J34" i="7"/>
  <c r="K34" i="7" s="1"/>
  <c r="J35" i="7"/>
  <c r="K35" i="7" s="1"/>
  <c r="J36" i="7"/>
  <c r="K36" i="7" s="1"/>
  <c r="J37" i="7"/>
  <c r="K37" i="7" s="1"/>
  <c r="J38" i="7"/>
  <c r="K38" i="7" s="1"/>
  <c r="J39" i="7"/>
  <c r="K39" i="7" s="1"/>
  <c r="J40" i="7"/>
  <c r="K40" i="7" s="1"/>
  <c r="J41" i="7"/>
  <c r="K41" i="7" s="1"/>
  <c r="J42" i="7"/>
  <c r="K42" i="7" s="1"/>
  <c r="J43" i="7"/>
  <c r="K43" i="7" s="1"/>
  <c r="J44" i="7"/>
  <c r="K44" i="7" s="1"/>
  <c r="J45" i="7"/>
  <c r="K45" i="7" s="1"/>
  <c r="J46" i="7"/>
  <c r="K46" i="7" s="1"/>
  <c r="J47" i="7"/>
  <c r="K47" i="7" s="1"/>
  <c r="J48" i="7"/>
  <c r="K48" i="7" s="1"/>
  <c r="J49" i="7"/>
  <c r="K49" i="7" s="1"/>
  <c r="J50" i="7"/>
  <c r="K50" i="7" s="1"/>
  <c r="J51" i="7"/>
  <c r="K51" i="7" s="1"/>
  <c r="J52" i="7"/>
  <c r="K52" i="7" s="1"/>
  <c r="J53" i="7"/>
  <c r="K53" i="7" s="1"/>
  <c r="J54" i="7"/>
  <c r="K54" i="7" s="1"/>
  <c r="J55" i="7"/>
  <c r="K55" i="7" s="1"/>
  <c r="J56" i="7"/>
  <c r="K56" i="7" s="1"/>
  <c r="J57" i="7"/>
  <c r="K57" i="7" s="1"/>
  <c r="J58" i="7"/>
  <c r="K58" i="7" s="1"/>
  <c r="J59" i="7"/>
  <c r="K59" i="7" s="1"/>
  <c r="J60" i="7"/>
  <c r="K60" i="7" s="1"/>
  <c r="J61" i="7"/>
  <c r="K61" i="7" s="1"/>
  <c r="J62" i="7"/>
  <c r="K62" i="7" s="1"/>
  <c r="J63" i="7"/>
  <c r="K63" i="7" s="1"/>
  <c r="J64" i="7"/>
  <c r="K64" i="7" s="1"/>
  <c r="J65" i="7"/>
  <c r="K65" i="7" s="1"/>
  <c r="J66" i="7"/>
  <c r="K66" i="7" s="1"/>
  <c r="J67" i="7"/>
  <c r="K67" i="7" s="1"/>
  <c r="J68" i="7"/>
  <c r="K68" i="7" s="1"/>
  <c r="J69" i="7"/>
  <c r="K69" i="7" s="1"/>
  <c r="J70" i="7"/>
  <c r="K70" i="7" s="1"/>
  <c r="J71" i="7"/>
  <c r="K71" i="7" s="1"/>
  <c r="J72" i="7"/>
  <c r="K72" i="7" s="1"/>
  <c r="J73" i="7"/>
  <c r="K73" i="7" s="1"/>
  <c r="J74" i="7"/>
  <c r="K74" i="7" s="1"/>
  <c r="J75" i="7"/>
  <c r="K75" i="7" s="1"/>
  <c r="J76" i="7"/>
  <c r="K76" i="7" s="1"/>
  <c r="J77" i="7"/>
  <c r="K77" i="7" s="1"/>
  <c r="J78" i="7"/>
  <c r="K78" i="7" s="1"/>
  <c r="J79" i="7"/>
  <c r="K79" i="7" s="1"/>
  <c r="J80" i="7"/>
  <c r="K80" i="7" s="1"/>
  <c r="J81" i="7"/>
  <c r="K81" i="7" s="1"/>
  <c r="J82" i="7"/>
  <c r="K82" i="7" s="1"/>
  <c r="J83" i="7"/>
  <c r="K83" i="7" s="1"/>
  <c r="J84" i="7"/>
  <c r="K84" i="7" s="1"/>
  <c r="J85" i="7"/>
  <c r="K85" i="7" s="1"/>
  <c r="D8" i="6"/>
  <c r="D9" i="6" s="1"/>
  <c r="K9" i="7" l="1"/>
  <c r="K7" i="7"/>
  <c r="K6" i="7"/>
  <c r="K4" i="7"/>
  <c r="K3" i="7"/>
  <c r="K10" i="7"/>
  <c r="K8" i="7"/>
  <c r="K5" i="7"/>
  <c r="K11" i="7"/>
  <c r="K12" i="7"/>
  <c r="K2" i="7"/>
  <c r="J186" i="7"/>
  <c r="K186" i="7" l="1"/>
  <c r="R186" i="7"/>
  <c r="E7" i="6" s="1"/>
  <c r="F7" i="6" s="1"/>
  <c r="R72" i="8"/>
  <c r="E8" i="6" s="1"/>
  <c r="F8" i="6" s="1"/>
  <c r="M93" i="3" l="1"/>
  <c r="I93" i="3"/>
  <c r="J93" i="3"/>
  <c r="K93" i="3"/>
  <c r="L93" i="3"/>
  <c r="H93" i="3"/>
  <c r="H85" i="3"/>
  <c r="I85" i="3"/>
  <c r="M85" i="3"/>
  <c r="H86" i="3"/>
  <c r="I86" i="3"/>
  <c r="M86" i="3"/>
  <c r="H87" i="3"/>
  <c r="I87" i="3"/>
  <c r="M87" i="3"/>
  <c r="H88" i="3"/>
  <c r="I88" i="3"/>
  <c r="M88" i="3"/>
  <c r="H89" i="3"/>
  <c r="I89" i="3"/>
  <c r="M89" i="3"/>
  <c r="H90" i="3"/>
  <c r="I90" i="3"/>
  <c r="M90" i="3"/>
  <c r="H91" i="3"/>
  <c r="I91" i="3"/>
  <c r="M91" i="3"/>
  <c r="H92" i="3"/>
  <c r="I92" i="3"/>
  <c r="M92" i="3"/>
  <c r="L19" i="1"/>
  <c r="N19" i="1" s="1"/>
  <c r="O19" i="1" s="1"/>
  <c r="L20" i="1"/>
  <c r="N20" i="1" s="1"/>
  <c r="O20" i="1" s="1"/>
  <c r="L28" i="1"/>
  <c r="N28" i="1" s="1"/>
  <c r="O28" i="1" s="1"/>
  <c r="L40" i="1"/>
  <c r="N40" i="1" s="1"/>
  <c r="O40" i="1" s="1"/>
  <c r="L10" i="1"/>
  <c r="N10" i="1" s="1"/>
  <c r="O10" i="1" s="1"/>
  <c r="L17" i="1"/>
  <c r="N17" i="1" s="1"/>
  <c r="O17" i="1" s="1"/>
  <c r="L25" i="1"/>
  <c r="N25" i="1" s="1"/>
  <c r="O25" i="1" s="1"/>
  <c r="L32" i="1"/>
  <c r="N32" i="1" s="1"/>
  <c r="O32" i="1" s="1"/>
  <c r="L44" i="1"/>
  <c r="N44" i="1" s="1"/>
  <c r="O44" i="1" s="1"/>
  <c r="L49" i="1"/>
  <c r="N49" i="1" s="1"/>
  <c r="O49" i="1" s="1"/>
  <c r="L13" i="1"/>
  <c r="L14" i="1"/>
  <c r="N14" i="1" s="1"/>
  <c r="O14" i="1" s="1"/>
  <c r="L22" i="1"/>
  <c r="N22" i="1" s="1"/>
  <c r="O22" i="1" s="1"/>
  <c r="L36" i="1"/>
  <c r="N36" i="1" s="1"/>
  <c r="O36" i="1" s="1"/>
  <c r="L41" i="1"/>
  <c r="N41" i="1" s="1"/>
  <c r="O41" i="1" s="1"/>
  <c r="L42" i="1"/>
  <c r="N42" i="1" s="1"/>
  <c r="O42" i="1" s="1"/>
  <c r="L43" i="1"/>
  <c r="N43" i="1" s="1"/>
  <c r="O43" i="1" s="1"/>
  <c r="L46" i="1"/>
  <c r="N46" i="1" s="1"/>
  <c r="O46" i="1" s="1"/>
  <c r="L47" i="1"/>
  <c r="N47" i="1" s="1"/>
  <c r="O47" i="1" s="1"/>
  <c r="L48" i="1"/>
  <c r="N48" i="1" s="1"/>
  <c r="O48" i="1" s="1"/>
  <c r="L52" i="1"/>
  <c r="N52" i="1" s="1"/>
  <c r="O52" i="1" s="1"/>
  <c r="L53" i="1"/>
  <c r="N53" i="1" s="1"/>
  <c r="O53" i="1" s="1"/>
  <c r="L56" i="1"/>
  <c r="N56" i="1" s="1"/>
  <c r="O56" i="1" s="1"/>
  <c r="J310" i="2"/>
  <c r="K310" i="2"/>
  <c r="L310" i="2"/>
  <c r="H8" i="3"/>
  <c r="I8" i="3"/>
  <c r="M8" i="3"/>
  <c r="H9" i="3"/>
  <c r="I9" i="3"/>
  <c r="M9" i="3"/>
  <c r="H10" i="3"/>
  <c r="I10" i="3"/>
  <c r="M10" i="3"/>
  <c r="H11" i="3"/>
  <c r="I11" i="3"/>
  <c r="M11" i="3"/>
  <c r="H12" i="3"/>
  <c r="I12" i="3"/>
  <c r="M12" i="3"/>
  <c r="H13" i="3"/>
  <c r="I13" i="3"/>
  <c r="M13" i="3"/>
  <c r="H14" i="3"/>
  <c r="I14" i="3"/>
  <c r="M14" i="3"/>
  <c r="H15" i="3"/>
  <c r="I15" i="3"/>
  <c r="M15" i="3"/>
  <c r="H16" i="3"/>
  <c r="I16" i="3"/>
  <c r="M16" i="3"/>
  <c r="H17" i="3"/>
  <c r="I17" i="3"/>
  <c r="M17" i="3"/>
  <c r="H18" i="3"/>
  <c r="I18" i="3"/>
  <c r="M18" i="3"/>
  <c r="H19" i="3"/>
  <c r="I19" i="3"/>
  <c r="M19" i="3"/>
  <c r="H20" i="3"/>
  <c r="I20" i="3"/>
  <c r="M20" i="3"/>
  <c r="H21" i="3"/>
  <c r="I21" i="3"/>
  <c r="M21" i="3"/>
  <c r="H22" i="3"/>
  <c r="I22" i="3"/>
  <c r="M22" i="3"/>
  <c r="H23" i="3"/>
  <c r="I23" i="3"/>
  <c r="M23" i="3"/>
  <c r="H24" i="3"/>
  <c r="I24" i="3"/>
  <c r="M24" i="3"/>
  <c r="H25" i="3"/>
  <c r="I25" i="3"/>
  <c r="M25" i="3"/>
  <c r="H26" i="3"/>
  <c r="I26" i="3"/>
  <c r="M26" i="3"/>
  <c r="H27" i="3"/>
  <c r="I27" i="3"/>
  <c r="M27" i="3"/>
  <c r="H28" i="3"/>
  <c r="I28" i="3"/>
  <c r="M28" i="3"/>
  <c r="H29" i="3"/>
  <c r="I29" i="3"/>
  <c r="M29" i="3"/>
  <c r="H30" i="3"/>
  <c r="I30" i="3"/>
  <c r="M30" i="3"/>
  <c r="H31" i="3"/>
  <c r="I31" i="3"/>
  <c r="M31" i="3"/>
  <c r="H32" i="3"/>
  <c r="I32" i="3"/>
  <c r="M32" i="3"/>
  <c r="H33" i="3"/>
  <c r="I33" i="3"/>
  <c r="M33" i="3"/>
  <c r="H34" i="3"/>
  <c r="I34" i="3"/>
  <c r="M34" i="3"/>
  <c r="H35" i="3"/>
  <c r="I35" i="3"/>
  <c r="M35" i="3"/>
  <c r="H36" i="3"/>
  <c r="I36" i="3"/>
  <c r="M36" i="3"/>
  <c r="H37" i="3"/>
  <c r="I37" i="3"/>
  <c r="M37" i="3"/>
  <c r="H38" i="3"/>
  <c r="I38" i="3"/>
  <c r="M38" i="3"/>
  <c r="H39" i="3"/>
  <c r="I39" i="3"/>
  <c r="M39" i="3"/>
  <c r="H40" i="3"/>
  <c r="I40" i="3"/>
  <c r="M40" i="3"/>
  <c r="H41" i="3"/>
  <c r="I41" i="3"/>
  <c r="M41" i="3"/>
  <c r="H42" i="3"/>
  <c r="I42" i="3"/>
  <c r="M42" i="3"/>
  <c r="H43" i="3"/>
  <c r="I43" i="3"/>
  <c r="M43" i="3"/>
  <c r="H44" i="3"/>
  <c r="I44" i="3"/>
  <c r="M44" i="3"/>
  <c r="H45" i="3"/>
  <c r="I45" i="3"/>
  <c r="M45" i="3"/>
  <c r="H46" i="3"/>
  <c r="I46" i="3"/>
  <c r="M46" i="3"/>
  <c r="H47" i="3"/>
  <c r="I47" i="3"/>
  <c r="M47" i="3"/>
  <c r="H48" i="3"/>
  <c r="I48" i="3"/>
  <c r="M48" i="3"/>
  <c r="H49" i="3"/>
  <c r="I49" i="3"/>
  <c r="M49" i="3"/>
  <c r="H50" i="3"/>
  <c r="I50" i="3"/>
  <c r="M50" i="3"/>
  <c r="H51" i="3"/>
  <c r="I51" i="3"/>
  <c r="M51" i="3"/>
  <c r="H52" i="3"/>
  <c r="I52" i="3"/>
  <c r="M52" i="3"/>
  <c r="H53" i="3"/>
  <c r="I53" i="3"/>
  <c r="M53" i="3"/>
  <c r="H54" i="3"/>
  <c r="I54" i="3"/>
  <c r="M54" i="3"/>
  <c r="H55" i="3"/>
  <c r="I55" i="3"/>
  <c r="M55" i="3"/>
  <c r="H56" i="3"/>
  <c r="I56" i="3"/>
  <c r="M56" i="3"/>
  <c r="H57" i="3"/>
  <c r="I57" i="3"/>
  <c r="M57" i="3"/>
  <c r="H58" i="3"/>
  <c r="I58" i="3"/>
  <c r="M58" i="3"/>
  <c r="H59" i="3"/>
  <c r="I59" i="3"/>
  <c r="M59" i="3"/>
  <c r="H60" i="3"/>
  <c r="I60" i="3"/>
  <c r="M60" i="3"/>
  <c r="H61" i="3"/>
  <c r="I61" i="3"/>
  <c r="M61" i="3"/>
  <c r="H62" i="3"/>
  <c r="I62" i="3"/>
  <c r="M62" i="3"/>
  <c r="H63" i="3"/>
  <c r="I63" i="3"/>
  <c r="M63" i="3"/>
  <c r="H64" i="3"/>
  <c r="I64" i="3"/>
  <c r="M64" i="3"/>
  <c r="H65" i="3"/>
  <c r="I65" i="3"/>
  <c r="M65" i="3"/>
  <c r="H66" i="3"/>
  <c r="I66" i="3"/>
  <c r="M66" i="3"/>
  <c r="H67" i="3"/>
  <c r="I67" i="3"/>
  <c r="M67" i="3"/>
  <c r="H68" i="3"/>
  <c r="I68" i="3"/>
  <c r="M68" i="3"/>
  <c r="H69" i="3"/>
  <c r="I69" i="3"/>
  <c r="M69" i="3"/>
  <c r="H70" i="3"/>
  <c r="I70" i="3"/>
  <c r="M70" i="3"/>
  <c r="H71" i="3"/>
  <c r="I71" i="3"/>
  <c r="M71" i="3"/>
  <c r="H72" i="3"/>
  <c r="I72" i="3"/>
  <c r="M72" i="3"/>
  <c r="H73" i="3"/>
  <c r="I73" i="3"/>
  <c r="M73" i="3"/>
  <c r="H74" i="3"/>
  <c r="I74" i="3"/>
  <c r="M74" i="3"/>
  <c r="H75" i="3"/>
  <c r="I75" i="3"/>
  <c r="M75" i="3"/>
  <c r="H76" i="3"/>
  <c r="I76" i="3"/>
  <c r="M76" i="3"/>
  <c r="H77" i="3"/>
  <c r="I77" i="3"/>
  <c r="M77" i="3"/>
  <c r="H78" i="3"/>
  <c r="I78" i="3"/>
  <c r="M78" i="3"/>
  <c r="H79" i="3"/>
  <c r="I79" i="3"/>
  <c r="M79" i="3"/>
  <c r="H80" i="3"/>
  <c r="I80" i="3"/>
  <c r="M80" i="3"/>
  <c r="H81" i="3"/>
  <c r="I81" i="3"/>
  <c r="M81" i="3"/>
  <c r="H82" i="3"/>
  <c r="I82" i="3"/>
  <c r="M82" i="3"/>
  <c r="H83" i="3"/>
  <c r="I83" i="3"/>
  <c r="M83" i="3"/>
  <c r="H84" i="3"/>
  <c r="I84" i="3"/>
  <c r="M84" i="3"/>
  <c r="H7" i="3"/>
  <c r="I7" i="3"/>
  <c r="M7" i="3"/>
  <c r="F211" i="2"/>
  <c r="H211" i="2" s="1"/>
  <c r="I211" i="2" s="1"/>
  <c r="M211" i="2" s="1"/>
  <c r="L55" i="1"/>
  <c r="N55" i="1" s="1"/>
  <c r="O55" i="1" s="1"/>
  <c r="F8" i="2"/>
  <c r="H8" i="2" s="1"/>
  <c r="I8" i="2" s="1"/>
  <c r="M8" i="2" s="1"/>
  <c r="F9" i="2"/>
  <c r="H9" i="2" s="1"/>
  <c r="I9" i="2" s="1"/>
  <c r="M9" i="2" s="1"/>
  <c r="F10" i="2"/>
  <c r="H10" i="2" s="1"/>
  <c r="I10" i="2" s="1"/>
  <c r="M10" i="2" s="1"/>
  <c r="F11" i="2"/>
  <c r="H11" i="2" s="1"/>
  <c r="I11" i="2" s="1"/>
  <c r="M11" i="2" s="1"/>
  <c r="F12" i="2"/>
  <c r="H12" i="2" s="1"/>
  <c r="I12" i="2" s="1"/>
  <c r="M12" i="2" s="1"/>
  <c r="F13" i="2"/>
  <c r="H13" i="2" s="1"/>
  <c r="I13" i="2" s="1"/>
  <c r="M13" i="2" s="1"/>
  <c r="F14" i="2"/>
  <c r="H14" i="2" s="1"/>
  <c r="I14" i="2" s="1"/>
  <c r="M14" i="2" s="1"/>
  <c r="F15" i="2"/>
  <c r="H15" i="2" s="1"/>
  <c r="I15" i="2" s="1"/>
  <c r="M15" i="2" s="1"/>
  <c r="F16" i="2"/>
  <c r="H16" i="2" s="1"/>
  <c r="I16" i="2" s="1"/>
  <c r="M16" i="2" s="1"/>
  <c r="F17" i="2"/>
  <c r="H17" i="2" s="1"/>
  <c r="I17" i="2" s="1"/>
  <c r="M17" i="2" s="1"/>
  <c r="F18" i="2"/>
  <c r="H18" i="2"/>
  <c r="I18" i="2" s="1"/>
  <c r="M18" i="2" s="1"/>
  <c r="F19" i="2"/>
  <c r="H19" i="2" s="1"/>
  <c r="I19" i="2" s="1"/>
  <c r="M19" i="2" s="1"/>
  <c r="F20" i="2"/>
  <c r="H20" i="2" s="1"/>
  <c r="I20" i="2" s="1"/>
  <c r="M20" i="2" s="1"/>
  <c r="F21" i="2"/>
  <c r="H21" i="2" s="1"/>
  <c r="I21" i="2" s="1"/>
  <c r="M21" i="2" s="1"/>
  <c r="F22" i="2"/>
  <c r="H22" i="2"/>
  <c r="I22" i="2" s="1"/>
  <c r="M22" i="2" s="1"/>
  <c r="F23" i="2"/>
  <c r="H23" i="2" s="1"/>
  <c r="I23" i="2" s="1"/>
  <c r="M23" i="2" s="1"/>
  <c r="F24" i="2"/>
  <c r="H24" i="2"/>
  <c r="I24" i="2" s="1"/>
  <c r="M24" i="2" s="1"/>
  <c r="F25" i="2"/>
  <c r="H25" i="2" s="1"/>
  <c r="I25" i="2" s="1"/>
  <c r="M25" i="2" s="1"/>
  <c r="F26" i="2"/>
  <c r="H26" i="2" s="1"/>
  <c r="I26" i="2" s="1"/>
  <c r="M26" i="2" s="1"/>
  <c r="F27" i="2"/>
  <c r="H27" i="2" s="1"/>
  <c r="I27" i="2" s="1"/>
  <c r="M27" i="2" s="1"/>
  <c r="F28" i="2"/>
  <c r="H28" i="2" s="1"/>
  <c r="I28" i="2" s="1"/>
  <c r="M28" i="2" s="1"/>
  <c r="F29" i="2"/>
  <c r="H29" i="2" s="1"/>
  <c r="I29" i="2" s="1"/>
  <c r="M29" i="2" s="1"/>
  <c r="F30" i="2"/>
  <c r="H30" i="2" s="1"/>
  <c r="I30" i="2" s="1"/>
  <c r="M30" i="2" s="1"/>
  <c r="F31" i="2"/>
  <c r="H31" i="2" s="1"/>
  <c r="I31" i="2" s="1"/>
  <c r="M31" i="2" s="1"/>
  <c r="F32" i="2"/>
  <c r="H32" i="2"/>
  <c r="I32" i="2" s="1"/>
  <c r="M32" i="2" s="1"/>
  <c r="F33" i="2"/>
  <c r="H33" i="2" s="1"/>
  <c r="I33" i="2" s="1"/>
  <c r="M33" i="2" s="1"/>
  <c r="F34" i="2"/>
  <c r="H34" i="2"/>
  <c r="I34" i="2"/>
  <c r="M34" i="2" s="1"/>
  <c r="F35" i="2"/>
  <c r="H35" i="2" s="1"/>
  <c r="I35" i="2" s="1"/>
  <c r="M35" i="2" s="1"/>
  <c r="F36" i="2"/>
  <c r="H36" i="2" s="1"/>
  <c r="I36" i="2" s="1"/>
  <c r="M36" i="2" s="1"/>
  <c r="F37" i="2"/>
  <c r="H37" i="2" s="1"/>
  <c r="I37" i="2" s="1"/>
  <c r="M37" i="2" s="1"/>
  <c r="F38" i="2"/>
  <c r="H38" i="2" s="1"/>
  <c r="I38" i="2" s="1"/>
  <c r="M38" i="2" s="1"/>
  <c r="F39" i="2"/>
  <c r="H39" i="2" s="1"/>
  <c r="I39" i="2" s="1"/>
  <c r="M39" i="2" s="1"/>
  <c r="F40" i="2"/>
  <c r="H40" i="2" s="1"/>
  <c r="I40" i="2" s="1"/>
  <c r="M40" i="2" s="1"/>
  <c r="F41" i="2"/>
  <c r="H41" i="2"/>
  <c r="I41" i="2" s="1"/>
  <c r="M41" i="2" s="1"/>
  <c r="F42" i="2"/>
  <c r="H42" i="2"/>
  <c r="I42" i="2" s="1"/>
  <c r="M42" i="2" s="1"/>
  <c r="F43" i="2"/>
  <c r="H43" i="2" s="1"/>
  <c r="I43" i="2" s="1"/>
  <c r="M43" i="2" s="1"/>
  <c r="F44" i="2"/>
  <c r="H44" i="2" s="1"/>
  <c r="I44" i="2" s="1"/>
  <c r="M44" i="2" s="1"/>
  <c r="F45" i="2"/>
  <c r="H45" i="2" s="1"/>
  <c r="I45" i="2" s="1"/>
  <c r="M45" i="2" s="1"/>
  <c r="F46" i="2"/>
  <c r="H46" i="2" s="1"/>
  <c r="I46" i="2" s="1"/>
  <c r="M46" i="2" s="1"/>
  <c r="F47" i="2"/>
  <c r="H47" i="2"/>
  <c r="I47" i="2" s="1"/>
  <c r="M47" i="2" s="1"/>
  <c r="F48" i="2"/>
  <c r="H48" i="2"/>
  <c r="I48" i="2" s="1"/>
  <c r="M48" i="2" s="1"/>
  <c r="F49" i="2"/>
  <c r="H49" i="2" s="1"/>
  <c r="I49" i="2" s="1"/>
  <c r="M49" i="2" s="1"/>
  <c r="F50" i="2"/>
  <c r="H50" i="2" s="1"/>
  <c r="I50" i="2" s="1"/>
  <c r="M50" i="2" s="1"/>
  <c r="F51" i="2"/>
  <c r="H51" i="2" s="1"/>
  <c r="I51" i="2" s="1"/>
  <c r="M51" i="2" s="1"/>
  <c r="F52" i="2"/>
  <c r="H52" i="2" s="1"/>
  <c r="I52" i="2" s="1"/>
  <c r="M52" i="2" s="1"/>
  <c r="F53" i="2"/>
  <c r="H53" i="2" s="1"/>
  <c r="I53" i="2" s="1"/>
  <c r="M53" i="2" s="1"/>
  <c r="F54" i="2"/>
  <c r="H54" i="2" s="1"/>
  <c r="I54" i="2" s="1"/>
  <c r="M54" i="2" s="1"/>
  <c r="F55" i="2"/>
  <c r="H55" i="2"/>
  <c r="I55" i="2" s="1"/>
  <c r="M55" i="2" s="1"/>
  <c r="F56" i="2"/>
  <c r="H56" i="2" s="1"/>
  <c r="I56" i="2" s="1"/>
  <c r="M56" i="2" s="1"/>
  <c r="F57" i="2"/>
  <c r="H57" i="2"/>
  <c r="I57" i="2" s="1"/>
  <c r="M57" i="2" s="1"/>
  <c r="F58" i="2"/>
  <c r="H58" i="2" s="1"/>
  <c r="I58" i="2" s="1"/>
  <c r="M58" i="2" s="1"/>
  <c r="F59" i="2"/>
  <c r="H59" i="2" s="1"/>
  <c r="I59" i="2" s="1"/>
  <c r="M59" i="2" s="1"/>
  <c r="F60" i="2"/>
  <c r="H60" i="2" s="1"/>
  <c r="I60" i="2" s="1"/>
  <c r="M60" i="2" s="1"/>
  <c r="F61" i="2"/>
  <c r="H61" i="2" s="1"/>
  <c r="I61" i="2" s="1"/>
  <c r="M61" i="2" s="1"/>
  <c r="F62" i="2"/>
  <c r="H62" i="2" s="1"/>
  <c r="I62" i="2" s="1"/>
  <c r="M62" i="2" s="1"/>
  <c r="F63" i="2"/>
  <c r="H63" i="2" s="1"/>
  <c r="I63" i="2" s="1"/>
  <c r="M63" i="2" s="1"/>
  <c r="F64" i="2"/>
  <c r="H64" i="2" s="1"/>
  <c r="I64" i="2" s="1"/>
  <c r="M64" i="2" s="1"/>
  <c r="F65" i="2"/>
  <c r="H65" i="2"/>
  <c r="I65" i="2" s="1"/>
  <c r="M65" i="2" s="1"/>
  <c r="F66" i="2"/>
  <c r="H66" i="2" s="1"/>
  <c r="I66" i="2" s="1"/>
  <c r="M66" i="2" s="1"/>
  <c r="F67" i="2"/>
  <c r="H67" i="2" s="1"/>
  <c r="I67" i="2" s="1"/>
  <c r="M67" i="2" s="1"/>
  <c r="F68" i="2"/>
  <c r="H68" i="2" s="1"/>
  <c r="I68" i="2" s="1"/>
  <c r="M68" i="2" s="1"/>
  <c r="F69" i="2"/>
  <c r="H69" i="2" s="1"/>
  <c r="I69" i="2" s="1"/>
  <c r="M69" i="2" s="1"/>
  <c r="F70" i="2"/>
  <c r="H70" i="2" s="1"/>
  <c r="I70" i="2" s="1"/>
  <c r="M70" i="2" s="1"/>
  <c r="F71" i="2"/>
  <c r="H71" i="2" s="1"/>
  <c r="I71" i="2" s="1"/>
  <c r="M71" i="2" s="1"/>
  <c r="F72" i="2"/>
  <c r="H72" i="2" s="1"/>
  <c r="I72" i="2" s="1"/>
  <c r="M72" i="2" s="1"/>
  <c r="F73" i="2"/>
  <c r="H73" i="2" s="1"/>
  <c r="I73" i="2" s="1"/>
  <c r="M73" i="2" s="1"/>
  <c r="F74" i="2"/>
  <c r="H74" i="2"/>
  <c r="I74" i="2" s="1"/>
  <c r="M74" i="2" s="1"/>
  <c r="F75" i="2"/>
  <c r="H75" i="2" s="1"/>
  <c r="I75" i="2" s="1"/>
  <c r="M75" i="2" s="1"/>
  <c r="F76" i="2"/>
  <c r="H76" i="2" s="1"/>
  <c r="I76" i="2" s="1"/>
  <c r="M76" i="2" s="1"/>
  <c r="F77" i="2"/>
  <c r="H77" i="2"/>
  <c r="I77" i="2" s="1"/>
  <c r="M77" i="2" s="1"/>
  <c r="F78" i="2"/>
  <c r="H78" i="2" s="1"/>
  <c r="I78" i="2" s="1"/>
  <c r="M78" i="2" s="1"/>
  <c r="F79" i="2"/>
  <c r="H79" i="2" s="1"/>
  <c r="I79" i="2" s="1"/>
  <c r="M79" i="2" s="1"/>
  <c r="F80" i="2"/>
  <c r="H80" i="2"/>
  <c r="I80" i="2" s="1"/>
  <c r="M80" i="2" s="1"/>
  <c r="F81" i="2"/>
  <c r="H81" i="2" s="1"/>
  <c r="I81" i="2" s="1"/>
  <c r="M81" i="2" s="1"/>
  <c r="F82" i="2"/>
  <c r="H82" i="2" s="1"/>
  <c r="I82" i="2" s="1"/>
  <c r="M82" i="2" s="1"/>
  <c r="F83" i="2"/>
  <c r="H83" i="2" s="1"/>
  <c r="I83" i="2" s="1"/>
  <c r="M83" i="2" s="1"/>
  <c r="F84" i="2"/>
  <c r="H84" i="2" s="1"/>
  <c r="I84" i="2" s="1"/>
  <c r="M84" i="2" s="1"/>
  <c r="F85" i="2"/>
  <c r="H85" i="2" s="1"/>
  <c r="I85" i="2" s="1"/>
  <c r="M85" i="2" s="1"/>
  <c r="F86" i="2"/>
  <c r="H86" i="2" s="1"/>
  <c r="I86" i="2" s="1"/>
  <c r="M86" i="2" s="1"/>
  <c r="F87" i="2"/>
  <c r="H87" i="2"/>
  <c r="I87" i="2" s="1"/>
  <c r="M87" i="2" s="1"/>
  <c r="F88" i="2"/>
  <c r="H88" i="2" s="1"/>
  <c r="I88" i="2" s="1"/>
  <c r="M88" i="2" s="1"/>
  <c r="F89" i="2"/>
  <c r="H89" i="2" s="1"/>
  <c r="I89" i="2" s="1"/>
  <c r="M89" i="2" s="1"/>
  <c r="F90" i="2"/>
  <c r="H90" i="2" s="1"/>
  <c r="I90" i="2" s="1"/>
  <c r="M90" i="2" s="1"/>
  <c r="F91" i="2"/>
  <c r="H91" i="2"/>
  <c r="I91" i="2" s="1"/>
  <c r="M91" i="2" s="1"/>
  <c r="F92" i="2"/>
  <c r="H92" i="2" s="1"/>
  <c r="I92" i="2" s="1"/>
  <c r="M92" i="2" s="1"/>
  <c r="F93" i="2"/>
  <c r="H93" i="2" s="1"/>
  <c r="I93" i="2" s="1"/>
  <c r="M93" i="2" s="1"/>
  <c r="F94" i="2"/>
  <c r="H94" i="2" s="1"/>
  <c r="I94" i="2" s="1"/>
  <c r="M94" i="2" s="1"/>
  <c r="F95" i="2"/>
  <c r="H95" i="2"/>
  <c r="I95" i="2" s="1"/>
  <c r="M95" i="2" s="1"/>
  <c r="F96" i="2"/>
  <c r="H96" i="2" s="1"/>
  <c r="I96" i="2" s="1"/>
  <c r="M96" i="2" s="1"/>
  <c r="F97" i="2"/>
  <c r="H97" i="2" s="1"/>
  <c r="I97" i="2" s="1"/>
  <c r="M97" i="2" s="1"/>
  <c r="F98" i="2"/>
  <c r="H98" i="2" s="1"/>
  <c r="I98" i="2" s="1"/>
  <c r="M98" i="2" s="1"/>
  <c r="F99" i="2"/>
  <c r="H99" i="2" s="1"/>
  <c r="I99" i="2" s="1"/>
  <c r="M99" i="2" s="1"/>
  <c r="F100" i="2"/>
  <c r="H100" i="2" s="1"/>
  <c r="I100" i="2" s="1"/>
  <c r="M100" i="2" s="1"/>
  <c r="F101" i="2"/>
  <c r="H101" i="2" s="1"/>
  <c r="I101" i="2" s="1"/>
  <c r="M101" i="2" s="1"/>
  <c r="F102" i="2"/>
  <c r="H102" i="2" s="1"/>
  <c r="I102" i="2" s="1"/>
  <c r="M102" i="2" s="1"/>
  <c r="F103" i="2"/>
  <c r="H103" i="2" s="1"/>
  <c r="I103" i="2" s="1"/>
  <c r="M103" i="2" s="1"/>
  <c r="F104" i="2"/>
  <c r="H104" i="2" s="1"/>
  <c r="I104" i="2" s="1"/>
  <c r="M104" i="2" s="1"/>
  <c r="F105" i="2"/>
  <c r="H105" i="2" s="1"/>
  <c r="I105" i="2" s="1"/>
  <c r="M105" i="2" s="1"/>
  <c r="F106" i="2"/>
  <c r="H106" i="2" s="1"/>
  <c r="I106" i="2" s="1"/>
  <c r="M106" i="2" s="1"/>
  <c r="F107" i="2"/>
  <c r="H107" i="2"/>
  <c r="I107" i="2" s="1"/>
  <c r="M107" i="2" s="1"/>
  <c r="F108" i="2"/>
  <c r="H108" i="2" s="1"/>
  <c r="I108" i="2" s="1"/>
  <c r="M108" i="2" s="1"/>
  <c r="F109" i="2"/>
  <c r="H109" i="2" s="1"/>
  <c r="I109" i="2" s="1"/>
  <c r="M109" i="2" s="1"/>
  <c r="F131" i="2"/>
  <c r="H131" i="2" s="1"/>
  <c r="I131" i="2" s="1"/>
  <c r="M131" i="2" s="1"/>
  <c r="F132" i="2"/>
  <c r="H132" i="2" s="1"/>
  <c r="I132" i="2" s="1"/>
  <c r="M132" i="2" s="1"/>
  <c r="F133" i="2"/>
  <c r="H133" i="2" s="1"/>
  <c r="I133" i="2" s="1"/>
  <c r="M133" i="2" s="1"/>
  <c r="F134" i="2"/>
  <c r="H134" i="2" s="1"/>
  <c r="I134" i="2" s="1"/>
  <c r="M134" i="2" s="1"/>
  <c r="F135" i="2"/>
  <c r="H135" i="2" s="1"/>
  <c r="I135" i="2" s="1"/>
  <c r="M135" i="2" s="1"/>
  <c r="F261" i="2"/>
  <c r="H261" i="2" s="1"/>
  <c r="I261" i="2" s="1"/>
  <c r="M261" i="2" s="1"/>
  <c r="F262" i="2"/>
  <c r="H262" i="2" s="1"/>
  <c r="I262" i="2" s="1"/>
  <c r="M262" i="2" s="1"/>
  <c r="F263" i="2"/>
  <c r="H263" i="2" s="1"/>
  <c r="I263" i="2" s="1"/>
  <c r="M263" i="2" s="1"/>
  <c r="F264" i="2"/>
  <c r="H264" i="2"/>
  <c r="I264" i="2" s="1"/>
  <c r="M264" i="2" s="1"/>
  <c r="F265" i="2"/>
  <c r="H265" i="2" s="1"/>
  <c r="I265" i="2" s="1"/>
  <c r="M265" i="2" s="1"/>
  <c r="F266" i="2"/>
  <c r="H266" i="2"/>
  <c r="I266" i="2" s="1"/>
  <c r="M266" i="2" s="1"/>
  <c r="F267" i="2"/>
  <c r="H267" i="2" s="1"/>
  <c r="I267" i="2" s="1"/>
  <c r="M267" i="2" s="1"/>
  <c r="F268" i="2"/>
  <c r="H268" i="2" s="1"/>
  <c r="I268" i="2" s="1"/>
  <c r="M268" i="2" s="1"/>
  <c r="F269" i="2"/>
  <c r="H269" i="2" s="1"/>
  <c r="I269" i="2" s="1"/>
  <c r="M269" i="2" s="1"/>
  <c r="F270" i="2"/>
  <c r="H270" i="2" s="1"/>
  <c r="I270" i="2" s="1"/>
  <c r="M270" i="2" s="1"/>
  <c r="F271" i="2"/>
  <c r="H271" i="2" s="1"/>
  <c r="I271" i="2" s="1"/>
  <c r="M271" i="2" s="1"/>
  <c r="F272" i="2"/>
  <c r="H272" i="2" s="1"/>
  <c r="I272" i="2" s="1"/>
  <c r="M272" i="2" s="1"/>
  <c r="F273" i="2"/>
  <c r="H273" i="2" s="1"/>
  <c r="I273" i="2" s="1"/>
  <c r="M273" i="2" s="1"/>
  <c r="F136" i="2"/>
  <c r="H136" i="2" s="1"/>
  <c r="I136" i="2" s="1"/>
  <c r="M136" i="2" s="1"/>
  <c r="F137" i="2"/>
  <c r="H137" i="2" s="1"/>
  <c r="I137" i="2" s="1"/>
  <c r="M137" i="2" s="1"/>
  <c r="F138" i="2"/>
  <c r="H138" i="2" s="1"/>
  <c r="I138" i="2" s="1"/>
  <c r="M138" i="2" s="1"/>
  <c r="F139" i="2"/>
  <c r="H139" i="2" s="1"/>
  <c r="I139" i="2" s="1"/>
  <c r="M139" i="2" s="1"/>
  <c r="F140" i="2"/>
  <c r="H140" i="2" s="1"/>
  <c r="I140" i="2" s="1"/>
  <c r="M140" i="2" s="1"/>
  <c r="F141" i="2"/>
  <c r="H141" i="2" s="1"/>
  <c r="I141" i="2" s="1"/>
  <c r="M141" i="2" s="1"/>
  <c r="F142" i="2"/>
  <c r="H142" i="2" s="1"/>
  <c r="I142" i="2" s="1"/>
  <c r="M142" i="2" s="1"/>
  <c r="F143" i="2"/>
  <c r="H143" i="2" s="1"/>
  <c r="I143" i="2" s="1"/>
  <c r="M143" i="2" s="1"/>
  <c r="F144" i="2"/>
  <c r="H144" i="2" s="1"/>
  <c r="I144" i="2" s="1"/>
  <c r="M144" i="2" s="1"/>
  <c r="F145" i="2"/>
  <c r="H145" i="2"/>
  <c r="I145" i="2" s="1"/>
  <c r="M145" i="2" s="1"/>
  <c r="F274" i="2"/>
  <c r="H274" i="2" s="1"/>
  <c r="I274" i="2" s="1"/>
  <c r="M274" i="2" s="1"/>
  <c r="F275" i="2"/>
  <c r="H275" i="2" s="1"/>
  <c r="I275" i="2" s="1"/>
  <c r="M275" i="2" s="1"/>
  <c r="F276" i="2"/>
  <c r="H276" i="2" s="1"/>
  <c r="I276" i="2" s="1"/>
  <c r="M276" i="2" s="1"/>
  <c r="F277" i="2"/>
  <c r="H277" i="2" s="1"/>
  <c r="I277" i="2" s="1"/>
  <c r="M277" i="2" s="1"/>
  <c r="F278" i="2"/>
  <c r="H278" i="2" s="1"/>
  <c r="I278" i="2" s="1"/>
  <c r="M278" i="2" s="1"/>
  <c r="F279" i="2"/>
  <c r="H279" i="2"/>
  <c r="I279" i="2" s="1"/>
  <c r="M279" i="2" s="1"/>
  <c r="F280" i="2"/>
  <c r="H280" i="2" s="1"/>
  <c r="I280" i="2" s="1"/>
  <c r="M280" i="2" s="1"/>
  <c r="F281" i="2"/>
  <c r="H281" i="2" s="1"/>
  <c r="I281" i="2" s="1"/>
  <c r="M281" i="2" s="1"/>
  <c r="F282" i="2"/>
  <c r="H282" i="2" s="1"/>
  <c r="I282" i="2" s="1"/>
  <c r="M282" i="2" s="1"/>
  <c r="F283" i="2"/>
  <c r="H283" i="2"/>
  <c r="I283" i="2" s="1"/>
  <c r="M283" i="2" s="1"/>
  <c r="F284" i="2"/>
  <c r="H284" i="2" s="1"/>
  <c r="I284" i="2" s="1"/>
  <c r="M284" i="2" s="1"/>
  <c r="F285" i="2"/>
  <c r="H285" i="2"/>
  <c r="I285" i="2" s="1"/>
  <c r="M285" i="2" s="1"/>
  <c r="F286" i="2"/>
  <c r="H286" i="2" s="1"/>
  <c r="I286" i="2" s="1"/>
  <c r="M286" i="2" s="1"/>
  <c r="F287" i="2"/>
  <c r="H287" i="2" s="1"/>
  <c r="I287" i="2" s="1"/>
  <c r="M287" i="2" s="1"/>
  <c r="F288" i="2"/>
  <c r="H288" i="2"/>
  <c r="I288" i="2" s="1"/>
  <c r="M288" i="2" s="1"/>
  <c r="F289" i="2"/>
  <c r="H289" i="2" s="1"/>
  <c r="I289" i="2" s="1"/>
  <c r="M289" i="2" s="1"/>
  <c r="F290" i="2"/>
  <c r="H290" i="2" s="1"/>
  <c r="I290" i="2" s="1"/>
  <c r="M290" i="2" s="1"/>
  <c r="F291" i="2"/>
  <c r="H291" i="2"/>
  <c r="I291" i="2" s="1"/>
  <c r="M291" i="2" s="1"/>
  <c r="F292" i="2"/>
  <c r="H292" i="2" s="1"/>
  <c r="I292" i="2" s="1"/>
  <c r="M292" i="2" s="1"/>
  <c r="F293" i="2"/>
  <c r="H293" i="2" s="1"/>
  <c r="I293" i="2" s="1"/>
  <c r="M293" i="2" s="1"/>
  <c r="F294" i="2"/>
  <c r="H294" i="2" s="1"/>
  <c r="I294" i="2" s="1"/>
  <c r="M294" i="2" s="1"/>
  <c r="F295" i="2"/>
  <c r="H295" i="2" s="1"/>
  <c r="I295" i="2" s="1"/>
  <c r="M295" i="2" s="1"/>
  <c r="F146" i="2"/>
  <c r="H146" i="2" s="1"/>
  <c r="I146" i="2" s="1"/>
  <c r="M146" i="2" s="1"/>
  <c r="F147" i="2"/>
  <c r="H147" i="2"/>
  <c r="I147" i="2" s="1"/>
  <c r="M147" i="2" s="1"/>
  <c r="F148" i="2"/>
  <c r="H148" i="2" s="1"/>
  <c r="I148" i="2" s="1"/>
  <c r="M148" i="2" s="1"/>
  <c r="F149" i="2"/>
  <c r="H149" i="2" s="1"/>
  <c r="I149" i="2" s="1"/>
  <c r="M149" i="2" s="1"/>
  <c r="F150" i="2"/>
  <c r="H150" i="2" s="1"/>
  <c r="I150" i="2" s="1"/>
  <c r="M150" i="2" s="1"/>
  <c r="F151" i="2"/>
  <c r="H151" i="2" s="1"/>
  <c r="I151" i="2" s="1"/>
  <c r="M151" i="2" s="1"/>
  <c r="F152" i="2"/>
  <c r="H152" i="2" s="1"/>
  <c r="I152" i="2" s="1"/>
  <c r="M152" i="2" s="1"/>
  <c r="F153" i="2"/>
  <c r="H153" i="2" s="1"/>
  <c r="I153" i="2" s="1"/>
  <c r="M153" i="2" s="1"/>
  <c r="F154" i="2"/>
  <c r="H154" i="2" s="1"/>
  <c r="I154" i="2" s="1"/>
  <c r="M154" i="2" s="1"/>
  <c r="F155" i="2"/>
  <c r="H155" i="2"/>
  <c r="I155" i="2" s="1"/>
  <c r="M155" i="2" s="1"/>
  <c r="F156" i="2"/>
  <c r="H156" i="2" s="1"/>
  <c r="I156" i="2" s="1"/>
  <c r="M156" i="2" s="1"/>
  <c r="F157" i="2"/>
  <c r="H157" i="2" s="1"/>
  <c r="I157" i="2" s="1"/>
  <c r="M157" i="2" s="1"/>
  <c r="F296" i="2"/>
  <c r="H296" i="2"/>
  <c r="I296" i="2" s="1"/>
  <c r="M296" i="2" s="1"/>
  <c r="F297" i="2"/>
  <c r="H297" i="2" s="1"/>
  <c r="I297" i="2" s="1"/>
  <c r="M297" i="2" s="1"/>
  <c r="F298" i="2"/>
  <c r="H298" i="2"/>
  <c r="I298" i="2" s="1"/>
  <c r="M298" i="2" s="1"/>
  <c r="F299" i="2"/>
  <c r="H299" i="2" s="1"/>
  <c r="I299" i="2" s="1"/>
  <c r="M299" i="2" s="1"/>
  <c r="F300" i="2"/>
  <c r="H300" i="2" s="1"/>
  <c r="I300" i="2" s="1"/>
  <c r="M300" i="2" s="1"/>
  <c r="F301" i="2"/>
  <c r="H301" i="2" s="1"/>
  <c r="I301" i="2" s="1"/>
  <c r="M301" i="2" s="1"/>
  <c r="F302" i="2"/>
  <c r="H302" i="2"/>
  <c r="I302" i="2"/>
  <c r="M302" i="2" s="1"/>
  <c r="F303" i="2"/>
  <c r="H303" i="2" s="1"/>
  <c r="I303" i="2" s="1"/>
  <c r="M303" i="2" s="1"/>
  <c r="F304" i="2"/>
  <c r="H304" i="2"/>
  <c r="I304" i="2" s="1"/>
  <c r="M304" i="2" s="1"/>
  <c r="F305" i="2"/>
  <c r="H305" i="2" s="1"/>
  <c r="I305" i="2" s="1"/>
  <c r="M305" i="2" s="1"/>
  <c r="F158" i="2"/>
  <c r="H158" i="2" s="1"/>
  <c r="I158" i="2" s="1"/>
  <c r="M158" i="2" s="1"/>
  <c r="F159" i="2"/>
  <c r="H159" i="2" s="1"/>
  <c r="I159" i="2" s="1"/>
  <c r="M159" i="2" s="1"/>
  <c r="F160" i="2"/>
  <c r="H160" i="2" s="1"/>
  <c r="I160" i="2" s="1"/>
  <c r="M160" i="2" s="1"/>
  <c r="F161" i="2"/>
  <c r="H161" i="2" s="1"/>
  <c r="I161" i="2" s="1"/>
  <c r="M161" i="2" s="1"/>
  <c r="F162" i="2"/>
  <c r="H162" i="2" s="1"/>
  <c r="I162" i="2" s="1"/>
  <c r="M162" i="2" s="1"/>
  <c r="F163" i="2"/>
  <c r="H163" i="2" s="1"/>
  <c r="I163" i="2" s="1"/>
  <c r="M163" i="2" s="1"/>
  <c r="F164" i="2"/>
  <c r="H164" i="2" s="1"/>
  <c r="I164" i="2" s="1"/>
  <c r="M164" i="2" s="1"/>
  <c r="F165" i="2"/>
  <c r="H165" i="2" s="1"/>
  <c r="I165" i="2" s="1"/>
  <c r="M165" i="2" s="1"/>
  <c r="F166" i="2"/>
  <c r="H166" i="2" s="1"/>
  <c r="I166" i="2" s="1"/>
  <c r="M166" i="2" s="1"/>
  <c r="F167" i="2"/>
  <c r="H167" i="2" s="1"/>
  <c r="I167" i="2" s="1"/>
  <c r="M167" i="2" s="1"/>
  <c r="F168" i="2"/>
  <c r="H168" i="2" s="1"/>
  <c r="I168" i="2" s="1"/>
  <c r="M168" i="2" s="1"/>
  <c r="F169" i="2"/>
  <c r="H169" i="2" s="1"/>
  <c r="I169" i="2" s="1"/>
  <c r="M169" i="2" s="1"/>
  <c r="F170" i="2"/>
  <c r="H170" i="2" s="1"/>
  <c r="I170" i="2" s="1"/>
  <c r="M170" i="2" s="1"/>
  <c r="F171" i="2"/>
  <c r="H171" i="2" s="1"/>
  <c r="I171" i="2" s="1"/>
  <c r="M171" i="2" s="1"/>
  <c r="F172" i="2"/>
  <c r="H172" i="2" s="1"/>
  <c r="I172" i="2" s="1"/>
  <c r="M172" i="2" s="1"/>
  <c r="F173" i="2"/>
  <c r="H173" i="2" s="1"/>
  <c r="I173" i="2" s="1"/>
  <c r="M173" i="2" s="1"/>
  <c r="F174" i="2"/>
  <c r="H174" i="2" s="1"/>
  <c r="I174" i="2" s="1"/>
  <c r="M174" i="2" s="1"/>
  <c r="F175" i="2"/>
  <c r="H175" i="2" s="1"/>
  <c r="I175" i="2" s="1"/>
  <c r="M175" i="2" s="1"/>
  <c r="F306" i="2"/>
  <c r="H306" i="2" s="1"/>
  <c r="I306" i="2" s="1"/>
  <c r="M306" i="2" s="1"/>
  <c r="F176" i="2"/>
  <c r="H176" i="2" s="1"/>
  <c r="I176" i="2" s="1"/>
  <c r="M176" i="2" s="1"/>
  <c r="F177" i="2"/>
  <c r="H177" i="2"/>
  <c r="I177" i="2" s="1"/>
  <c r="M177" i="2" s="1"/>
  <c r="F178" i="2"/>
  <c r="H178" i="2" s="1"/>
  <c r="I178" i="2" s="1"/>
  <c r="M178" i="2" s="1"/>
  <c r="F179" i="2"/>
  <c r="H179" i="2"/>
  <c r="I179" i="2" s="1"/>
  <c r="M179" i="2" s="1"/>
  <c r="F180" i="2"/>
  <c r="H180" i="2" s="1"/>
  <c r="I180" i="2" s="1"/>
  <c r="M180" i="2" s="1"/>
  <c r="F236" i="2"/>
  <c r="H236" i="2" s="1"/>
  <c r="I236" i="2" s="1"/>
  <c r="M236" i="2" s="1"/>
  <c r="F237" i="2"/>
  <c r="H237" i="2" s="1"/>
  <c r="I237" i="2" s="1"/>
  <c r="M237" i="2" s="1"/>
  <c r="F238" i="2"/>
  <c r="H238" i="2" s="1"/>
  <c r="I238" i="2" s="1"/>
  <c r="M238" i="2" s="1"/>
  <c r="F239" i="2"/>
  <c r="H239" i="2" s="1"/>
  <c r="I239" i="2" s="1"/>
  <c r="M239" i="2" s="1"/>
  <c r="F240" i="2"/>
  <c r="H240" i="2" s="1"/>
  <c r="I240" i="2" s="1"/>
  <c r="M240" i="2" s="1"/>
  <c r="F241" i="2"/>
  <c r="H241" i="2" s="1"/>
  <c r="I241" i="2" s="1"/>
  <c r="M241" i="2" s="1"/>
  <c r="F242" i="2"/>
  <c r="H242" i="2"/>
  <c r="I242" i="2" s="1"/>
  <c r="M242" i="2" s="1"/>
  <c r="F243" i="2"/>
  <c r="H243" i="2" s="1"/>
  <c r="I243" i="2" s="1"/>
  <c r="M243" i="2" s="1"/>
  <c r="F244" i="2"/>
  <c r="H244" i="2" s="1"/>
  <c r="I244" i="2" s="1"/>
  <c r="M244" i="2" s="1"/>
  <c r="F245" i="2"/>
  <c r="H245" i="2" s="1"/>
  <c r="I245" i="2" s="1"/>
  <c r="M245" i="2" s="1"/>
  <c r="F246" i="2"/>
  <c r="H246" i="2" s="1"/>
  <c r="I246" i="2" s="1"/>
  <c r="M246" i="2" s="1"/>
  <c r="F247" i="2"/>
  <c r="H247" i="2" s="1"/>
  <c r="I247" i="2" s="1"/>
  <c r="M247" i="2" s="1"/>
  <c r="F248" i="2"/>
  <c r="H248" i="2"/>
  <c r="I248" i="2"/>
  <c r="M248" i="2" s="1"/>
  <c r="F110" i="2"/>
  <c r="H110" i="2" s="1"/>
  <c r="I110" i="2" s="1"/>
  <c r="M110" i="2" s="1"/>
  <c r="F249" i="2"/>
  <c r="H249" i="2" s="1"/>
  <c r="I249" i="2" s="1"/>
  <c r="M249" i="2" s="1"/>
  <c r="F181" i="2"/>
  <c r="H181" i="2" s="1"/>
  <c r="I181" i="2" s="1"/>
  <c r="M181" i="2" s="1"/>
  <c r="F182" i="2"/>
  <c r="H182" i="2" s="1"/>
  <c r="I182" i="2" s="1"/>
  <c r="M182" i="2" s="1"/>
  <c r="F183" i="2"/>
  <c r="H183" i="2" s="1"/>
  <c r="I183" i="2" s="1"/>
  <c r="M183" i="2" s="1"/>
  <c r="F184" i="2"/>
  <c r="H184" i="2"/>
  <c r="I184" i="2" s="1"/>
  <c r="M184" i="2" s="1"/>
  <c r="F185" i="2"/>
  <c r="H185" i="2" s="1"/>
  <c r="I185" i="2" s="1"/>
  <c r="M185" i="2" s="1"/>
  <c r="F186" i="2"/>
  <c r="H186" i="2" s="1"/>
  <c r="I186" i="2" s="1"/>
  <c r="M186" i="2" s="1"/>
  <c r="F187" i="2"/>
  <c r="H187" i="2" s="1"/>
  <c r="I187" i="2" s="1"/>
  <c r="M187" i="2" s="1"/>
  <c r="F188" i="2"/>
  <c r="H188" i="2" s="1"/>
  <c r="I188" i="2" s="1"/>
  <c r="M188" i="2" s="1"/>
  <c r="F189" i="2"/>
  <c r="H189" i="2" s="1"/>
  <c r="I189" i="2" s="1"/>
  <c r="M189" i="2" s="1"/>
  <c r="F190" i="2"/>
  <c r="H190" i="2"/>
  <c r="I190" i="2" s="1"/>
  <c r="M190" i="2" s="1"/>
  <c r="F191" i="2"/>
  <c r="H191" i="2" s="1"/>
  <c r="I191" i="2" s="1"/>
  <c r="M191" i="2" s="1"/>
  <c r="F192" i="2"/>
  <c r="H192" i="2" s="1"/>
  <c r="I192" i="2" s="1"/>
  <c r="M192" i="2" s="1"/>
  <c r="F193" i="2"/>
  <c r="H193" i="2" s="1"/>
  <c r="I193" i="2" s="1"/>
  <c r="M193" i="2" s="1"/>
  <c r="F194" i="2"/>
  <c r="H194" i="2" s="1"/>
  <c r="I194" i="2" s="1"/>
  <c r="M194" i="2" s="1"/>
  <c r="F195" i="2"/>
  <c r="H195" i="2" s="1"/>
  <c r="I195" i="2" s="1"/>
  <c r="M195" i="2" s="1"/>
  <c r="F196" i="2"/>
  <c r="H196" i="2" s="1"/>
  <c r="I196" i="2" s="1"/>
  <c r="M196" i="2" s="1"/>
  <c r="F197" i="2"/>
  <c r="H197" i="2" s="1"/>
  <c r="I197" i="2"/>
  <c r="M197" i="2" s="1"/>
  <c r="F198" i="2"/>
  <c r="H198" i="2" s="1"/>
  <c r="I198" i="2" s="1"/>
  <c r="M198" i="2" s="1"/>
  <c r="F199" i="2"/>
  <c r="H199" i="2" s="1"/>
  <c r="I199" i="2" s="1"/>
  <c r="M199" i="2" s="1"/>
  <c r="F111" i="2"/>
  <c r="H111" i="2" s="1"/>
  <c r="I111" i="2" s="1"/>
  <c r="M111" i="2" s="1"/>
  <c r="F200" i="2"/>
  <c r="H200" i="2" s="1"/>
  <c r="I200" i="2" s="1"/>
  <c r="M200" i="2" s="1"/>
  <c r="F250" i="2"/>
  <c r="H250" i="2"/>
  <c r="I250" i="2" s="1"/>
  <c r="M250" i="2" s="1"/>
  <c r="F251" i="2"/>
  <c r="H251" i="2" s="1"/>
  <c r="I251" i="2"/>
  <c r="M251" i="2" s="1"/>
  <c r="F201" i="2"/>
  <c r="H201" i="2" s="1"/>
  <c r="I201" i="2" s="1"/>
  <c r="M201" i="2" s="1"/>
  <c r="F202" i="2"/>
  <c r="H202" i="2" s="1"/>
  <c r="I202" i="2" s="1"/>
  <c r="M202" i="2" s="1"/>
  <c r="F203" i="2"/>
  <c r="H203" i="2" s="1"/>
  <c r="I203" i="2" s="1"/>
  <c r="M203" i="2" s="1"/>
  <c r="F204" i="2"/>
  <c r="H204" i="2" s="1"/>
  <c r="I204" i="2" s="1"/>
  <c r="M204" i="2" s="1"/>
  <c r="F205" i="2"/>
  <c r="H205" i="2" s="1"/>
  <c r="I205" i="2" s="1"/>
  <c r="M205" i="2" s="1"/>
  <c r="F206" i="2"/>
  <c r="H206" i="2" s="1"/>
  <c r="I206" i="2" s="1"/>
  <c r="M206" i="2" s="1"/>
  <c r="F112" i="2"/>
  <c r="H112" i="2" s="1"/>
  <c r="I112" i="2" s="1"/>
  <c r="M112" i="2" s="1"/>
  <c r="F113" i="2"/>
  <c r="H113" i="2" s="1"/>
  <c r="I113" i="2" s="1"/>
  <c r="M113" i="2" s="1"/>
  <c r="F207" i="2"/>
  <c r="H207" i="2" s="1"/>
  <c r="I207" i="2" s="1"/>
  <c r="M207" i="2" s="1"/>
  <c r="F208" i="2"/>
  <c r="H208" i="2" s="1"/>
  <c r="I208" i="2" s="1"/>
  <c r="M208" i="2" s="1"/>
  <c r="F114" i="2"/>
  <c r="H114" i="2" s="1"/>
  <c r="I114" i="2" s="1"/>
  <c r="M114" i="2" s="1"/>
  <c r="F209" i="2"/>
  <c r="H209" i="2" s="1"/>
  <c r="I209" i="2" s="1"/>
  <c r="M209" i="2" s="1"/>
  <c r="F252" i="2"/>
  <c r="H252" i="2" s="1"/>
  <c r="I252" i="2" s="1"/>
  <c r="M252" i="2" s="1"/>
  <c r="F115" i="2"/>
  <c r="H115" i="2" s="1"/>
  <c r="I115" i="2" s="1"/>
  <c r="M115" i="2" s="1"/>
  <c r="F210" i="2"/>
  <c r="H210" i="2" s="1"/>
  <c r="I210" i="2" s="1"/>
  <c r="M210" i="2" s="1"/>
  <c r="F212" i="2"/>
  <c r="H212" i="2" s="1"/>
  <c r="I212" i="2" s="1"/>
  <c r="M212" i="2" s="1"/>
  <c r="F116" i="2"/>
  <c r="H116" i="2" s="1"/>
  <c r="I116" i="2" s="1"/>
  <c r="M116" i="2" s="1"/>
  <c r="F117" i="2"/>
  <c r="H117" i="2" s="1"/>
  <c r="I117" i="2"/>
  <c r="M117" i="2" s="1"/>
  <c r="F118" i="2"/>
  <c r="H118" i="2" s="1"/>
  <c r="I118" i="2" s="1"/>
  <c r="M118" i="2" s="1"/>
  <c r="F253" i="2"/>
  <c r="H253" i="2"/>
  <c r="I253" i="2" s="1"/>
  <c r="M253" i="2" s="1"/>
  <c r="F119" i="2"/>
  <c r="H119" i="2" s="1"/>
  <c r="I119" i="2" s="1"/>
  <c r="M119" i="2" s="1"/>
  <c r="F213" i="2"/>
  <c r="H213" i="2" s="1"/>
  <c r="I213" i="2" s="1"/>
  <c r="M213" i="2" s="1"/>
  <c r="F120" i="2"/>
  <c r="H120" i="2" s="1"/>
  <c r="I120" i="2" s="1"/>
  <c r="M120" i="2" s="1"/>
  <c r="F121" i="2"/>
  <c r="H121" i="2" s="1"/>
  <c r="I121" i="2" s="1"/>
  <c r="M121" i="2" s="1"/>
  <c r="F254" i="2"/>
  <c r="H254" i="2" s="1"/>
  <c r="I254" i="2" s="1"/>
  <c r="M254" i="2" s="1"/>
  <c r="F255" i="2"/>
  <c r="H255" i="2" s="1"/>
  <c r="I255" i="2" s="1"/>
  <c r="M255" i="2" s="1"/>
  <c r="F122" i="2"/>
  <c r="H122" i="2" s="1"/>
  <c r="I122" i="2" s="1"/>
  <c r="M122" i="2" s="1"/>
  <c r="F214" i="2"/>
  <c r="H214" i="2" s="1"/>
  <c r="I214" i="2" s="1"/>
  <c r="M214" i="2" s="1"/>
  <c r="F215" i="2"/>
  <c r="H215" i="2" s="1"/>
  <c r="I215" i="2" s="1"/>
  <c r="M215" i="2" s="1"/>
  <c r="F216" i="2"/>
  <c r="H216" i="2" s="1"/>
  <c r="I216" i="2" s="1"/>
  <c r="M216" i="2" s="1"/>
  <c r="F217" i="2"/>
  <c r="H217" i="2" s="1"/>
  <c r="I217" i="2" s="1"/>
  <c r="M217" i="2" s="1"/>
  <c r="F218" i="2"/>
  <c r="H218" i="2"/>
  <c r="I218" i="2" s="1"/>
  <c r="M218" i="2" s="1"/>
  <c r="F219" i="2"/>
  <c r="H219" i="2" s="1"/>
  <c r="I219" i="2" s="1"/>
  <c r="M219" i="2" s="1"/>
  <c r="F256" i="2"/>
  <c r="H256" i="2"/>
  <c r="I256" i="2" s="1"/>
  <c r="M256" i="2" s="1"/>
  <c r="F220" i="2"/>
  <c r="H220" i="2" s="1"/>
  <c r="I220" i="2" s="1"/>
  <c r="M220" i="2" s="1"/>
  <c r="F257" i="2"/>
  <c r="H257" i="2"/>
  <c r="I257" i="2"/>
  <c r="M257" i="2" s="1"/>
  <c r="F258" i="2"/>
  <c r="H258" i="2" s="1"/>
  <c r="I258" i="2" s="1"/>
  <c r="M258" i="2" s="1"/>
  <c r="F123" i="2"/>
  <c r="H123" i="2" s="1"/>
  <c r="I123" i="2" s="1"/>
  <c r="M123" i="2" s="1"/>
  <c r="F124" i="2"/>
  <c r="H124" i="2" s="1"/>
  <c r="I124" i="2" s="1"/>
  <c r="M124" i="2" s="1"/>
  <c r="F307" i="2"/>
  <c r="H307" i="2" s="1"/>
  <c r="I307" i="2" s="1"/>
  <c r="M307" i="2" s="1"/>
  <c r="F221" i="2"/>
  <c r="H221" i="2" s="1"/>
  <c r="I221" i="2" s="1"/>
  <c r="M221" i="2" s="1"/>
  <c r="F222" i="2"/>
  <c r="H222" i="2" s="1"/>
  <c r="I222" i="2" s="1"/>
  <c r="M222" i="2" s="1"/>
  <c r="F308" i="2"/>
  <c r="H308" i="2" s="1"/>
  <c r="I308" i="2" s="1"/>
  <c r="M308" i="2" s="1"/>
  <c r="F309" i="2"/>
  <c r="H309" i="2" s="1"/>
  <c r="I309" i="2" s="1"/>
  <c r="M309" i="2" s="1"/>
  <c r="F259" i="2"/>
  <c r="H259" i="2" s="1"/>
  <c r="I259" i="2" s="1"/>
  <c r="M259" i="2" s="1"/>
  <c r="F260" i="2"/>
  <c r="H260" i="2"/>
  <c r="I260" i="2" s="1"/>
  <c r="M260" i="2" s="1"/>
  <c r="F223" i="2"/>
  <c r="H223" i="2" s="1"/>
  <c r="I223" i="2" s="1"/>
  <c r="M223" i="2" s="1"/>
  <c r="F224" i="2"/>
  <c r="H224" i="2"/>
  <c r="I224" i="2" s="1"/>
  <c r="M224" i="2" s="1"/>
  <c r="F225" i="2"/>
  <c r="H225" i="2" s="1"/>
  <c r="I225" i="2" s="1"/>
  <c r="M225" i="2" s="1"/>
  <c r="F226" i="2"/>
  <c r="H226" i="2" s="1"/>
  <c r="I226" i="2" s="1"/>
  <c r="M226" i="2" s="1"/>
  <c r="F227" i="2"/>
  <c r="H227" i="2" s="1"/>
  <c r="I227" i="2" s="1"/>
  <c r="M227" i="2" s="1"/>
  <c r="F228" i="2"/>
  <c r="H228" i="2" s="1"/>
  <c r="I228" i="2" s="1"/>
  <c r="M228" i="2" s="1"/>
  <c r="F229" i="2"/>
  <c r="H229" i="2" s="1"/>
  <c r="I229" i="2" s="1"/>
  <c r="M229" i="2" s="1"/>
  <c r="F230" i="2"/>
  <c r="H230" i="2" s="1"/>
  <c r="I230" i="2" s="1"/>
  <c r="M230" i="2" s="1"/>
  <c r="F231" i="2"/>
  <c r="H231" i="2" s="1"/>
  <c r="I231" i="2" s="1"/>
  <c r="M231" i="2" s="1"/>
  <c r="F232" i="2"/>
  <c r="H232" i="2" s="1"/>
  <c r="I232" i="2" s="1"/>
  <c r="M232" i="2" s="1"/>
  <c r="F233" i="2"/>
  <c r="H233" i="2" s="1"/>
  <c r="I233" i="2" s="1"/>
  <c r="M233" i="2" s="1"/>
  <c r="F234" i="2"/>
  <c r="H234" i="2" s="1"/>
  <c r="I234" i="2" s="1"/>
  <c r="M234" i="2" s="1"/>
  <c r="F235" i="2"/>
  <c r="H235" i="2" s="1"/>
  <c r="I235" i="2" s="1"/>
  <c r="M235" i="2" s="1"/>
  <c r="F125" i="2"/>
  <c r="H125" i="2"/>
  <c r="I125" i="2" s="1"/>
  <c r="M125" i="2" s="1"/>
  <c r="F126" i="2"/>
  <c r="H126" i="2" s="1"/>
  <c r="I126" i="2" s="1"/>
  <c r="M126" i="2" s="1"/>
  <c r="F127" i="2"/>
  <c r="H127" i="2"/>
  <c r="I127" i="2" s="1"/>
  <c r="M127" i="2" s="1"/>
  <c r="F128" i="2"/>
  <c r="H128" i="2" s="1"/>
  <c r="I128" i="2" s="1"/>
  <c r="M128" i="2" s="1"/>
  <c r="F129" i="2"/>
  <c r="H129" i="2" s="1"/>
  <c r="I129" i="2" s="1"/>
  <c r="M129" i="2" s="1"/>
  <c r="F130" i="2"/>
  <c r="H130" i="2" s="1"/>
  <c r="I130" i="2" s="1"/>
  <c r="M130" i="2" s="1"/>
  <c r="L58" i="1"/>
  <c r="N58" i="1" s="1"/>
  <c r="O58" i="1" s="1"/>
  <c r="L12" i="1"/>
  <c r="N12" i="1" s="1"/>
  <c r="O12" i="1" s="1"/>
  <c r="L21" i="1"/>
  <c r="N21" i="1" s="1"/>
  <c r="O21" i="1" s="1"/>
  <c r="L8" i="1"/>
  <c r="L27" i="1"/>
  <c r="N27" i="1" s="1"/>
  <c r="O27" i="1" s="1"/>
  <c r="L37" i="1"/>
  <c r="N37" i="1" s="1"/>
  <c r="O37" i="1" s="1"/>
  <c r="L29" i="1"/>
  <c r="N29" i="1" s="1"/>
  <c r="O29" i="1" s="1"/>
  <c r="P43" i="1" l="1"/>
  <c r="P44" i="1"/>
  <c r="P19" i="1"/>
  <c r="P20" i="1"/>
  <c r="P37" i="1"/>
  <c r="P42" i="1"/>
  <c r="P32" i="1"/>
  <c r="P56" i="1"/>
  <c r="P41" i="1"/>
  <c r="P25" i="1"/>
  <c r="P55" i="1"/>
  <c r="P53" i="1"/>
  <c r="P36" i="1"/>
  <c r="P17" i="1"/>
  <c r="P52" i="1"/>
  <c r="P22" i="1"/>
  <c r="P10" i="1"/>
  <c r="P49" i="1"/>
  <c r="P27" i="1"/>
  <c r="P21" i="1"/>
  <c r="P12" i="1"/>
  <c r="P48" i="1"/>
  <c r="P14" i="1"/>
  <c r="P40" i="1"/>
  <c r="P46" i="1"/>
  <c r="P29" i="1"/>
  <c r="P58" i="1"/>
  <c r="P47" i="1"/>
  <c r="P28" i="1"/>
  <c r="N13" i="1"/>
  <c r="O13" i="1" s="1"/>
  <c r="L57" i="1"/>
  <c r="N57" i="1" s="1"/>
  <c r="O57" i="1" s="1"/>
  <c r="L31" i="1"/>
  <c r="N31" i="1" s="1"/>
  <c r="O31" i="1" s="1"/>
  <c r="L24" i="1"/>
  <c r="N24" i="1" s="1"/>
  <c r="O24" i="1" s="1"/>
  <c r="L16" i="1"/>
  <c r="N16" i="1" s="1"/>
  <c r="O16" i="1" s="1"/>
  <c r="L50" i="1"/>
  <c r="N50" i="1" s="1"/>
  <c r="O50" i="1" s="1"/>
  <c r="L45" i="1"/>
  <c r="N45" i="1" s="1"/>
  <c r="O45" i="1" s="1"/>
  <c r="L33" i="1"/>
  <c r="N33" i="1" s="1"/>
  <c r="O33" i="1" s="1"/>
  <c r="L26" i="1"/>
  <c r="N26" i="1" s="1"/>
  <c r="O26" i="1" s="1"/>
  <c r="L18" i="1"/>
  <c r="N18" i="1" s="1"/>
  <c r="O18" i="1" s="1"/>
  <c r="L30" i="1"/>
  <c r="N30" i="1" s="1"/>
  <c r="O30" i="1" s="1"/>
  <c r="L38" i="1"/>
  <c r="N38" i="1" s="1"/>
  <c r="O38" i="1" s="1"/>
  <c r="L9" i="1"/>
  <c r="N9" i="1" s="1"/>
  <c r="O9" i="1" s="1"/>
  <c r="N8" i="1"/>
  <c r="L51" i="1"/>
  <c r="N51" i="1" s="1"/>
  <c r="O51" i="1" s="1"/>
  <c r="L39" i="1"/>
  <c r="N39" i="1" s="1"/>
  <c r="O39" i="1" s="1"/>
  <c r="L34" i="1"/>
  <c r="N34" i="1" s="1"/>
  <c r="O34" i="1" s="1"/>
  <c r="L11" i="1"/>
  <c r="N11" i="1" s="1"/>
  <c r="O11" i="1" s="1"/>
  <c r="L23" i="1"/>
  <c r="N23" i="1" s="1"/>
  <c r="O23" i="1" s="1"/>
  <c r="L15" i="1"/>
  <c r="N15" i="1" s="1"/>
  <c r="O15" i="1" s="1"/>
  <c r="L54" i="1"/>
  <c r="N54" i="1" s="1"/>
  <c r="O54" i="1" s="1"/>
  <c r="L35" i="1"/>
  <c r="N35" i="1" s="1"/>
  <c r="O35" i="1" s="1"/>
  <c r="M310" i="2"/>
  <c r="I310" i="2"/>
  <c r="H310" i="2"/>
  <c r="P50" i="1" l="1"/>
  <c r="P9" i="1"/>
  <c r="P38" i="1"/>
  <c r="P31" i="1"/>
  <c r="P35" i="1"/>
  <c r="P16" i="1"/>
  <c r="P30" i="1"/>
  <c r="P57" i="1"/>
  <c r="P26" i="1"/>
  <c r="P54" i="1"/>
  <c r="P15" i="1"/>
  <c r="P23" i="1"/>
  <c r="P11" i="1"/>
  <c r="P34" i="1"/>
  <c r="P24" i="1"/>
  <c r="P18" i="1"/>
  <c r="P13" i="1"/>
  <c r="P39" i="1"/>
  <c r="P33" i="1"/>
  <c r="P51" i="1"/>
  <c r="P45" i="1"/>
  <c r="L79" i="1"/>
  <c r="N79" i="1"/>
  <c r="O8" i="1"/>
  <c r="O79" i="1" l="1"/>
  <c r="P8" i="1"/>
  <c r="P79" i="1" s="1"/>
  <c r="V79" i="1"/>
  <c r="E6" i="6" l="1"/>
  <c r="F6" i="6" s="1"/>
  <c r="F9" i="6" s="1"/>
  <c r="F12" i="6" s="1"/>
  <c r="E9" i="6" l="1"/>
</calcChain>
</file>

<file path=xl/sharedStrings.xml><?xml version="1.0" encoding="utf-8"?>
<sst xmlns="http://schemas.openxmlformats.org/spreadsheetml/2006/main" count="4098" uniqueCount="1566">
  <si>
    <t>CATEGORY OF STAFF</t>
  </si>
  <si>
    <t>No. Of Emp.</t>
  </si>
  <si>
    <t>Premium Per Qtr</t>
  </si>
  <si>
    <t>PERMANENT</t>
  </si>
  <si>
    <t>DAY RATE CONTRACT</t>
  </si>
  <si>
    <t xml:space="preserve">LUMP SUM CONTRACT </t>
  </si>
  <si>
    <t>Total</t>
  </si>
  <si>
    <t xml:space="preserve">Grand Total Payable </t>
  </si>
  <si>
    <t>DORMAN LONG ENGINEERING LIMITED</t>
  </si>
  <si>
    <t>GROUP LIFE INSURANCE</t>
  </si>
  <si>
    <t>STAFF</t>
  </si>
  <si>
    <t>S/n</t>
  </si>
  <si>
    <t>Emp. Code</t>
  </si>
  <si>
    <t>Surname</t>
  </si>
  <si>
    <t>First Name</t>
  </si>
  <si>
    <t>Job Title Long Description</t>
  </si>
  <si>
    <t xml:space="preserve">DOB </t>
  </si>
  <si>
    <t>Status</t>
  </si>
  <si>
    <t>Date of Entry/Exit</t>
  </si>
  <si>
    <t>Basic Salary</t>
  </si>
  <si>
    <t>Housing Allowance</t>
  </si>
  <si>
    <t>Transport Allowance</t>
  </si>
  <si>
    <t>Total Monthly Salary</t>
  </si>
  <si>
    <t>Location (HA)</t>
  </si>
  <si>
    <t>Annual Emolument</t>
  </si>
  <si>
    <t>Sum Assured</t>
  </si>
  <si>
    <t>Permenent Disability</t>
  </si>
  <si>
    <t>Burial Expenses</t>
  </si>
  <si>
    <t>Spouse Benefits</t>
  </si>
  <si>
    <t>Annual Premium</t>
  </si>
  <si>
    <t>0013</t>
  </si>
  <si>
    <t>KARONWI</t>
  </si>
  <si>
    <t>SAMUEL</t>
  </si>
  <si>
    <t>PRODUCTION SUPERVISOR</t>
  </si>
  <si>
    <t>AGEGE - AGEGE</t>
  </si>
  <si>
    <t>0027</t>
  </si>
  <si>
    <t>NWACHUKWU</t>
  </si>
  <si>
    <t>AMAUKWU</t>
  </si>
  <si>
    <t>MECHANICAL TECHNICIAN</t>
  </si>
  <si>
    <t>0033</t>
  </si>
  <si>
    <t>SHONDE</t>
  </si>
  <si>
    <t>FATAI</t>
  </si>
  <si>
    <t>SMAW WELDER</t>
  </si>
  <si>
    <t>IDI - IDI_ORO</t>
  </si>
  <si>
    <t>0040</t>
  </si>
  <si>
    <t>SOKAN</t>
  </si>
  <si>
    <t>SEGUN</t>
  </si>
  <si>
    <t>CRANE OPERATOR &amp; RIGGER</t>
  </si>
  <si>
    <t>0043</t>
  </si>
  <si>
    <t>OSENI</t>
  </si>
  <si>
    <t>MUSEDIQ</t>
  </si>
  <si>
    <t xml:space="preserve">STORE OFFICER </t>
  </si>
  <si>
    <t>0044</t>
  </si>
  <si>
    <t>OGUDU</t>
  </si>
  <si>
    <t>OGONNAYA</t>
  </si>
  <si>
    <t>ROLLING SUPERVISOR</t>
  </si>
  <si>
    <t>0045</t>
  </si>
  <si>
    <t>OLOKO</t>
  </si>
  <si>
    <t>KOLAWOLE</t>
  </si>
  <si>
    <t>RIGGING SUPERVISOR</t>
  </si>
  <si>
    <t>0050</t>
  </si>
  <si>
    <t>OWOLABI</t>
  </si>
  <si>
    <t>AKEEB</t>
  </si>
  <si>
    <t>SMAW &amp; GTAW WELDER</t>
  </si>
  <si>
    <t>0051</t>
  </si>
  <si>
    <t>KALU</t>
  </si>
  <si>
    <t>NKECHI</t>
  </si>
  <si>
    <t>PROPOSAL ENGINEER</t>
  </si>
  <si>
    <t>0059</t>
  </si>
  <si>
    <t>AJIERE</t>
  </si>
  <si>
    <t>AGNES</t>
  </si>
  <si>
    <t>EXPEDITOR/LOGISTICS OFFICER</t>
  </si>
  <si>
    <t>0060</t>
  </si>
  <si>
    <t>BENSON</t>
  </si>
  <si>
    <t>ROSEMARY</t>
  </si>
  <si>
    <t>EA. TO MD/CEO</t>
  </si>
  <si>
    <t>0061</t>
  </si>
  <si>
    <t>TIVKAA</t>
  </si>
  <si>
    <t>JAMES</t>
  </si>
  <si>
    <t>STORE OFFICER</t>
  </si>
  <si>
    <t>0072</t>
  </si>
  <si>
    <t>AKANDE</t>
  </si>
  <si>
    <t>OWOLOJA</t>
  </si>
  <si>
    <t>SUB ARC WELDER SUPERVISOR</t>
  </si>
  <si>
    <t>0076</t>
  </si>
  <si>
    <t>OBUZOR</t>
  </si>
  <si>
    <t>NATHANIEL</t>
  </si>
  <si>
    <t>NDT TECHNICIAN</t>
  </si>
  <si>
    <t>0080</t>
  </si>
  <si>
    <t>OKORIE</t>
  </si>
  <si>
    <t>MBA</t>
  </si>
  <si>
    <t>ELECTRICIAN ERVISOR</t>
  </si>
  <si>
    <t>0092</t>
  </si>
  <si>
    <t>AREMU</t>
  </si>
  <si>
    <t>PHILIP</t>
  </si>
  <si>
    <t>LEAD ESTIMATOR/QS</t>
  </si>
  <si>
    <t>0146</t>
  </si>
  <si>
    <t>OGBAISI</t>
  </si>
  <si>
    <t>CHRISTIAN</t>
  </si>
  <si>
    <t>AG. IT MANAGER</t>
  </si>
  <si>
    <t>0181</t>
  </si>
  <si>
    <t>AGHANYA</t>
  </si>
  <si>
    <t>NNAMDI</t>
  </si>
  <si>
    <t>IT. OFFICER</t>
  </si>
  <si>
    <t>0182</t>
  </si>
  <si>
    <t>ERUOTOR</t>
  </si>
  <si>
    <t>CHRISTOPHER</t>
  </si>
  <si>
    <t>HSE OFFICER</t>
  </si>
  <si>
    <t>0185</t>
  </si>
  <si>
    <t>NNUKWU</t>
  </si>
  <si>
    <t>IFEYINWA</t>
  </si>
  <si>
    <t>PROJECT DOC. CONTROLLER</t>
  </si>
  <si>
    <t>0194</t>
  </si>
  <si>
    <t>OHAMEZE</t>
  </si>
  <si>
    <t>FRANCIS</t>
  </si>
  <si>
    <t>HSE LEAD/NND</t>
  </si>
  <si>
    <t>0268</t>
  </si>
  <si>
    <t>NWAEFI</t>
  </si>
  <si>
    <t>IFEANYI</t>
  </si>
  <si>
    <t>QC INSPECTOR GALVANIZING</t>
  </si>
  <si>
    <t>0272</t>
  </si>
  <si>
    <t>EREMOGAMHE</t>
  </si>
  <si>
    <t>AUSTIN</t>
  </si>
  <si>
    <t>MANAGER: SECURITY &amp; COMMUNITY LIAISON</t>
  </si>
  <si>
    <t>0277</t>
  </si>
  <si>
    <t>ADEBOBOLA</t>
  </si>
  <si>
    <t>AKINSANYA</t>
  </si>
  <si>
    <t>FOREMAN KETTLE</t>
  </si>
  <si>
    <t>0279</t>
  </si>
  <si>
    <t>AINA</t>
  </si>
  <si>
    <t>OLAJUMOKE</t>
  </si>
  <si>
    <t>SENIOR NURSE</t>
  </si>
  <si>
    <t>0289</t>
  </si>
  <si>
    <t>ONUGHA</t>
  </si>
  <si>
    <t>EBELE</t>
  </si>
  <si>
    <t>COATING INSPECTOR</t>
  </si>
  <si>
    <t>0290</t>
  </si>
  <si>
    <t>ADESINA</t>
  </si>
  <si>
    <t>HAMMED</t>
  </si>
  <si>
    <t>0295</t>
  </si>
  <si>
    <t>NWORGU</t>
  </si>
  <si>
    <t>NNENNA</t>
  </si>
  <si>
    <t>FRONT DESK OFFICER</t>
  </si>
  <si>
    <t>0309</t>
  </si>
  <si>
    <t>UKPAI</t>
  </si>
  <si>
    <t>UMA</t>
  </si>
  <si>
    <t>POOL DRIVER</t>
  </si>
  <si>
    <t>0315</t>
  </si>
  <si>
    <t>ONYEKA</t>
  </si>
  <si>
    <t>EMEKA</t>
  </si>
  <si>
    <t>PROJECT ENGINEER</t>
  </si>
  <si>
    <t>PHC</t>
  </si>
  <si>
    <t>0316</t>
  </si>
  <si>
    <t>NDUKWE</t>
  </si>
  <si>
    <t>CHUKWUMA</t>
  </si>
  <si>
    <t>0318</t>
  </si>
  <si>
    <t>RAHEEM</t>
  </si>
  <si>
    <t>ORIYOMI</t>
  </si>
  <si>
    <t>PRODUCTION TECHNICIAN</t>
  </si>
  <si>
    <t>0320</t>
  </si>
  <si>
    <t>DAWODU</t>
  </si>
  <si>
    <t>ADEDIRAN</t>
  </si>
  <si>
    <t>FOREMAN FINISHING</t>
  </si>
  <si>
    <t>0321</t>
  </si>
  <si>
    <t>SUNDAY</t>
  </si>
  <si>
    <t>TAIWO</t>
  </si>
  <si>
    <t>SKIMMER DIPPER</t>
  </si>
  <si>
    <t>0330</t>
  </si>
  <si>
    <t>OYELEYE</t>
  </si>
  <si>
    <t>OLUKUNLE</t>
  </si>
  <si>
    <t>0334</t>
  </si>
  <si>
    <t>ABIA</t>
  </si>
  <si>
    <t>UDEME</t>
  </si>
  <si>
    <t>LEGAL MANAGER</t>
  </si>
  <si>
    <t>0364</t>
  </si>
  <si>
    <t>MGBEOJI</t>
  </si>
  <si>
    <t>NKEIRU</t>
  </si>
  <si>
    <t>GM CORP. OFFICE/HEAD:LEGAL</t>
  </si>
  <si>
    <t>0366</t>
  </si>
  <si>
    <t>OJO</t>
  </si>
  <si>
    <t>SULIAMON</t>
  </si>
  <si>
    <t>DISPATCH RIDER</t>
  </si>
  <si>
    <t>OCHIGBO</t>
  </si>
  <si>
    <t>JOHN</t>
  </si>
  <si>
    <t>AUDU</t>
  </si>
  <si>
    <t>IBRAHIM</t>
  </si>
  <si>
    <t>0380</t>
  </si>
  <si>
    <t>AMANZE</t>
  </si>
  <si>
    <t>LEONARD</t>
  </si>
  <si>
    <t>SALES ENGINEER</t>
  </si>
  <si>
    <t>0384</t>
  </si>
  <si>
    <t>OKEREKE</t>
  </si>
  <si>
    <t>MICHAEL</t>
  </si>
  <si>
    <t>0385</t>
  </si>
  <si>
    <t>EMESIANA</t>
  </si>
  <si>
    <t>IFEANYICHUKWU</t>
  </si>
  <si>
    <t>ASST. ACCOUNTANT</t>
  </si>
  <si>
    <t>0387</t>
  </si>
  <si>
    <t>AGBOOLA</t>
  </si>
  <si>
    <t>OMOTOLANI</t>
  </si>
  <si>
    <t>0388</t>
  </si>
  <si>
    <t>ADENUGA</t>
  </si>
  <si>
    <t>AYODEJI</t>
  </si>
  <si>
    <t xml:space="preserve">SALES AND MARKETING MANAGER </t>
  </si>
  <si>
    <t>0392</t>
  </si>
  <si>
    <t>UMUKORO</t>
  </si>
  <si>
    <t>JUDE</t>
  </si>
  <si>
    <t>HSE MGR</t>
  </si>
  <si>
    <t>DESIGN ENGINEER</t>
  </si>
  <si>
    <t>0399</t>
  </si>
  <si>
    <t>BEKESOR</t>
  </si>
  <si>
    <t>SILAS</t>
  </si>
  <si>
    <t>0425</t>
  </si>
  <si>
    <t>OGUNS</t>
  </si>
  <si>
    <t>VANESSA</t>
  </si>
  <si>
    <t>LEAD DESIGN ENGINEER</t>
  </si>
  <si>
    <t>AHMED</t>
  </si>
  <si>
    <t>0429</t>
  </si>
  <si>
    <t>IYANDA</t>
  </si>
  <si>
    <t>RAPHAEL</t>
  </si>
  <si>
    <t>SNR. ACCOUNTANT - RECEIVABLE</t>
  </si>
  <si>
    <t>0413</t>
  </si>
  <si>
    <t>IJELI</t>
  </si>
  <si>
    <t>CHRIS</t>
  </si>
  <si>
    <t>MANAGING DIRECTOR</t>
  </si>
  <si>
    <t>0433</t>
  </si>
  <si>
    <t>ADELOWO</t>
  </si>
  <si>
    <t>SAMSON</t>
  </si>
  <si>
    <t>PROJECT COST CONTROLLER</t>
  </si>
  <si>
    <t>0436</t>
  </si>
  <si>
    <t>OKEWU</t>
  </si>
  <si>
    <t>MAINTENANCE MANAGER</t>
  </si>
  <si>
    <t>0438</t>
  </si>
  <si>
    <t>EVBUOWMAN</t>
  </si>
  <si>
    <t>BUSINESS ANALYST</t>
  </si>
  <si>
    <t>0443</t>
  </si>
  <si>
    <t>ALEX</t>
  </si>
  <si>
    <t>OSIREGBEMHE</t>
  </si>
  <si>
    <t>ENVIRON. SOCIAL &amp; GOV.OFFICER</t>
  </si>
  <si>
    <t>0445</t>
  </si>
  <si>
    <t>EZEMA</t>
  </si>
  <si>
    <t>KELECHI</t>
  </si>
  <si>
    <t>PLANNING ENGINEER</t>
  </si>
  <si>
    <t>0447</t>
  </si>
  <si>
    <t>ETOKAKPAN</t>
  </si>
  <si>
    <t>MFONOBONG</t>
  </si>
  <si>
    <t>CORPORATE COMMUNICATION OFFICE</t>
  </si>
  <si>
    <t>0442</t>
  </si>
  <si>
    <t>ODULATE</t>
  </si>
  <si>
    <t>TEMITOPE</t>
  </si>
  <si>
    <t>GENERAL MANAGER OPERATION</t>
  </si>
  <si>
    <t>0448</t>
  </si>
  <si>
    <t>IHUARULAM</t>
  </si>
  <si>
    <t>CHARLES</t>
  </si>
  <si>
    <t>JUNIOR BUYER</t>
  </si>
  <si>
    <t>0449</t>
  </si>
  <si>
    <t>OKE</t>
  </si>
  <si>
    <t>OLABODE</t>
  </si>
  <si>
    <t xml:space="preserve">SENIOR PROJECT MANAGER </t>
  </si>
  <si>
    <t>0450</t>
  </si>
  <si>
    <t>ALABI</t>
  </si>
  <si>
    <t>OLAMILEKAN</t>
  </si>
  <si>
    <t>STORES MANAGER</t>
  </si>
  <si>
    <t>0452</t>
  </si>
  <si>
    <t>EHINMOWO</t>
  </si>
  <si>
    <t>MAXON</t>
  </si>
  <si>
    <t>TECHNICAL ASSISTANT</t>
  </si>
  <si>
    <t>0453</t>
  </si>
  <si>
    <t>EREAMA</t>
  </si>
  <si>
    <t>0454</t>
  </si>
  <si>
    <t>OLUWAFEMI</t>
  </si>
  <si>
    <t>ISHOLA</t>
  </si>
  <si>
    <t>0455</t>
  </si>
  <si>
    <t xml:space="preserve">IDRIS </t>
  </si>
  <si>
    <t>ABUBAKAR</t>
  </si>
  <si>
    <t>SNR PROJECT MANAGER</t>
  </si>
  <si>
    <t>0457</t>
  </si>
  <si>
    <t>AUSTEN-PETERS</t>
  </si>
  <si>
    <t>OLUWATAMILAYO</t>
  </si>
  <si>
    <t>MANAGER, SPECIAL PROJECTS</t>
  </si>
  <si>
    <t>0458</t>
  </si>
  <si>
    <t>MAMORA</t>
  </si>
  <si>
    <t>ABIODUN</t>
  </si>
  <si>
    <t>CHIEF FINANCIAL OFFICER</t>
  </si>
  <si>
    <t>New Entry</t>
  </si>
  <si>
    <t>0460</t>
  </si>
  <si>
    <t>ADEBAYO</t>
  </si>
  <si>
    <t>LEAD STRUCTURAL ENGINEER</t>
  </si>
  <si>
    <t xml:space="preserve">                              DORMAN LONG ENGINEERING LIMITED</t>
  </si>
  <si>
    <t xml:space="preserve">                   GROUP LIFE</t>
  </si>
  <si>
    <t xml:space="preserve">                   2024/2025</t>
  </si>
  <si>
    <t xml:space="preserve">               CONTRACT STAFF</t>
  </si>
  <si>
    <t>Last Name</t>
  </si>
  <si>
    <t>Job Title</t>
  </si>
  <si>
    <t>Day Rate</t>
  </si>
  <si>
    <t>22 Work day in a month</t>
  </si>
  <si>
    <t>Location</t>
  </si>
  <si>
    <t>Annual Salary</t>
  </si>
  <si>
    <t>Permanent Disability</t>
  </si>
  <si>
    <t>Premium</t>
  </si>
  <si>
    <t>MOSHOOD</t>
  </si>
  <si>
    <t>BELLO</t>
  </si>
  <si>
    <t>6G WELDER</t>
  </si>
  <si>
    <t>AGWU</t>
  </si>
  <si>
    <t>GRINDER/PWHT ASSISTANT</t>
  </si>
  <si>
    <t>AKINLOYE</t>
  </si>
  <si>
    <t>AKINGBADE</t>
  </si>
  <si>
    <t>CONSUMABLE CONTROL</t>
  </si>
  <si>
    <t>OLAKUNLE</t>
  </si>
  <si>
    <t>OLANIYAN</t>
  </si>
  <si>
    <t>ELECTRICIAN</t>
  </si>
  <si>
    <t>EMMANUEL</t>
  </si>
  <si>
    <t>DICKSON</t>
  </si>
  <si>
    <t>CRANE/RIGGER  SUPERVISOR</t>
  </si>
  <si>
    <t>EUGENE</t>
  </si>
  <si>
    <t>EKEH</t>
  </si>
  <si>
    <t>FITTER SUPERVISOR</t>
  </si>
  <si>
    <t>FEMI</t>
  </si>
  <si>
    <t>SCAFFOLDER  SUPERVISOR</t>
  </si>
  <si>
    <t>JULIUS</t>
  </si>
  <si>
    <t>AWOYEMI</t>
  </si>
  <si>
    <t>STEPHEN</t>
  </si>
  <si>
    <t>ETUERI</t>
  </si>
  <si>
    <t>MACHINE SHOP SUPRITENDENT</t>
  </si>
  <si>
    <t>JIMOH</t>
  </si>
  <si>
    <t>GBADAMOSI</t>
  </si>
  <si>
    <t>BLASTER&amp; PAINTER SUPERVISOR</t>
  </si>
  <si>
    <t>DONATUS</t>
  </si>
  <si>
    <t>EJEH</t>
  </si>
  <si>
    <t>RIGGER</t>
  </si>
  <si>
    <t>VINCENT</t>
  </si>
  <si>
    <t>OGHENERIE</t>
  </si>
  <si>
    <t>FITTER 1</t>
  </si>
  <si>
    <t>DUROJAYE</t>
  </si>
  <si>
    <t>ADEDOYIN</t>
  </si>
  <si>
    <t>MECHANIC</t>
  </si>
  <si>
    <t>OGWUA</t>
  </si>
  <si>
    <t>FITTER 2</t>
  </si>
  <si>
    <t>ADEWALE</t>
  </si>
  <si>
    <t>ADEKOYA</t>
  </si>
  <si>
    <t>6GR (SMAW &amp; GTAW)</t>
  </si>
  <si>
    <t>SHEHU</t>
  </si>
  <si>
    <t>MOMOH</t>
  </si>
  <si>
    <t>WELDING SUPERVISOR</t>
  </si>
  <si>
    <t>DANIEL</t>
  </si>
  <si>
    <t>NWODO</t>
  </si>
  <si>
    <t>WELDER</t>
  </si>
  <si>
    <t>SHITTU</t>
  </si>
  <si>
    <t>OLAWALE</t>
  </si>
  <si>
    <t>OZAH</t>
  </si>
  <si>
    <t>FITTER FOREMAN</t>
  </si>
  <si>
    <t>SEBIOTIMO</t>
  </si>
  <si>
    <t>HENRY</t>
  </si>
  <si>
    <t>EDOMOH</t>
  </si>
  <si>
    <t>GRINDER</t>
  </si>
  <si>
    <t>OKEKE</t>
  </si>
  <si>
    <t>CHIJOKE</t>
  </si>
  <si>
    <t>OKAFOR</t>
  </si>
  <si>
    <t>ECHERUO</t>
  </si>
  <si>
    <t>FITTER</t>
  </si>
  <si>
    <t>CHUKWUDUMEBI</t>
  </si>
  <si>
    <t>OJIKA</t>
  </si>
  <si>
    <t>MICAH</t>
  </si>
  <si>
    <t>FRED</t>
  </si>
  <si>
    <t>MATTHEW</t>
  </si>
  <si>
    <t>ROTIMI</t>
  </si>
  <si>
    <t>ADANOU</t>
  </si>
  <si>
    <t>RAYMOND</t>
  </si>
  <si>
    <t>MOHAMMED</t>
  </si>
  <si>
    <t>UFFANG</t>
  </si>
  <si>
    <t>JEROME</t>
  </si>
  <si>
    <t>ADIGUN</t>
  </si>
  <si>
    <t>ALPHONSUS</t>
  </si>
  <si>
    <t>MOMODU</t>
  </si>
  <si>
    <t>BASHRU</t>
  </si>
  <si>
    <t>KENNEDY</t>
  </si>
  <si>
    <t>EBUNO</t>
  </si>
  <si>
    <t>SMAW&amp;GTAW (CS) WELDER</t>
  </si>
  <si>
    <t>JONAH</t>
  </si>
  <si>
    <t>MONDAY</t>
  </si>
  <si>
    <t>MBOCHI</t>
  </si>
  <si>
    <t>SAVIOUR</t>
  </si>
  <si>
    <t>ITORO</t>
  </si>
  <si>
    <t>STANLEY</t>
  </si>
  <si>
    <t>NWABUEZE</t>
  </si>
  <si>
    <t>ISMAIL</t>
  </si>
  <si>
    <t>OKORO</t>
  </si>
  <si>
    <t>ADAOWO</t>
  </si>
  <si>
    <t>WELDER MATE</t>
  </si>
  <si>
    <t>FRIDAY</t>
  </si>
  <si>
    <t>ISINGUZO</t>
  </si>
  <si>
    <t>SUCCESS</t>
  </si>
  <si>
    <t>MATE</t>
  </si>
  <si>
    <t>LINUS</t>
  </si>
  <si>
    <t>ODUMA</t>
  </si>
  <si>
    <t>YAYA</t>
  </si>
  <si>
    <t>BURNER</t>
  </si>
  <si>
    <t>JOSEPH</t>
  </si>
  <si>
    <t>IGBA</t>
  </si>
  <si>
    <t>OLATUNJI</t>
  </si>
  <si>
    <t>YEKINI</t>
  </si>
  <si>
    <t>1G SAW WELDER</t>
  </si>
  <si>
    <t>ISMAILA</t>
  </si>
  <si>
    <t>OGUNYEMI</t>
  </si>
  <si>
    <t>SMAW 6G WELDER</t>
  </si>
  <si>
    <t>OGBONNA</t>
  </si>
  <si>
    <t>AZEEZ</t>
  </si>
  <si>
    <t>LATEEF</t>
  </si>
  <si>
    <t>BLASTER/PAINTER</t>
  </si>
  <si>
    <t>AFEES</t>
  </si>
  <si>
    <t>ANIMASHUN</t>
  </si>
  <si>
    <t>EZEKIEL</t>
  </si>
  <si>
    <t>TAJUDEEN</t>
  </si>
  <si>
    <t>ADESEYE</t>
  </si>
  <si>
    <t>SYLVANUS</t>
  </si>
  <si>
    <t>ONYEKWELU</t>
  </si>
  <si>
    <t>ABRAHAM</t>
  </si>
  <si>
    <t>ONYEMERI</t>
  </si>
  <si>
    <t>KUFREOBONG</t>
  </si>
  <si>
    <t>AKPAN</t>
  </si>
  <si>
    <t>ADEMOLA</t>
  </si>
  <si>
    <t>ADESUGBA</t>
  </si>
  <si>
    <t>SARAFA</t>
  </si>
  <si>
    <t>OPARINDE</t>
  </si>
  <si>
    <t>SCAFFOLDER</t>
  </si>
  <si>
    <t>SHOLA</t>
  </si>
  <si>
    <t>OGUNBANWO</t>
  </si>
  <si>
    <t>TOYIN</t>
  </si>
  <si>
    <t>AKINNIFESI</t>
  </si>
  <si>
    <t>DRILLER</t>
  </si>
  <si>
    <t>SAMPSON</t>
  </si>
  <si>
    <t>YUSUF</t>
  </si>
  <si>
    <t>WAHABI</t>
  </si>
  <si>
    <t>WASIU</t>
  </si>
  <si>
    <t>BUSARI</t>
  </si>
  <si>
    <t>PAINTER</t>
  </si>
  <si>
    <t>EBEYE</t>
  </si>
  <si>
    <t>JERRY OBI</t>
  </si>
  <si>
    <t>NJOKU</t>
  </si>
  <si>
    <t>KAREEM</t>
  </si>
  <si>
    <t>USMAN</t>
  </si>
  <si>
    <t>CHIBUEZE</t>
  </si>
  <si>
    <t>NWOSU</t>
  </si>
  <si>
    <t>OZOMAH</t>
  </si>
  <si>
    <t>SMAW &amp; FCAW (CS) WELDER</t>
  </si>
  <si>
    <t>AJAYI</t>
  </si>
  <si>
    <t>OSONDU</t>
  </si>
  <si>
    <t>DAVID</t>
  </si>
  <si>
    <t>IDIKA</t>
  </si>
  <si>
    <t>ORJI</t>
  </si>
  <si>
    <t>OBASI</t>
  </si>
  <si>
    <t>OBADOBA</t>
  </si>
  <si>
    <t>CHUKS</t>
  </si>
  <si>
    <t>MAHMUD</t>
  </si>
  <si>
    <t>SALIU</t>
  </si>
  <si>
    <t>SMAW&amp;GTAW 6GR</t>
  </si>
  <si>
    <t>TAOREED</t>
  </si>
  <si>
    <t>SHODIYA</t>
  </si>
  <si>
    <t>ACHEM</t>
  </si>
  <si>
    <t>OGWUCHE</t>
  </si>
  <si>
    <t>NWADISHI</t>
  </si>
  <si>
    <t>STEVE</t>
  </si>
  <si>
    <t>EREGARE</t>
  </si>
  <si>
    <t>TAOHEED</t>
  </si>
  <si>
    <t>MUDASHIRU</t>
  </si>
  <si>
    <t>THOMPSON</t>
  </si>
  <si>
    <t>NKANU</t>
  </si>
  <si>
    <t>EBONG</t>
  </si>
  <si>
    <t>BENARD</t>
  </si>
  <si>
    <t>ABAH</t>
  </si>
  <si>
    <t>COKER</t>
  </si>
  <si>
    <t>OLAITAN</t>
  </si>
  <si>
    <t>FAMOUS</t>
  </si>
  <si>
    <t>OJADA</t>
  </si>
  <si>
    <t>IKECHUKWU</t>
  </si>
  <si>
    <t>ONWUFOR</t>
  </si>
  <si>
    <t>LEAD PLANNER</t>
  </si>
  <si>
    <t>ANDREW</t>
  </si>
  <si>
    <t>OSINEKE</t>
  </si>
  <si>
    <t>ATOYEBI</t>
  </si>
  <si>
    <t>AIGBEVBOILE</t>
  </si>
  <si>
    <t>SOLOMON</t>
  </si>
  <si>
    <t>BANKOLE</t>
  </si>
  <si>
    <t>ISAAC</t>
  </si>
  <si>
    <t>FITTER MATE</t>
  </si>
  <si>
    <t>IDOWU</t>
  </si>
  <si>
    <t>TANIMOLA</t>
  </si>
  <si>
    <t>EDEMO</t>
  </si>
  <si>
    <t>GREG</t>
  </si>
  <si>
    <t>OBILIKWU</t>
  </si>
  <si>
    <t>FOLORUNSHO</t>
  </si>
  <si>
    <t>OLAYEMI</t>
  </si>
  <si>
    <t>OLUBOLA</t>
  </si>
  <si>
    <t>MICHEAL</t>
  </si>
  <si>
    <t>ONOJA</t>
  </si>
  <si>
    <t>KETTLE</t>
  </si>
  <si>
    <t>OVAT</t>
  </si>
  <si>
    <t>QC ASSISTANCE</t>
  </si>
  <si>
    <t>PETER</t>
  </si>
  <si>
    <t>JAMIU</t>
  </si>
  <si>
    <t>RASAK</t>
  </si>
  <si>
    <t>OMOGBOLAHAN</t>
  </si>
  <si>
    <t>BLESSING</t>
  </si>
  <si>
    <t>ROBERT</t>
  </si>
  <si>
    <t>RUFAI</t>
  </si>
  <si>
    <t>ESSIEN</t>
  </si>
  <si>
    <t>CNC OPERATOR</t>
  </si>
  <si>
    <t>OKECHUKWU</t>
  </si>
  <si>
    <t>AJUMUKA</t>
  </si>
  <si>
    <t>NTIEDO</t>
  </si>
  <si>
    <t>EKWERE</t>
  </si>
  <si>
    <t>KABIRU</t>
  </si>
  <si>
    <t>ADEYEMI</t>
  </si>
  <si>
    <t>KENNETH</t>
  </si>
  <si>
    <t>NNAEMEKA</t>
  </si>
  <si>
    <t>AMOS</t>
  </si>
  <si>
    <t>OKORIAGOGO</t>
  </si>
  <si>
    <t>OGUNBAJO</t>
  </si>
  <si>
    <t>EMEH</t>
  </si>
  <si>
    <t>RAPHEAL</t>
  </si>
  <si>
    <t>BENJAMIN</t>
  </si>
  <si>
    <t>IZUCHUKWU</t>
  </si>
  <si>
    <t>EZE</t>
  </si>
  <si>
    <t>WILLIAMS</t>
  </si>
  <si>
    <t>HELPER</t>
  </si>
  <si>
    <t>ODIDI</t>
  </si>
  <si>
    <t>ABEL</t>
  </si>
  <si>
    <t>UGBEKILE</t>
  </si>
  <si>
    <t>KAMORUDEEN</t>
  </si>
  <si>
    <t>YUNUS</t>
  </si>
  <si>
    <t>ANTHONY</t>
  </si>
  <si>
    <t>EZEAGU</t>
  </si>
  <si>
    <t>CHUKWUEMEKA</t>
  </si>
  <si>
    <t>KEMELE</t>
  </si>
  <si>
    <t>AGBATA</t>
  </si>
  <si>
    <t>IDRIS</t>
  </si>
  <si>
    <t>ADESOLA</t>
  </si>
  <si>
    <t>VICTOR NJU JIMA</t>
  </si>
  <si>
    <t>MBANGEI</t>
  </si>
  <si>
    <t>ERECTOR/FITTER</t>
  </si>
  <si>
    <t>IWUAGWU</t>
  </si>
  <si>
    <t>KELVIN</t>
  </si>
  <si>
    <t>PRINCEWILL</t>
  </si>
  <si>
    <t>NKWOCHA</t>
  </si>
  <si>
    <t>LOVEDAY</t>
  </si>
  <si>
    <t>AMADI</t>
  </si>
  <si>
    <t>INSULATOR</t>
  </si>
  <si>
    <t>STEPHEN FINEFACE</t>
  </si>
  <si>
    <t>EDU</t>
  </si>
  <si>
    <t>ELIJAH</t>
  </si>
  <si>
    <t>PHILIP JOSEPH</t>
  </si>
  <si>
    <t>OLAI</t>
  </si>
  <si>
    <t>SAHEED</t>
  </si>
  <si>
    <t>OLOWU</t>
  </si>
  <si>
    <t>OLADIPUPO</t>
  </si>
  <si>
    <t>AKANLE</t>
  </si>
  <si>
    <t>OGBUM</t>
  </si>
  <si>
    <t>3G WELDER</t>
  </si>
  <si>
    <t>UDECHUKWU</t>
  </si>
  <si>
    <t>ADESOJI</t>
  </si>
  <si>
    <t>ADEYEYE</t>
  </si>
  <si>
    <t>TIMOTHY</t>
  </si>
  <si>
    <t>HYDROTEST TECHNICIAN</t>
  </si>
  <si>
    <t>IGWE</t>
  </si>
  <si>
    <t>CLETUS</t>
  </si>
  <si>
    <t>OLUYEMI</t>
  </si>
  <si>
    <t>ABE</t>
  </si>
  <si>
    <t>ELEGBEDE</t>
  </si>
  <si>
    <t>ADEKUNLE</t>
  </si>
  <si>
    <t>OGUNBEKUN</t>
  </si>
  <si>
    <t>ADIE</t>
  </si>
  <si>
    <t>KOLADE</t>
  </si>
  <si>
    <t>MUSBAU</t>
  </si>
  <si>
    <t>AKINDELE</t>
  </si>
  <si>
    <t>AKOR</t>
  </si>
  <si>
    <t>ALFRED</t>
  </si>
  <si>
    <t>ALIYU</t>
  </si>
  <si>
    <t>MATHEW</t>
  </si>
  <si>
    <t>AMEH</t>
  </si>
  <si>
    <t>OKOKON</t>
  </si>
  <si>
    <t>ANEM</t>
  </si>
  <si>
    <t>LAWRENCE</t>
  </si>
  <si>
    <t>SKIMMER TECHNICIAN</t>
  </si>
  <si>
    <t>MOSES</t>
  </si>
  <si>
    <t>AOR</t>
  </si>
  <si>
    <t>AFENIFORO</t>
  </si>
  <si>
    <t>AYODELE</t>
  </si>
  <si>
    <t>BANDSAW OPT</t>
  </si>
  <si>
    <t>OBINNA</t>
  </si>
  <si>
    <t>OYANA</t>
  </si>
  <si>
    <t>FACTORY CLEANER</t>
  </si>
  <si>
    <t>AKHIREBHU</t>
  </si>
  <si>
    <t>OKPE</t>
  </si>
  <si>
    <t>UDEH</t>
  </si>
  <si>
    <t>SIMON</t>
  </si>
  <si>
    <t>ICHUKWU</t>
  </si>
  <si>
    <t>IGE</t>
  </si>
  <si>
    <t>IBE</t>
  </si>
  <si>
    <t>IKENNA</t>
  </si>
  <si>
    <t>IME</t>
  </si>
  <si>
    <t>UMOSEN</t>
  </si>
  <si>
    <t>IMOH</t>
  </si>
  <si>
    <t>OGAH</t>
  </si>
  <si>
    <t>IMONI</t>
  </si>
  <si>
    <t>OSAI</t>
  </si>
  <si>
    <t>ISREAL</t>
  </si>
  <si>
    <t>AKPO</t>
  </si>
  <si>
    <t>JACOB</t>
  </si>
  <si>
    <t>NASIRU</t>
  </si>
  <si>
    <t>JANET</t>
  </si>
  <si>
    <t>NNACHI</t>
  </si>
  <si>
    <t>LAWAL</t>
  </si>
  <si>
    <t>TANKO</t>
  </si>
  <si>
    <t>MAGAJI</t>
  </si>
  <si>
    <t>GAMBO</t>
  </si>
  <si>
    <t>ENOGELA</t>
  </si>
  <si>
    <t>BAKARE</t>
  </si>
  <si>
    <t>OLAOLU</t>
  </si>
  <si>
    <t>ODUFUWA</t>
  </si>
  <si>
    <t>OFFISHE</t>
  </si>
  <si>
    <t>OGBOLE</t>
  </si>
  <si>
    <t>OGOHCHUKWU</t>
  </si>
  <si>
    <t>OJOAWO</t>
  </si>
  <si>
    <t>OMOREHGE</t>
  </si>
  <si>
    <t>OLUWATOSIN</t>
  </si>
  <si>
    <t>ONIGBINDE</t>
  </si>
  <si>
    <t>CHINEMERE</t>
  </si>
  <si>
    <t>ONWUNTA</t>
  </si>
  <si>
    <t>OLAYIWOLA</t>
  </si>
  <si>
    <t>KAZEEM</t>
  </si>
  <si>
    <t>OYEWOLE</t>
  </si>
  <si>
    <t>IMAH</t>
  </si>
  <si>
    <t>PATRICK</t>
  </si>
  <si>
    <t>ABLE</t>
  </si>
  <si>
    <t>ROMANUS</t>
  </si>
  <si>
    <t>SIMIRE</t>
  </si>
  <si>
    <t>UDOH</t>
  </si>
  <si>
    <t>AMAGBO</t>
  </si>
  <si>
    <t>UDOKO</t>
  </si>
  <si>
    <t>ADESANMI</t>
  </si>
  <si>
    <t>ADEBISI</t>
  </si>
  <si>
    <t>ISIKA</t>
  </si>
  <si>
    <t>AMUSA</t>
  </si>
  <si>
    <t>AFOLABI</t>
  </si>
  <si>
    <t>KEHINDE</t>
  </si>
  <si>
    <t>AZIEKWE</t>
  </si>
  <si>
    <t>EBERE</t>
  </si>
  <si>
    <t>ORANWA</t>
  </si>
  <si>
    <t>RIGGER AND CRANE OPERATOR</t>
  </si>
  <si>
    <t>UCHE</t>
  </si>
  <si>
    <t>ADAH</t>
  </si>
  <si>
    <t>ONAJI</t>
  </si>
  <si>
    <t>ADUCHIE</t>
  </si>
  <si>
    <t>CECILIA</t>
  </si>
  <si>
    <t>HART</t>
  </si>
  <si>
    <t>ADEOTI</t>
  </si>
  <si>
    <t>KINGSLEY</t>
  </si>
  <si>
    <t>SMART</t>
  </si>
  <si>
    <t>BONIFACE</t>
  </si>
  <si>
    <t>YAHAYA</t>
  </si>
  <si>
    <t>HAMZA</t>
  </si>
  <si>
    <t>CHINEDU</t>
  </si>
  <si>
    <t>IBEACHU</t>
  </si>
  <si>
    <t>EDET</t>
  </si>
  <si>
    <t>NND - NIGERIAN  NAVAL DOCKYARD</t>
  </si>
  <si>
    <t>EJAIRU</t>
  </si>
  <si>
    <t>MATHIAS</t>
  </si>
  <si>
    <t>EKPELE</t>
  </si>
  <si>
    <t>EZEBIRO</t>
  </si>
  <si>
    <t>ERANDU</t>
  </si>
  <si>
    <t>EZENWA</t>
  </si>
  <si>
    <t>CHIBUZOR</t>
  </si>
  <si>
    <t>OKERE</t>
  </si>
  <si>
    <t>FESTUS</t>
  </si>
  <si>
    <t>AWUA</t>
  </si>
  <si>
    <t>GABRIEL</t>
  </si>
  <si>
    <t>ADEBIYI</t>
  </si>
  <si>
    <t>GANIU</t>
  </si>
  <si>
    <t>ASEMOTA</t>
  </si>
  <si>
    <t>GLORY</t>
  </si>
  <si>
    <t>GODWIN</t>
  </si>
  <si>
    <t>GREGORY</t>
  </si>
  <si>
    <t>SHADRACH</t>
  </si>
  <si>
    <t>OBIOMA</t>
  </si>
  <si>
    <t>OVIE</t>
  </si>
  <si>
    <t>ODJOKOH</t>
  </si>
  <si>
    <t>ONYEWENU</t>
  </si>
  <si>
    <t>RIOBACHI</t>
  </si>
  <si>
    <t>MFA</t>
  </si>
  <si>
    <t>SOBULO</t>
  </si>
  <si>
    <t>UDENZI JUDE</t>
  </si>
  <si>
    <t>TEKENA</t>
  </si>
  <si>
    <t>ORUBOR</t>
  </si>
  <si>
    <t>OWUNNA</t>
  </si>
  <si>
    <t>OYABUGBE</t>
  </si>
  <si>
    <t>IRIKEFE</t>
  </si>
  <si>
    <t>ATIANBENDE</t>
  </si>
  <si>
    <t>KINGSELY</t>
  </si>
  <si>
    <t>OPARA</t>
  </si>
  <si>
    <t>FIRE WATCH MAN</t>
  </si>
  <si>
    <t>TCM - TCM</t>
  </si>
  <si>
    <t>NNADOZIE</t>
  </si>
  <si>
    <t>NELSON</t>
  </si>
  <si>
    <t>NGEI</t>
  </si>
  <si>
    <t>SAKA</t>
  </si>
  <si>
    <t>GOODNEWS</t>
  </si>
  <si>
    <t>PROMISE</t>
  </si>
  <si>
    <t>RISMUS</t>
  </si>
  <si>
    <t>EMARC</t>
  </si>
  <si>
    <t>OKI</t>
  </si>
  <si>
    <t>KOKOTU</t>
  </si>
  <si>
    <t>JENWI</t>
  </si>
  <si>
    <t>OBARIOKPA</t>
  </si>
  <si>
    <t>BELIEF</t>
  </si>
  <si>
    <t>BACKSHAW</t>
  </si>
  <si>
    <t>HELPER/FIRE WATCHMAN</t>
  </si>
  <si>
    <t>LUCKY</t>
  </si>
  <si>
    <t>DIKE</t>
  </si>
  <si>
    <t>GOOD'SWILL OKARI</t>
  </si>
  <si>
    <t>LORETTA</t>
  </si>
  <si>
    <t>EGWU</t>
  </si>
  <si>
    <t>OYOWE</t>
  </si>
  <si>
    <t>OJOBO DANIEL</t>
  </si>
  <si>
    <t>EBOYE</t>
  </si>
  <si>
    <t>DAMINABO</t>
  </si>
  <si>
    <t>EREMA</t>
  </si>
  <si>
    <t>SUNDAY WUWU</t>
  </si>
  <si>
    <t>NGOKE</t>
  </si>
  <si>
    <t>MGBERE</t>
  </si>
  <si>
    <t>OSAROKOTE</t>
  </si>
  <si>
    <t>GOMBA EPPIE</t>
  </si>
  <si>
    <t>OBARIJIMA</t>
  </si>
  <si>
    <t>ALALE</t>
  </si>
  <si>
    <t>DICKSON OLUKAWI</t>
  </si>
  <si>
    <t>BOMS</t>
  </si>
  <si>
    <t>OLUKA</t>
  </si>
  <si>
    <t>BORO</t>
  </si>
  <si>
    <t>CHRISTIAN NWAFOR</t>
  </si>
  <si>
    <t>KARTAY</t>
  </si>
  <si>
    <t>NELSON CHINDI</t>
  </si>
  <si>
    <t>OBARITE</t>
  </si>
  <si>
    <t>ALANGA</t>
  </si>
  <si>
    <t>JOSEPH BOBO</t>
  </si>
  <si>
    <t>CHU</t>
  </si>
  <si>
    <t>MECHANICAL FITTER</t>
  </si>
  <si>
    <t>EMMANUEL AMADI</t>
  </si>
  <si>
    <t>CHUJOR</t>
  </si>
  <si>
    <t>NENE OGBORU</t>
  </si>
  <si>
    <t>SUNNY</t>
  </si>
  <si>
    <t>HANSON</t>
  </si>
  <si>
    <t>ASANAM</t>
  </si>
  <si>
    <t>OSAROMKPE</t>
  </si>
  <si>
    <t>PRECIOUS</t>
  </si>
  <si>
    <t>RICHARD</t>
  </si>
  <si>
    <t>OKPOKO</t>
  </si>
  <si>
    <t>LOVEDAY ALALE</t>
  </si>
  <si>
    <t>CHINWI</t>
  </si>
  <si>
    <t>BAPAKAYE</t>
  </si>
  <si>
    <t>OSEMEDO</t>
  </si>
  <si>
    <t>NWENEKAMA</t>
  </si>
  <si>
    <t>OPUOGUALAYA</t>
  </si>
  <si>
    <t>IRON BENDER</t>
  </si>
  <si>
    <t>KALABE</t>
  </si>
  <si>
    <t>CARPENTER</t>
  </si>
  <si>
    <t>EMMANUEL GOMBA</t>
  </si>
  <si>
    <t>NWATOR</t>
  </si>
  <si>
    <t>EMEKA IBE</t>
  </si>
  <si>
    <t>AUGUSTINE</t>
  </si>
  <si>
    <t>DENNIS DANIEL</t>
  </si>
  <si>
    <t>IYOYO</t>
  </si>
  <si>
    <t>GIFT</t>
  </si>
  <si>
    <t>JACK OPERATOR'S MATE</t>
  </si>
  <si>
    <t>NWAOBILOR</t>
  </si>
  <si>
    <t>JACK OPERATOR</t>
  </si>
  <si>
    <t>TEMPLE</t>
  </si>
  <si>
    <t>CHINDA</t>
  </si>
  <si>
    <t>NNEJI</t>
  </si>
  <si>
    <t>CHIGOZIE</t>
  </si>
  <si>
    <t>BLASTER</t>
  </si>
  <si>
    <t>OKPARA</t>
  </si>
  <si>
    <t>PIUS</t>
  </si>
  <si>
    <t>TOTAL</t>
  </si>
  <si>
    <t xml:space="preserve">              DORMAN LONG ENGINEERING LIMITED</t>
  </si>
  <si>
    <t>GROUP LIFE</t>
  </si>
  <si>
    <t>2024/2025</t>
  </si>
  <si>
    <t xml:space="preserve">                         CONTRACT STAFF - 01</t>
  </si>
  <si>
    <t>Lumpsum Amount</t>
  </si>
  <si>
    <t>Department</t>
  </si>
  <si>
    <t>DARL</t>
  </si>
  <si>
    <t>OBUMA</t>
  </si>
  <si>
    <t>IT OFFICER AGEGE</t>
  </si>
  <si>
    <t>IT</t>
  </si>
  <si>
    <t>EKHORELEN</t>
  </si>
  <si>
    <t>SECURITY SUPERVISOR</t>
  </si>
  <si>
    <t>SECURITY</t>
  </si>
  <si>
    <t>DRIVER</t>
  </si>
  <si>
    <t>ADMIN - ADMINSTRATION</t>
  </si>
  <si>
    <t>OLADEHINDE</t>
  </si>
  <si>
    <t>IBIWOYE</t>
  </si>
  <si>
    <t>SITE SECURITY LEAD</t>
  </si>
  <si>
    <t>AGADA</t>
  </si>
  <si>
    <t>MATERIAL SUPERVISOR</t>
  </si>
  <si>
    <t/>
  </si>
  <si>
    <t>IDOKO</t>
  </si>
  <si>
    <t>HSE LEAD AGEGE</t>
  </si>
  <si>
    <t>HS - HEALTH AND SAFETY</t>
  </si>
  <si>
    <t>ESTHER</t>
  </si>
  <si>
    <t>OLADIPO</t>
  </si>
  <si>
    <t>NURSE</t>
  </si>
  <si>
    <t>DELE</t>
  </si>
  <si>
    <t>OMOKHUALE</t>
  </si>
  <si>
    <t>AMBULANCE DRIVER</t>
  </si>
  <si>
    <t>ONYEBUEKE</t>
  </si>
  <si>
    <t>QA/QC  INSPECTOR</t>
  </si>
  <si>
    <t>CHIDOZIE</t>
  </si>
  <si>
    <t>QA/QC INSPECTOR</t>
  </si>
  <si>
    <t>QAC - QUALITY ASSURANCE CONTROL</t>
  </si>
  <si>
    <t>OSUEKE</t>
  </si>
  <si>
    <t>NDT LEVEL 2</t>
  </si>
  <si>
    <t>NDTU - NON DESTRUCTIVE TEST UNIT</t>
  </si>
  <si>
    <t>OGUNJIDE</t>
  </si>
  <si>
    <t>PRODUCTION ENGINEER</t>
  </si>
  <si>
    <t>PROD - PRODUCTION</t>
  </si>
  <si>
    <t>AKPANTUK</t>
  </si>
  <si>
    <t>UDUAK</t>
  </si>
  <si>
    <t>ESAU</t>
  </si>
  <si>
    <t>QA/QC ENGINEER</t>
  </si>
  <si>
    <t>IDEHEN</t>
  </si>
  <si>
    <t>PROJECT - PROJECT</t>
  </si>
  <si>
    <t>AIMANOSHI</t>
  </si>
  <si>
    <t>OKPEH</t>
  </si>
  <si>
    <t>MATERIAL COORDINATOR</t>
  </si>
  <si>
    <t>FRANK</t>
  </si>
  <si>
    <t>NWANNEKA</t>
  </si>
  <si>
    <t>STORE KEEPER/MATERIAL CONT.</t>
  </si>
  <si>
    <t>ONYEMACHI</t>
  </si>
  <si>
    <t>CHARITY</t>
  </si>
  <si>
    <t>HOLAY</t>
  </si>
  <si>
    <t>CLEANER - PH</t>
  </si>
  <si>
    <t>CHIDIMMA</t>
  </si>
  <si>
    <t>Omoseebi</t>
  </si>
  <si>
    <t>PROJECT DOCUMENT CONTROLLER</t>
  </si>
  <si>
    <t>NWAUBANI</t>
  </si>
  <si>
    <t>AKONG</t>
  </si>
  <si>
    <t>OJONG</t>
  </si>
  <si>
    <t>CONSTRUCTION ENGINEER/FACILITY CORD</t>
  </si>
  <si>
    <t>OKPOK</t>
  </si>
  <si>
    <t>BABATUNDE</t>
  </si>
  <si>
    <t>SERIKI</t>
  </si>
  <si>
    <t>QA /QC INSPECTOR</t>
  </si>
  <si>
    <t>UZOCHUKWU</t>
  </si>
  <si>
    <t>ONYEJELEM</t>
  </si>
  <si>
    <t>SALAM</t>
  </si>
  <si>
    <t>PERSONAL ASST</t>
  </si>
  <si>
    <t>KELANI</t>
  </si>
  <si>
    <t>IBEAWUCHI</t>
  </si>
  <si>
    <t>OGU</t>
  </si>
  <si>
    <t>QUALITY CONTROL INSPECTOR</t>
  </si>
  <si>
    <t>WISDOM</t>
  </si>
  <si>
    <t>PEACE</t>
  </si>
  <si>
    <t>NICHOLAS</t>
  </si>
  <si>
    <t>CLEANER/COOK</t>
  </si>
  <si>
    <t>NSIKAN</t>
  </si>
  <si>
    <t>MD'S COOK/STEWARD</t>
  </si>
  <si>
    <t>FIDELIS</t>
  </si>
  <si>
    <t>INYANG</t>
  </si>
  <si>
    <t>GRADUATE QUALITY INSPECTOR</t>
  </si>
  <si>
    <t>AKINBAYODE</t>
  </si>
  <si>
    <t>CHAIRMAN'S DRIVER</t>
  </si>
  <si>
    <t>LOIS</t>
  </si>
  <si>
    <t>ONWUGHARA</t>
  </si>
  <si>
    <t>SITE NURSE</t>
  </si>
  <si>
    <t>ADAMU</t>
  </si>
  <si>
    <t>DRIVER MATE</t>
  </si>
  <si>
    <t>REUBEN</t>
  </si>
  <si>
    <t>HARRY</t>
  </si>
  <si>
    <t>ADEWUNMI</t>
  </si>
  <si>
    <t>OBUOKAM</t>
  </si>
  <si>
    <t>PLANNING - PLANNING</t>
  </si>
  <si>
    <t>IKECHI</t>
  </si>
  <si>
    <t>NWANGWA</t>
  </si>
  <si>
    <t>NKWIKIABEH</t>
  </si>
  <si>
    <t>SAMSON AMEH</t>
  </si>
  <si>
    <t>KEVIN JOEL</t>
  </si>
  <si>
    <t>BIEBUMA</t>
  </si>
  <si>
    <t>TRAINEE ENGINEER</t>
  </si>
  <si>
    <t>HUMPHREY DADA</t>
  </si>
  <si>
    <t>OBELE</t>
  </si>
  <si>
    <t>PAUL IKECHUKWU</t>
  </si>
  <si>
    <t>OSAROIGWE</t>
  </si>
  <si>
    <t>KEDEE</t>
  </si>
  <si>
    <t>IJEOMA GRACE</t>
  </si>
  <si>
    <t>QUALITY DOCUMENT CONTROLLER</t>
  </si>
  <si>
    <t>OLUFARINTRE</t>
  </si>
  <si>
    <t>TRUCK DRIVER</t>
  </si>
  <si>
    <t>SAMUEL AJADI</t>
  </si>
  <si>
    <t>ADETOYESE</t>
  </si>
  <si>
    <t>LUKMAN</t>
  </si>
  <si>
    <t>AROYEHUN</t>
  </si>
  <si>
    <t>LIASON OFFICE ASSISTANT (ABUJA0</t>
  </si>
  <si>
    <t>WOLE TAIWO</t>
  </si>
  <si>
    <t>CO - CORPORATE OFFICE</t>
  </si>
  <si>
    <t>ENG - ENGINEERING</t>
  </si>
  <si>
    <t>PROJECT ENGR ASSISTANT</t>
  </si>
  <si>
    <t>SITE/CONSTRUCTION MANAGER</t>
  </si>
  <si>
    <t>SAMUEL GBEMISOLA</t>
  </si>
  <si>
    <t>MD'S DRIVER</t>
  </si>
  <si>
    <t>IKPOKPO</t>
  </si>
  <si>
    <t>QUALITY INSPECTOR</t>
  </si>
  <si>
    <t>RUKAYAT</t>
  </si>
  <si>
    <t>VICTOR</t>
  </si>
  <si>
    <t xml:space="preserve">QUALITY INSPECTOR (MECH)  TCM PH   </t>
  </si>
  <si>
    <t>UGODU</t>
  </si>
  <si>
    <t>ULU</t>
  </si>
  <si>
    <t>SABINUS</t>
  </si>
  <si>
    <t>EJIOGU</t>
  </si>
  <si>
    <t>QUALITY INSPECTOR (TCM)</t>
  </si>
  <si>
    <t>JOHNNY</t>
  </si>
  <si>
    <t>TRAINEE BUYER</t>
  </si>
  <si>
    <t>EVELYN</t>
  </si>
  <si>
    <t>OGBUENI</t>
  </si>
  <si>
    <t>ADMIN ASSISTANT</t>
  </si>
  <si>
    <t xml:space="preserve">OLUWAREMILEKUN </t>
  </si>
  <si>
    <t>PROCU - PROCUREMENT</t>
  </si>
  <si>
    <t>OWAN</t>
  </si>
  <si>
    <t>OLUFUNKE</t>
  </si>
  <si>
    <t>ASSISTANT TO MD'S P.A</t>
  </si>
  <si>
    <t>UCHECHUKWU</t>
  </si>
  <si>
    <t>NZEKWUE</t>
  </si>
  <si>
    <t>OFO</t>
  </si>
  <si>
    <t>PROJECT MANAGER</t>
  </si>
  <si>
    <t>UFOMA</t>
  </si>
  <si>
    <t>DOGHUDJE</t>
  </si>
  <si>
    <t>GRADUATE TRAINING</t>
  </si>
  <si>
    <t>OLADOTUN</t>
  </si>
  <si>
    <t>OLORUNDA</t>
  </si>
  <si>
    <t>CAD TECHNICIAN</t>
  </si>
  <si>
    <t>JUNETTE</t>
  </si>
  <si>
    <t>JOHNSON</t>
  </si>
  <si>
    <t>UMAJIE</t>
  </si>
  <si>
    <t>KIIKPOYE</t>
  </si>
  <si>
    <t>EDIGHOTU</t>
  </si>
  <si>
    <t>EJIM</t>
  </si>
  <si>
    <t>STELLA</t>
  </si>
  <si>
    <t>AKINJINMI</t>
  </si>
  <si>
    <t>NURSING OFFICER</t>
  </si>
  <si>
    <t>NUREN</t>
  </si>
  <si>
    <t>OLUWAYOMI</t>
  </si>
  <si>
    <t>OGUNDEYI</t>
  </si>
  <si>
    <t>AHAM</t>
  </si>
  <si>
    <t>IBEGBU</t>
  </si>
  <si>
    <t>QA/QC  MANAGER</t>
  </si>
  <si>
    <t>EmP.Surname</t>
  </si>
  <si>
    <t>Emp. FirstName</t>
  </si>
  <si>
    <t>JobTitle</t>
  </si>
  <si>
    <t>LOCATION</t>
  </si>
  <si>
    <t>DOB</t>
  </si>
  <si>
    <t>DAY RATE</t>
  </si>
  <si>
    <t>HYDROTESTER</t>
  </si>
  <si>
    <t>C0129</t>
  </si>
  <si>
    <t>C0293</t>
  </si>
  <si>
    <t>C0585</t>
  </si>
  <si>
    <t>C0695</t>
  </si>
  <si>
    <t>C0974</t>
  </si>
  <si>
    <t>C1001</t>
  </si>
  <si>
    <t>C1035</t>
  </si>
  <si>
    <t>C1065</t>
  </si>
  <si>
    <t>C1078</t>
  </si>
  <si>
    <t>LUKPATA</t>
  </si>
  <si>
    <t>FORKLIFT OPERATOR</t>
  </si>
  <si>
    <t>C1096</t>
  </si>
  <si>
    <t>C1162</t>
  </si>
  <si>
    <t>C1229</t>
  </si>
  <si>
    <t>C1491</t>
  </si>
  <si>
    <t>UZOMA</t>
  </si>
  <si>
    <t>C1533</t>
  </si>
  <si>
    <t>C1544</t>
  </si>
  <si>
    <t>ADENIYI</t>
  </si>
  <si>
    <t>C1607</t>
  </si>
  <si>
    <t>C1686</t>
  </si>
  <si>
    <t>C1705</t>
  </si>
  <si>
    <t>C1720</t>
  </si>
  <si>
    <t>C1728</t>
  </si>
  <si>
    <t>C1771</t>
  </si>
  <si>
    <t>BADEJO</t>
  </si>
  <si>
    <t>C1772</t>
  </si>
  <si>
    <t>GANIYU</t>
  </si>
  <si>
    <t>C1779</t>
  </si>
  <si>
    <t>C2052</t>
  </si>
  <si>
    <t>C2080</t>
  </si>
  <si>
    <t>C2082</t>
  </si>
  <si>
    <t>ADEBANJO</t>
  </si>
  <si>
    <t>OKEOWO</t>
  </si>
  <si>
    <t>C2097</t>
  </si>
  <si>
    <t>C2098</t>
  </si>
  <si>
    <t>C2116</t>
  </si>
  <si>
    <t>C2121</t>
  </si>
  <si>
    <t>C2130</t>
  </si>
  <si>
    <t>C2136</t>
  </si>
  <si>
    <t>NGELE</t>
  </si>
  <si>
    <t>C2138</t>
  </si>
  <si>
    <t>C2154</t>
  </si>
  <si>
    <t>C2193</t>
  </si>
  <si>
    <t>PHC - PORT HARCOURT</t>
  </si>
  <si>
    <t>C2221</t>
  </si>
  <si>
    <t>C2342</t>
  </si>
  <si>
    <t>OGUNBIYI</t>
  </si>
  <si>
    <t>C2343</t>
  </si>
  <si>
    <t>C2421</t>
  </si>
  <si>
    <t>C2422</t>
  </si>
  <si>
    <t>C2456</t>
  </si>
  <si>
    <t>C2462</t>
  </si>
  <si>
    <t>C2469</t>
  </si>
  <si>
    <t>OBIEJE</t>
  </si>
  <si>
    <t>C2470</t>
  </si>
  <si>
    <t>C2477</t>
  </si>
  <si>
    <t>C2492</t>
  </si>
  <si>
    <t>C2507</t>
  </si>
  <si>
    <t>C2515</t>
  </si>
  <si>
    <t>C2526</t>
  </si>
  <si>
    <t>C2536</t>
  </si>
  <si>
    <t>C2537</t>
  </si>
  <si>
    <t>C2555</t>
  </si>
  <si>
    <t>JEREMIAH</t>
  </si>
  <si>
    <t>PAINTER/BLSATER</t>
  </si>
  <si>
    <t>C2622</t>
  </si>
  <si>
    <t>C2626</t>
  </si>
  <si>
    <t>C2663</t>
  </si>
  <si>
    <t>C2724</t>
  </si>
  <si>
    <t>AMANOKHAI</t>
  </si>
  <si>
    <t>C2725</t>
  </si>
  <si>
    <t>AMODU</t>
  </si>
  <si>
    <t>C1775</t>
  </si>
  <si>
    <t>C1783</t>
  </si>
  <si>
    <t>DARAMOLA</t>
  </si>
  <si>
    <t>OLUGBENGA</t>
  </si>
  <si>
    <t>C1793</t>
  </si>
  <si>
    <t>C1926</t>
  </si>
  <si>
    <t>NGOZIKA</t>
  </si>
  <si>
    <t>NZEDURU</t>
  </si>
  <si>
    <t>C1975</t>
  </si>
  <si>
    <t>C2220</t>
  </si>
  <si>
    <t>C2222</t>
  </si>
  <si>
    <t>C2224</t>
  </si>
  <si>
    <t>C2225</t>
  </si>
  <si>
    <t>C2394</t>
  </si>
  <si>
    <t>C2396</t>
  </si>
  <si>
    <t>C2408</t>
  </si>
  <si>
    <t>C2431</t>
  </si>
  <si>
    <t>C2443</t>
  </si>
  <si>
    <t>C2460</t>
  </si>
  <si>
    <t>C2483</t>
  </si>
  <si>
    <t>C2484</t>
  </si>
  <si>
    <t>ONUOHA</t>
  </si>
  <si>
    <t>C2506</t>
  </si>
  <si>
    <t>C2512</t>
  </si>
  <si>
    <t>C2522</t>
  </si>
  <si>
    <t>C2523</t>
  </si>
  <si>
    <t>C2534</t>
  </si>
  <si>
    <t>C2607</t>
  </si>
  <si>
    <t>ADEOSUN</t>
  </si>
  <si>
    <t>C2632</t>
  </si>
  <si>
    <t>OGUNBONA</t>
  </si>
  <si>
    <t>AYUBA</t>
  </si>
  <si>
    <t>C2690</t>
  </si>
  <si>
    <t>C2697</t>
  </si>
  <si>
    <t>YERIMA</t>
  </si>
  <si>
    <t>C2760</t>
  </si>
  <si>
    <t>TEMIDAYO</t>
  </si>
  <si>
    <t>C1144</t>
  </si>
  <si>
    <t xml:space="preserve">WELDER </t>
  </si>
  <si>
    <t>C2236</t>
  </si>
  <si>
    <t>C2463</t>
  </si>
  <si>
    <t xml:space="preserve"> JAMES</t>
  </si>
  <si>
    <t>C2605</t>
  </si>
  <si>
    <t>C2790</t>
  </si>
  <si>
    <t>OLUWASEYI</t>
  </si>
  <si>
    <t>C2795</t>
  </si>
  <si>
    <t>BABA</t>
  </si>
  <si>
    <t>C2015</t>
  </si>
  <si>
    <t>AMUNE</t>
  </si>
  <si>
    <t>C2338</t>
  </si>
  <si>
    <t>C2341</t>
  </si>
  <si>
    <t>C2383</t>
  </si>
  <si>
    <t>C2395</t>
  </si>
  <si>
    <t>AKEEM</t>
  </si>
  <si>
    <t>C2412</t>
  </si>
  <si>
    <t>C2491</t>
  </si>
  <si>
    <t>C2516</t>
  </si>
  <si>
    <t>OZILI</t>
  </si>
  <si>
    <t>NDUBUISI</t>
  </si>
  <si>
    <t>C2633</t>
  </si>
  <si>
    <t>KENECHUKWU</t>
  </si>
  <si>
    <t>Employee Code</t>
  </si>
  <si>
    <t>EmployeeSurname</t>
  </si>
  <si>
    <t>EmployeeFirstName</t>
  </si>
  <si>
    <t>Job Title Short Description</t>
  </si>
  <si>
    <t>LUMPSUM AMOUNT</t>
  </si>
  <si>
    <t>L0191</t>
  </si>
  <si>
    <t>L0263</t>
  </si>
  <si>
    <t>L1204</t>
  </si>
  <si>
    <t>L1714</t>
  </si>
  <si>
    <t>L1925</t>
  </si>
  <si>
    <t>L1963</t>
  </si>
  <si>
    <t>L2125</t>
  </si>
  <si>
    <t>L2142</t>
  </si>
  <si>
    <t>L2144</t>
  </si>
  <si>
    <t>L2289</t>
  </si>
  <si>
    <t>L2754</t>
  </si>
  <si>
    <t>L0297</t>
  </si>
  <si>
    <t>L0862</t>
  </si>
  <si>
    <t>L1047</t>
  </si>
  <si>
    <t>L1050</t>
  </si>
  <si>
    <t>BUDAYE</t>
  </si>
  <si>
    <t>L1090</t>
  </si>
  <si>
    <t>L1547</t>
  </si>
  <si>
    <t>L1615</t>
  </si>
  <si>
    <t>L1618</t>
  </si>
  <si>
    <t>L1687</t>
  </si>
  <si>
    <t>L1868</t>
  </si>
  <si>
    <t>L1939</t>
  </si>
  <si>
    <t>L1940</t>
  </si>
  <si>
    <t>L1968</t>
  </si>
  <si>
    <t>CONSTRUCTION ENGINEER/FACILITY CORDINATOR</t>
  </si>
  <si>
    <t>L1986</t>
  </si>
  <si>
    <t>L2020</t>
  </si>
  <si>
    <t>L2067</t>
  </si>
  <si>
    <t>L2123</t>
  </si>
  <si>
    <t>L2191</t>
  </si>
  <si>
    <t>L2214</t>
  </si>
  <si>
    <t>L2237</t>
  </si>
  <si>
    <t>L2330</t>
  </si>
  <si>
    <t>L2331</t>
  </si>
  <si>
    <t>OLUFARINRE</t>
  </si>
  <si>
    <t>L2336</t>
  </si>
  <si>
    <t>L2347</t>
  </si>
  <si>
    <t>LIASON OFFICE ASSISTANT (ABUJA)</t>
  </si>
  <si>
    <t>L2374</t>
  </si>
  <si>
    <t>L2578</t>
  </si>
  <si>
    <t>L2580</t>
  </si>
  <si>
    <t>L2611</t>
  </si>
  <si>
    <t>UNOH</t>
  </si>
  <si>
    <t>L2631</t>
  </si>
  <si>
    <t>L2635</t>
  </si>
  <si>
    <t>L2644</t>
  </si>
  <si>
    <t>L2719</t>
  </si>
  <si>
    <t>L2729</t>
  </si>
  <si>
    <t>L2753</t>
  </si>
  <si>
    <t>L2763</t>
  </si>
  <si>
    <t>OLOGUN</t>
  </si>
  <si>
    <t>OLUROTIMI</t>
  </si>
  <si>
    <t>QUANTITY SURVEYOR</t>
  </si>
  <si>
    <t>L2764</t>
  </si>
  <si>
    <t>ADETUNJI</t>
  </si>
  <si>
    <t>QA/QC LEAD</t>
  </si>
  <si>
    <t>L2768</t>
  </si>
  <si>
    <t>FAWAZ</t>
  </si>
  <si>
    <t>ADESHINA</t>
  </si>
  <si>
    <t>L2771</t>
  </si>
  <si>
    <t>OLUWAPELUMI</t>
  </si>
  <si>
    <t>GRADUATE TRAINEE, QA/QC</t>
  </si>
  <si>
    <t>L2772</t>
  </si>
  <si>
    <t>CLAUDIA</t>
  </si>
  <si>
    <t>NWAKWO</t>
  </si>
  <si>
    <t>HR ASSISTANT</t>
  </si>
  <si>
    <t>L2773</t>
  </si>
  <si>
    <t>MARVELOUS</t>
  </si>
  <si>
    <t>STORE ASSISTANT</t>
  </si>
  <si>
    <t>L2774</t>
  </si>
  <si>
    <t>BASSEY</t>
  </si>
  <si>
    <t>PROCUREMENT OFFICER</t>
  </si>
  <si>
    <t>L2775</t>
  </si>
  <si>
    <t>BAKO</t>
  </si>
  <si>
    <t>L2776</t>
  </si>
  <si>
    <t>AJOKU</t>
  </si>
  <si>
    <t>OLUCHI</t>
  </si>
  <si>
    <t>FRONT DESK</t>
  </si>
  <si>
    <t>L2777</t>
  </si>
  <si>
    <t>OGUNDELE</t>
  </si>
  <si>
    <t>L2779</t>
  </si>
  <si>
    <t>MAXWELL</t>
  </si>
  <si>
    <t>C2664</t>
  </si>
  <si>
    <t>UDO</t>
  </si>
  <si>
    <t>TORTI</t>
  </si>
  <si>
    <t>JIMMY</t>
  </si>
  <si>
    <t>C2319</t>
  </si>
  <si>
    <t>Active</t>
  </si>
  <si>
    <t>0461</t>
  </si>
  <si>
    <t>0462</t>
  </si>
  <si>
    <t>0464</t>
  </si>
  <si>
    <t>0463</t>
  </si>
  <si>
    <t>0465</t>
  </si>
  <si>
    <t>UFUOMA</t>
  </si>
  <si>
    <t>PHILIPS</t>
  </si>
  <si>
    <t>ILOH</t>
  </si>
  <si>
    <t>CHINWE</t>
  </si>
  <si>
    <t>GM COMMERCIALS</t>
  </si>
  <si>
    <t>EA.  TO MD/CEO</t>
  </si>
  <si>
    <t>C1612</t>
  </si>
  <si>
    <t>C1736</t>
  </si>
  <si>
    <t>C1788</t>
  </si>
  <si>
    <t>C1789</t>
  </si>
  <si>
    <t>C1804</t>
  </si>
  <si>
    <t>C1820</t>
  </si>
  <si>
    <t>C1823</t>
  </si>
  <si>
    <t>C1824</t>
  </si>
  <si>
    <t>C1840</t>
  </si>
  <si>
    <t>C1849</t>
  </si>
  <si>
    <t>C1882</t>
  </si>
  <si>
    <t>C1888</t>
  </si>
  <si>
    <t>C1920</t>
  </si>
  <si>
    <t>C1924</t>
  </si>
  <si>
    <t>C1931</t>
  </si>
  <si>
    <t>C1938</t>
  </si>
  <si>
    <t>C1966</t>
  </si>
  <si>
    <t>C1967</t>
  </si>
  <si>
    <t>C1979</t>
  </si>
  <si>
    <t>C1982</t>
  </si>
  <si>
    <t>C1983</t>
  </si>
  <si>
    <t>C2002</t>
  </si>
  <si>
    <t>C2011</t>
  </si>
  <si>
    <t>C2023</t>
  </si>
  <si>
    <t>C2083</t>
  </si>
  <si>
    <t>C2088</t>
  </si>
  <si>
    <t>C2129</t>
  </si>
  <si>
    <t>C2291</t>
  </si>
  <si>
    <t>C2300</t>
  </si>
  <si>
    <t>C2326</t>
  </si>
  <si>
    <t>C2328</t>
  </si>
  <si>
    <t>C2337</t>
  </si>
  <si>
    <t>C2340</t>
  </si>
  <si>
    <t>C2387</t>
  </si>
  <si>
    <t>C2404</t>
  </si>
  <si>
    <t>C2410</t>
  </si>
  <si>
    <t>C2427</t>
  </si>
  <si>
    <t>C2438</t>
  </si>
  <si>
    <t>C2445</t>
  </si>
  <si>
    <t>C2449</t>
  </si>
  <si>
    <t>C2513</t>
  </si>
  <si>
    <t>C2597</t>
  </si>
  <si>
    <t>C2604</t>
  </si>
  <si>
    <t>C1870</t>
  </si>
  <si>
    <t>C1933</t>
  </si>
  <si>
    <t>C1954</t>
  </si>
  <si>
    <t>C1955</t>
  </si>
  <si>
    <t>C1989</t>
  </si>
  <si>
    <t>C2614</t>
  </si>
  <si>
    <t>C2615</t>
  </si>
  <si>
    <t>C2623</t>
  </si>
  <si>
    <t>C2482</t>
  </si>
  <si>
    <t>C2699</t>
  </si>
  <si>
    <t>C2704</t>
  </si>
  <si>
    <t>C2722</t>
  </si>
  <si>
    <t>C2728</t>
  </si>
  <si>
    <t>C2751</t>
  </si>
  <si>
    <t>C2776</t>
  </si>
  <si>
    <t>C2805</t>
  </si>
  <si>
    <t>C2806</t>
  </si>
  <si>
    <t>C2808</t>
  </si>
  <si>
    <t>C2813</t>
  </si>
  <si>
    <t>C2812</t>
  </si>
  <si>
    <t>C2810</t>
  </si>
  <si>
    <t>C2814</t>
  </si>
  <si>
    <t>MBAMARA</t>
  </si>
  <si>
    <t>EGBUJOR</t>
  </si>
  <si>
    <t>ANIMASHAUN</t>
  </si>
  <si>
    <t>RABIU</t>
  </si>
  <si>
    <t>GBOLAGADE</t>
  </si>
  <si>
    <t>NGELE OKEY</t>
  </si>
  <si>
    <t>GABRIEL PONMILE</t>
  </si>
  <si>
    <t>AIYEDE</t>
  </si>
  <si>
    <t>ADEKANMBI</t>
  </si>
  <si>
    <t>TIMOTHY OLUMIDE</t>
  </si>
  <si>
    <t xml:space="preserve"> AKOR</t>
  </si>
  <si>
    <t>OHIEMBOR</t>
  </si>
  <si>
    <t>SADIQ</t>
  </si>
  <si>
    <t>ADELEKE</t>
  </si>
  <si>
    <t>AKINMOLADUN</t>
  </si>
  <si>
    <t>AKINLABI</t>
  </si>
  <si>
    <t>OLALEKAN</t>
  </si>
  <si>
    <t>ADENIJI</t>
  </si>
  <si>
    <t>ODUNNIYI</t>
  </si>
  <si>
    <t>FUAD</t>
  </si>
  <si>
    <t>OLANREWAJU</t>
  </si>
  <si>
    <t>VERONICA</t>
  </si>
  <si>
    <t>MUHAMMAD</t>
  </si>
  <si>
    <t>AKINGBOYE</t>
  </si>
  <si>
    <t>GIDEON</t>
  </si>
  <si>
    <t>ONABANJO</t>
  </si>
  <si>
    <t>NITEDO</t>
  </si>
  <si>
    <t>FASHINA</t>
  </si>
  <si>
    <t>AYOMIDE</t>
  </si>
  <si>
    <t>WAREHOUSE SUPPORT ASSISTANT</t>
  </si>
  <si>
    <t>PREPARATION SUPERVISOR</t>
  </si>
  <si>
    <t>STORE MATE</t>
  </si>
  <si>
    <t>L2375</t>
  </si>
  <si>
    <t>L2781</t>
  </si>
  <si>
    <t>L2782</t>
  </si>
  <si>
    <t>L2783</t>
  </si>
  <si>
    <t>L2784</t>
  </si>
  <si>
    <t>L2785</t>
  </si>
  <si>
    <t>L2786</t>
  </si>
  <si>
    <t>L2787</t>
  </si>
  <si>
    <t>L2788</t>
  </si>
  <si>
    <t>ADEGBOYEGA</t>
  </si>
  <si>
    <t>ABUBAKRI</t>
  </si>
  <si>
    <t>MAFO</t>
  </si>
  <si>
    <t>OREOLUWA</t>
  </si>
  <si>
    <t>OKONKWO</t>
  </si>
  <si>
    <t>ELWIN</t>
  </si>
  <si>
    <t>AHMAD</t>
  </si>
  <si>
    <t>IGBEKOYI</t>
  </si>
  <si>
    <t>ANETOR</t>
  </si>
  <si>
    <t>OTAIGBE</t>
  </si>
  <si>
    <t>ILESANMI</t>
  </si>
  <si>
    <t>VICTORIA</t>
  </si>
  <si>
    <t>GRADUATE TRAINEE</t>
  </si>
  <si>
    <t>0467</t>
  </si>
  <si>
    <t>C2585</t>
  </si>
  <si>
    <t>C2824</t>
  </si>
  <si>
    <t>C2000</t>
  </si>
  <si>
    <t>C2290</t>
  </si>
  <si>
    <t>C2647</t>
  </si>
  <si>
    <t>C2818</t>
  </si>
  <si>
    <t>C1220</t>
  </si>
  <si>
    <t>C2817</t>
  </si>
  <si>
    <t>C2815</t>
  </si>
  <si>
    <t>C2816</t>
  </si>
  <si>
    <t>C2757</t>
  </si>
  <si>
    <t>C2087</t>
  </si>
  <si>
    <t>C2825</t>
  </si>
  <si>
    <t>C2823</t>
  </si>
  <si>
    <t>C2820</t>
  </si>
  <si>
    <t>C2827</t>
  </si>
  <si>
    <t>C2826</t>
  </si>
  <si>
    <t>C2096</t>
  </si>
  <si>
    <t>3G SMAW WELDER</t>
  </si>
  <si>
    <t>AGEGE</t>
  </si>
  <si>
    <t>SALAWU</t>
  </si>
  <si>
    <t>MUYIDEEN</t>
  </si>
  <si>
    <t>SMAW +FCAW WELDER</t>
  </si>
  <si>
    <t>TACK WELDER</t>
  </si>
  <si>
    <t>SWAW + FCAW</t>
  </si>
  <si>
    <t>ODJEGBA</t>
  </si>
  <si>
    <t>FATOYINBO</t>
  </si>
  <si>
    <t>PAUL</t>
  </si>
  <si>
    <t>OKPUTU</t>
  </si>
  <si>
    <t>CHIBUZO</t>
  </si>
  <si>
    <t>ANANU</t>
  </si>
  <si>
    <t>OKONIYA</t>
  </si>
  <si>
    <t>VALINS</t>
  </si>
  <si>
    <t>BILIKISU</t>
  </si>
  <si>
    <t>SAMAILA</t>
  </si>
  <si>
    <t>IDI-IDI_ORO</t>
  </si>
  <si>
    <t>AKAKA</t>
  </si>
  <si>
    <t>TUNDE</t>
  </si>
  <si>
    <t>L2790</t>
  </si>
  <si>
    <t>L2789</t>
  </si>
  <si>
    <t>L2791</t>
  </si>
  <si>
    <t>L2792</t>
  </si>
  <si>
    <t>L2793</t>
  </si>
  <si>
    <t>BISKUKA</t>
  </si>
  <si>
    <t>YOHANNA</t>
  </si>
  <si>
    <t>PHILIMON</t>
  </si>
  <si>
    <t>BLESSED</t>
  </si>
  <si>
    <t>EDEH</t>
  </si>
  <si>
    <t>QA /QMS MANAGER</t>
  </si>
  <si>
    <t>SUMMARY OF ANNUAL PREMIUM from OCTOBER 15 TO DECEMBER 14 2026 (92 DAYS)</t>
  </si>
  <si>
    <t>NIN</t>
  </si>
  <si>
    <t>HR OFFICER</t>
  </si>
  <si>
    <t>21519730240</t>
  </si>
  <si>
    <t>83845800512</t>
  </si>
  <si>
    <t>92540284164</t>
  </si>
  <si>
    <t>27380286548</t>
  </si>
  <si>
    <t>20224761048</t>
  </si>
  <si>
    <t>49279137146</t>
  </si>
  <si>
    <t>42910035143</t>
  </si>
  <si>
    <t>61423392973</t>
  </si>
  <si>
    <t>7062 416 7209</t>
  </si>
  <si>
    <t>28474757549</t>
  </si>
  <si>
    <t>18431539142</t>
  </si>
  <si>
    <t>29023774802</t>
  </si>
  <si>
    <t>91607587549</t>
  </si>
  <si>
    <t>48583275217</t>
  </si>
  <si>
    <t>15010086765</t>
  </si>
  <si>
    <t>41420003427</t>
  </si>
  <si>
    <t>52154515203</t>
  </si>
  <si>
    <t>82458454401</t>
  </si>
  <si>
    <t>62151590585</t>
  </si>
  <si>
    <t>51102694688</t>
  </si>
  <si>
    <t>81142052252</t>
  </si>
  <si>
    <t>82826012316</t>
  </si>
  <si>
    <t>40535134931</t>
  </si>
  <si>
    <t>70397660759</t>
  </si>
  <si>
    <t>48337588857</t>
  </si>
  <si>
    <t>96765883197</t>
  </si>
  <si>
    <t>12026886108</t>
  </si>
  <si>
    <t>29435465734</t>
  </si>
  <si>
    <t>57262977220</t>
  </si>
  <si>
    <t>71446778784</t>
  </si>
  <si>
    <t>35271804819</t>
  </si>
  <si>
    <t>14129588573</t>
  </si>
  <si>
    <t>95820348556</t>
  </si>
  <si>
    <t>48997089067</t>
  </si>
  <si>
    <t>38250285734</t>
  </si>
  <si>
    <t>55444246336</t>
  </si>
  <si>
    <t>15541665342</t>
  </si>
  <si>
    <t>92185570100</t>
  </si>
  <si>
    <t>14352721733</t>
  </si>
  <si>
    <t>53254384079</t>
  </si>
  <si>
    <t>74530783946</t>
  </si>
  <si>
    <t>32532499250</t>
  </si>
  <si>
    <t>94316021596</t>
  </si>
  <si>
    <t>65404783497</t>
  </si>
  <si>
    <t>96399124760</t>
  </si>
  <si>
    <t>41213197081</t>
  </si>
  <si>
    <t>51227185601</t>
  </si>
  <si>
    <t>65462096047</t>
  </si>
  <si>
    <t>23182031893</t>
  </si>
  <si>
    <t>803465515159</t>
  </si>
  <si>
    <t>84034622033</t>
  </si>
  <si>
    <t>70416562170</t>
  </si>
  <si>
    <t>16869319205</t>
  </si>
  <si>
    <t>23130987123</t>
  </si>
  <si>
    <t>82351497380</t>
  </si>
  <si>
    <t>32338921242</t>
  </si>
  <si>
    <t>51092906524</t>
  </si>
  <si>
    <t>65450440814</t>
  </si>
  <si>
    <t>63300893755</t>
  </si>
  <si>
    <t>49169404308</t>
  </si>
  <si>
    <t>60303453877</t>
  </si>
  <si>
    <t>62042312565</t>
  </si>
  <si>
    <t>16933325233</t>
  </si>
  <si>
    <t>36524686409</t>
  </si>
  <si>
    <t>37289015151</t>
  </si>
  <si>
    <t>15389964807</t>
  </si>
  <si>
    <t>68099379149</t>
  </si>
  <si>
    <t>94752059635</t>
  </si>
  <si>
    <t>82921141386</t>
  </si>
  <si>
    <t>59934122661</t>
  </si>
  <si>
    <t>32884539543</t>
  </si>
  <si>
    <t>46132148187</t>
  </si>
  <si>
    <t>21720693644</t>
  </si>
  <si>
    <t>70549445801</t>
  </si>
  <si>
    <t>81698297187</t>
  </si>
  <si>
    <t>81845194721</t>
  </si>
  <si>
    <t>85988704460</t>
  </si>
  <si>
    <t>90350162533</t>
  </si>
  <si>
    <t>50572499037</t>
  </si>
  <si>
    <t>86420316741</t>
  </si>
  <si>
    <t>48126863744</t>
  </si>
  <si>
    <t>79329104343</t>
  </si>
  <si>
    <t>48194593100</t>
  </si>
  <si>
    <t>98906290586</t>
  </si>
  <si>
    <t>39376893050</t>
  </si>
  <si>
    <t>32383207639</t>
  </si>
  <si>
    <t>38042939446</t>
  </si>
  <si>
    <t>94126572480</t>
  </si>
  <si>
    <t>15025823174</t>
  </si>
  <si>
    <t>55109499302</t>
  </si>
  <si>
    <t>65242214842</t>
  </si>
  <si>
    <t>12612220227</t>
  </si>
  <si>
    <t>47095946659</t>
  </si>
  <si>
    <t>67174114019</t>
  </si>
  <si>
    <t>97033525599</t>
  </si>
  <si>
    <t>64204974707</t>
  </si>
  <si>
    <t>73595911525</t>
  </si>
  <si>
    <t>33638713833</t>
  </si>
  <si>
    <t>39674483482</t>
  </si>
  <si>
    <t>59417284001</t>
  </si>
  <si>
    <t>54737360721</t>
  </si>
  <si>
    <t>92661911299</t>
  </si>
  <si>
    <t>27726208533</t>
  </si>
  <si>
    <t>32374029134</t>
  </si>
  <si>
    <t>2230254136</t>
  </si>
  <si>
    <t>69132011280</t>
  </si>
  <si>
    <t>76445395045</t>
  </si>
  <si>
    <t>87782231223</t>
  </si>
  <si>
    <t>21001508507</t>
  </si>
  <si>
    <t>75079743643</t>
  </si>
  <si>
    <t>19987502375</t>
  </si>
  <si>
    <t>13570711040</t>
  </si>
  <si>
    <t>44322968458</t>
  </si>
  <si>
    <t>11968730673</t>
  </si>
  <si>
    <t>51444404189</t>
  </si>
  <si>
    <t>39100231173</t>
  </si>
  <si>
    <t>86693623404</t>
  </si>
  <si>
    <t>51806347365</t>
  </si>
  <si>
    <t>16989729621</t>
  </si>
  <si>
    <t>28543438811</t>
  </si>
  <si>
    <t>11652273794</t>
  </si>
  <si>
    <t>35483812712</t>
  </si>
  <si>
    <t>24266617470</t>
  </si>
  <si>
    <t>84062011832</t>
  </si>
  <si>
    <t>81557484286</t>
  </si>
  <si>
    <t>48117229078</t>
  </si>
  <si>
    <t>76270344968</t>
  </si>
  <si>
    <t>79433209604</t>
  </si>
  <si>
    <t>63480585196</t>
  </si>
  <si>
    <t>40814460198</t>
  </si>
  <si>
    <t>31651232368</t>
  </si>
  <si>
    <t>27778358325</t>
  </si>
  <si>
    <t>83706665526</t>
  </si>
  <si>
    <t>77610920649</t>
  </si>
  <si>
    <t>17532439563</t>
  </si>
  <si>
    <t>58580412924</t>
  </si>
  <si>
    <t>79336500752</t>
  </si>
  <si>
    <t>66625211040</t>
  </si>
  <si>
    <t>67949229677</t>
  </si>
  <si>
    <t>57576037110</t>
  </si>
  <si>
    <t>66029463948</t>
  </si>
  <si>
    <t>94952263024</t>
  </si>
  <si>
    <t>49557894286</t>
  </si>
  <si>
    <t>92540866791</t>
  </si>
  <si>
    <t>28688385950</t>
  </si>
  <si>
    <t>47749730855</t>
  </si>
  <si>
    <t>18059290511</t>
  </si>
  <si>
    <t>6914 803 4275</t>
  </si>
  <si>
    <t xml:space="preserve"> 53829080332</t>
  </si>
  <si>
    <t>30401411765</t>
  </si>
  <si>
    <t>30156441201</t>
  </si>
  <si>
    <t>40984934112</t>
  </si>
  <si>
    <t>61075099425</t>
  </si>
  <si>
    <t>22194069126</t>
  </si>
  <si>
    <t>57449621517</t>
  </si>
  <si>
    <t>47734518063</t>
  </si>
  <si>
    <t>1965 593 8042</t>
  </si>
  <si>
    <t>55692937925</t>
  </si>
  <si>
    <t>99133329824</t>
  </si>
  <si>
    <t>25369297996</t>
  </si>
  <si>
    <t>53814172632</t>
  </si>
  <si>
    <t>68130303607</t>
  </si>
  <si>
    <t>26841320109</t>
  </si>
  <si>
    <t>65412287044</t>
  </si>
  <si>
    <t>41182555831</t>
  </si>
  <si>
    <t>37292623748</t>
  </si>
  <si>
    <t>1431 964 9277</t>
  </si>
  <si>
    <t>46857318288</t>
  </si>
  <si>
    <t>71174451838</t>
  </si>
  <si>
    <t>26689781687</t>
  </si>
  <si>
    <t>54272083795</t>
  </si>
  <si>
    <t>58295642921</t>
  </si>
  <si>
    <t>68833396033</t>
  </si>
  <si>
    <t>71857498911</t>
  </si>
  <si>
    <t>27354398778</t>
  </si>
  <si>
    <t>34497482527</t>
  </si>
  <si>
    <t>63935844444</t>
  </si>
  <si>
    <t>77970215773</t>
  </si>
  <si>
    <t>71709314073</t>
  </si>
  <si>
    <t>22348473917</t>
  </si>
  <si>
    <t>83922603065</t>
  </si>
  <si>
    <t>22279672402</t>
  </si>
  <si>
    <t>10123043016</t>
  </si>
  <si>
    <t>38009992536</t>
  </si>
  <si>
    <t>99790431432</t>
  </si>
  <si>
    <t>99474702478</t>
  </si>
  <si>
    <t>74349611518</t>
  </si>
  <si>
    <t>31043928497</t>
  </si>
  <si>
    <t>78944716810</t>
  </si>
  <si>
    <t>67105061480</t>
  </si>
  <si>
    <t>68683748201</t>
  </si>
  <si>
    <t>PD Premium</t>
  </si>
  <si>
    <t>Death Premium</t>
  </si>
  <si>
    <t>Riders' premium (Burial expenses &amp; Spousal cover)</t>
  </si>
  <si>
    <t>Total Premium</t>
  </si>
  <si>
    <t>TOTAL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</si>
</sst>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&quot;dd/MM/yyyy&quot;"/>
    <numFmt numFmtId="166" formatCode="[$-809]dd\ mmmm\ yyyy;@"/>
    <numFmt numFmtId="167" formatCode="yyyy/mm/dd"/>
    <numFmt numFmtId="168" formatCode="[$-409]d\-mmm\-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ndara"/>
      <family val="2"/>
    </font>
    <font>
      <sz val="11"/>
      <color rgb="FF242424"/>
      <name val="Aptos Narrow"/>
      <family val="2"/>
    </font>
    <font>
      <sz val="10"/>
      <color theme="1"/>
      <name val="Candara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3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</cellStyleXfs>
  <cellXfs count="150">
    <xf numFmtId="0" fontId="0" fillId="0" borderId="0" xfId="0"/>
    <xf numFmtId="0" fontId="0" fillId="0" borderId="15" xfId="0" applyBorder="1" applyAlignment="1">
      <alignment vertical="center"/>
    </xf>
    <xf numFmtId="4" fontId="0" fillId="0" borderId="15" xfId="0" applyNumberFormat="1" applyBorder="1" applyAlignment="1">
      <alignment vertical="center"/>
    </xf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164" fontId="0" fillId="0" borderId="1" xfId="0" applyNumberFormat="1" applyBorder="1"/>
    <xf numFmtId="0" fontId="0" fillId="0" borderId="16" xfId="0" applyBorder="1" applyAlignment="1">
      <alignment vertical="center"/>
    </xf>
    <xf numFmtId="43" fontId="3" fillId="0" borderId="1" xfId="1" applyFont="1" applyBorder="1"/>
    <xf numFmtId="0" fontId="0" fillId="0" borderId="17" xfId="0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164" fontId="8" fillId="0" borderId="1" xfId="0" applyNumberFormat="1" applyFont="1" applyBorder="1"/>
    <xf numFmtId="49" fontId="9" fillId="2" borderId="1" xfId="0" applyNumberFormat="1" applyFont="1" applyFill="1" applyBorder="1" applyAlignment="1">
      <alignment horizontal="left" vertical="center" wrapText="1" readingOrder="1"/>
    </xf>
    <xf numFmtId="43" fontId="9" fillId="2" borderId="1" xfId="1" applyFont="1" applyFill="1" applyBorder="1" applyAlignment="1">
      <alignment horizontal="left" vertical="center" wrapText="1" readingOrder="1"/>
    </xf>
    <xf numFmtId="0" fontId="9" fillId="2" borderId="1" xfId="0" applyFont="1" applyFill="1" applyBorder="1" applyAlignment="1">
      <alignment horizontal="left" vertical="center" wrapText="1" readingOrder="1"/>
    </xf>
    <xf numFmtId="49" fontId="9" fillId="0" borderId="1" xfId="0" applyNumberFormat="1" applyFont="1" applyBorder="1" applyAlignment="1">
      <alignment horizontal="left" vertical="center" wrapText="1" readingOrder="1"/>
    </xf>
    <xf numFmtId="43" fontId="9" fillId="0" borderId="1" xfId="1" applyFont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 wrapText="1" readingOrder="1"/>
    </xf>
    <xf numFmtId="0" fontId="8" fillId="3" borderId="1" xfId="0" applyFont="1" applyFill="1" applyBorder="1"/>
    <xf numFmtId="49" fontId="10" fillId="3" borderId="1" xfId="0" applyNumberFormat="1" applyFont="1" applyFill="1" applyBorder="1" applyAlignment="1">
      <alignment horizontal="left" vertical="center" wrapText="1" readingOrder="1"/>
    </xf>
    <xf numFmtId="165" fontId="10" fillId="3" borderId="1" xfId="0" applyNumberFormat="1" applyFont="1" applyFill="1" applyBorder="1" applyAlignment="1">
      <alignment horizontal="left" vertical="center" wrapText="1" readingOrder="1"/>
    </xf>
    <xf numFmtId="43" fontId="10" fillId="3" borderId="1" xfId="1" applyFont="1" applyFill="1" applyBorder="1" applyAlignment="1">
      <alignment horizontal="left" vertical="center" wrapText="1" readingOrder="1"/>
    </xf>
    <xf numFmtId="0" fontId="8" fillId="3" borderId="6" xfId="0" applyFont="1" applyFill="1" applyBorder="1"/>
    <xf numFmtId="49" fontId="10" fillId="3" borderId="6" xfId="0" applyNumberFormat="1" applyFont="1" applyFill="1" applyBorder="1" applyAlignment="1">
      <alignment horizontal="left" vertical="center" wrapText="1" readingOrder="1"/>
    </xf>
    <xf numFmtId="165" fontId="10" fillId="3" borderId="6" xfId="0" applyNumberFormat="1" applyFont="1" applyFill="1" applyBorder="1" applyAlignment="1">
      <alignment horizontal="left" vertical="center" wrapText="1" readingOrder="1"/>
    </xf>
    <xf numFmtId="43" fontId="10" fillId="3" borderId="6" xfId="1" applyFont="1" applyFill="1" applyBorder="1" applyAlignment="1">
      <alignment horizontal="left" vertical="center" wrapText="1" readingOrder="1"/>
    </xf>
    <xf numFmtId="164" fontId="8" fillId="0" borderId="6" xfId="0" applyNumberFormat="1" applyFont="1" applyBorder="1"/>
    <xf numFmtId="0" fontId="4" fillId="3" borderId="7" xfId="0" applyFont="1" applyFill="1" applyBorder="1"/>
    <xf numFmtId="0" fontId="11" fillId="3" borderId="8" xfId="0" applyFont="1" applyFill="1" applyBorder="1" applyAlignment="1">
      <alignment horizontal="left" vertical="center" wrapText="1" readingOrder="1"/>
    </xf>
    <xf numFmtId="43" fontId="11" fillId="3" borderId="8" xfId="1" applyFont="1" applyFill="1" applyBorder="1" applyAlignment="1">
      <alignment horizontal="left" vertical="center" wrapText="1" readingOrder="1"/>
    </xf>
    <xf numFmtId="0" fontId="11" fillId="3" borderId="9" xfId="0" applyFont="1" applyFill="1" applyBorder="1" applyAlignment="1">
      <alignment horizontal="left" vertical="center" wrapText="1" readingOrder="1"/>
    </xf>
    <xf numFmtId="49" fontId="10" fillId="3" borderId="10" xfId="0" applyNumberFormat="1" applyFont="1" applyFill="1" applyBorder="1" applyAlignment="1">
      <alignment horizontal="left" vertical="center" wrapText="1" readingOrder="1"/>
    </xf>
    <xf numFmtId="49" fontId="10" fillId="3" borderId="11" xfId="0" applyNumberFormat="1" applyFont="1" applyFill="1" applyBorder="1" applyAlignment="1">
      <alignment horizontal="left" vertical="center" wrapText="1" readingOrder="1"/>
    </xf>
    <xf numFmtId="0" fontId="8" fillId="3" borderId="11" xfId="0" applyFont="1" applyFill="1" applyBorder="1"/>
    <xf numFmtId="0" fontId="8" fillId="3" borderId="12" xfId="0" applyFont="1" applyFill="1" applyBorder="1"/>
    <xf numFmtId="49" fontId="10" fillId="3" borderId="12" xfId="0" applyNumberFormat="1" applyFont="1" applyFill="1" applyBorder="1" applyAlignment="1">
      <alignment horizontal="left" vertical="center" wrapText="1" readingOrder="1"/>
    </xf>
    <xf numFmtId="165" fontId="10" fillId="3" borderId="12" xfId="0" applyNumberFormat="1" applyFont="1" applyFill="1" applyBorder="1" applyAlignment="1">
      <alignment horizontal="left" vertical="center" wrapText="1" readingOrder="1"/>
    </xf>
    <xf numFmtId="43" fontId="10" fillId="3" borderId="12" xfId="1" applyFont="1" applyFill="1" applyBorder="1" applyAlignment="1">
      <alignment horizontal="left" vertical="center" wrapText="1" readingOrder="1"/>
    </xf>
    <xf numFmtId="49" fontId="10" fillId="3" borderId="13" xfId="0" applyNumberFormat="1" applyFont="1" applyFill="1" applyBorder="1" applyAlignment="1">
      <alignment horizontal="left" vertical="center" wrapText="1" readingOrder="1"/>
    </xf>
    <xf numFmtId="0" fontId="8" fillId="0" borderId="3" xfId="0" applyFont="1" applyBorder="1"/>
    <xf numFmtId="0" fontId="8" fillId="0" borderId="5" xfId="0" applyFont="1" applyBorder="1"/>
    <xf numFmtId="0" fontId="8" fillId="0" borderId="4" xfId="0" applyFont="1" applyBorder="1"/>
    <xf numFmtId="164" fontId="8" fillId="0" borderId="12" xfId="0" applyNumberFormat="1" applyFont="1" applyBorder="1"/>
    <xf numFmtId="164" fontId="12" fillId="0" borderId="2" xfId="0" applyNumberFormat="1" applyFont="1" applyBorder="1"/>
    <xf numFmtId="4" fontId="0" fillId="0" borderId="18" xfId="0" applyNumberFormat="1" applyBorder="1" applyAlignment="1">
      <alignment vertical="center"/>
    </xf>
    <xf numFmtId="0" fontId="0" fillId="0" borderId="6" xfId="0" applyBorder="1"/>
    <xf numFmtId="0" fontId="0" fillId="0" borderId="6" xfId="0" applyBorder="1" applyAlignment="1">
      <alignment vertical="center"/>
    </xf>
    <xf numFmtId="4" fontId="0" fillId="0" borderId="6" xfId="0" applyNumberFormat="1" applyBorder="1" applyAlignment="1">
      <alignment vertical="center"/>
    </xf>
    <xf numFmtId="43" fontId="3" fillId="0" borderId="6" xfId="1" applyFont="1" applyBorder="1"/>
    <xf numFmtId="0" fontId="12" fillId="0" borderId="5" xfId="0" applyFont="1" applyBorder="1"/>
    <xf numFmtId="164" fontId="13" fillId="0" borderId="2" xfId="0" applyNumberFormat="1" applyFont="1" applyBorder="1"/>
    <xf numFmtId="0" fontId="0" fillId="0" borderId="1" xfId="0" quotePrefix="1" applyBorder="1"/>
    <xf numFmtId="43" fontId="7" fillId="0" borderId="0" xfId="1" applyFont="1"/>
    <xf numFmtId="43" fontId="6" fillId="0" borderId="0" xfId="1" applyFont="1"/>
    <xf numFmtId="43" fontId="3" fillId="0" borderId="0" xfId="1" applyFont="1"/>
    <xf numFmtId="0" fontId="7" fillId="3" borderId="3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4" fillId="3" borderId="1" xfId="0" applyFont="1" applyFill="1" applyBorder="1" applyAlignment="1">
      <alignment horizontal="left" vertical="center" wrapText="1" readingOrder="1"/>
    </xf>
    <xf numFmtId="43" fontId="14" fillId="3" borderId="1" xfId="1" applyFont="1" applyFill="1" applyBorder="1" applyAlignment="1">
      <alignment horizontal="left" vertical="center" wrapText="1" readingOrder="1"/>
    </xf>
    <xf numFmtId="0" fontId="4" fillId="0" borderId="1" xfId="0" applyFont="1" applyBorder="1"/>
    <xf numFmtId="43" fontId="4" fillId="0" borderId="1" xfId="1" applyFont="1" applyBorder="1"/>
    <xf numFmtId="164" fontId="4" fillId="0" borderId="1" xfId="0" applyNumberFormat="1" applyFont="1" applyBorder="1"/>
    <xf numFmtId="4" fontId="0" fillId="0" borderId="14" xfId="0" applyNumberFormat="1" applyBorder="1" applyAlignment="1">
      <alignment vertical="center"/>
    </xf>
    <xf numFmtId="43" fontId="0" fillId="0" borderId="0" xfId="1" applyFont="1" applyAlignment="1">
      <alignment vertical="center"/>
    </xf>
    <xf numFmtId="43" fontId="0" fillId="0" borderId="0" xfId="1" applyFont="1"/>
    <xf numFmtId="43" fontId="0" fillId="0" borderId="0" xfId="0" applyNumberFormat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1" xfId="0" applyFont="1" applyBorder="1" applyAlignment="1">
      <alignment wrapText="1"/>
    </xf>
    <xf numFmtId="0" fontId="0" fillId="0" borderId="14" xfId="0" applyBorder="1"/>
    <xf numFmtId="0" fontId="0" fillId="0" borderId="14" xfId="0" applyBorder="1" applyAlignment="1">
      <alignment vertical="center"/>
    </xf>
    <xf numFmtId="164" fontId="0" fillId="0" borderId="0" xfId="0" applyNumberFormat="1"/>
    <xf numFmtId="0" fontId="7" fillId="0" borderId="0" xfId="0" applyFont="1" applyAlignment="1">
      <alignment horizontal="left"/>
    </xf>
    <xf numFmtId="43" fontId="3" fillId="0" borderId="14" xfId="1" applyFont="1" applyBorder="1"/>
    <xf numFmtId="0" fontId="15" fillId="0" borderId="0" xfId="0" applyFont="1"/>
    <xf numFmtId="166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vertical="center"/>
    </xf>
    <xf numFmtId="14" fontId="0" fillId="0" borderId="6" xfId="0" applyNumberFormat="1" applyBorder="1" applyAlignment="1">
      <alignment vertical="center"/>
    </xf>
    <xf numFmtId="0" fontId="0" fillId="3" borderId="0" xfId="0" applyFill="1" applyAlignment="1">
      <alignment vertical="center"/>
    </xf>
    <xf numFmtId="14" fontId="0" fillId="3" borderId="0" xfId="0" applyNumberFormat="1" applyFill="1" applyAlignment="1">
      <alignment vertical="center"/>
    </xf>
    <xf numFmtId="4" fontId="0" fillId="3" borderId="0" xfId="0" applyNumberFormat="1" applyFill="1" applyAlignment="1">
      <alignment vertical="center"/>
    </xf>
    <xf numFmtId="4" fontId="0" fillId="3" borderId="14" xfId="0" applyNumberFormat="1" applyFill="1" applyBorder="1" applyAlignment="1">
      <alignment vertical="center"/>
    </xf>
    <xf numFmtId="43" fontId="3" fillId="3" borderId="14" xfId="1" applyFont="1" applyFill="1" applyBorder="1"/>
    <xf numFmtId="0" fontId="0" fillId="3" borderId="0" xfId="0" applyFill="1"/>
    <xf numFmtId="14" fontId="0" fillId="3" borderId="0" xfId="0" applyNumberFormat="1" applyFill="1"/>
    <xf numFmtId="43" fontId="0" fillId="3" borderId="0" xfId="1" applyFont="1" applyFill="1"/>
    <xf numFmtId="43" fontId="15" fillId="3" borderId="0" xfId="1" applyFont="1" applyFill="1"/>
    <xf numFmtId="0" fontId="15" fillId="3" borderId="0" xfId="0" applyFont="1" applyFill="1"/>
    <xf numFmtId="0" fontId="0" fillId="3" borderId="19" xfId="0" applyFill="1" applyBorder="1" applyAlignment="1">
      <alignment vertical="center"/>
    </xf>
    <xf numFmtId="166" fontId="0" fillId="3" borderId="19" xfId="0" applyNumberFormat="1" applyFill="1" applyBorder="1" applyAlignment="1">
      <alignment vertical="center"/>
    </xf>
    <xf numFmtId="43" fontId="0" fillId="3" borderId="19" xfId="0" applyNumberFormat="1" applyFill="1" applyBorder="1" applyAlignment="1">
      <alignment vertical="center"/>
    </xf>
    <xf numFmtId="167" fontId="0" fillId="3" borderId="0" xfId="0" applyNumberFormat="1" applyFill="1" applyAlignment="1">
      <alignment vertical="center"/>
    </xf>
    <xf numFmtId="43" fontId="0" fillId="3" borderId="0" xfId="1" applyFont="1" applyFill="1" applyAlignment="1">
      <alignment vertical="center"/>
    </xf>
    <xf numFmtId="43" fontId="4" fillId="0" borderId="22" xfId="1" applyFont="1" applyBorder="1"/>
    <xf numFmtId="43" fontId="4" fillId="0" borderId="22" xfId="1" applyFont="1" applyBorder="1" applyAlignment="1">
      <alignment wrapText="1"/>
    </xf>
    <xf numFmtId="43" fontId="4" fillId="0" borderId="26" xfId="1" applyFont="1" applyBorder="1" applyAlignment="1">
      <alignment horizontal="center" wrapText="1"/>
    </xf>
    <xf numFmtId="43" fontId="0" fillId="0" borderId="6" xfId="1" applyFont="1" applyBorder="1"/>
    <xf numFmtId="43" fontId="0" fillId="0" borderId="1" xfId="1" applyFont="1" applyBorder="1"/>
    <xf numFmtId="43" fontId="0" fillId="0" borderId="14" xfId="1" applyFont="1" applyBorder="1"/>
    <xf numFmtId="43" fontId="0" fillId="3" borderId="14" xfId="1" applyFont="1" applyFill="1" applyBorder="1"/>
    <xf numFmtId="43" fontId="0" fillId="3" borderId="1" xfId="1" applyFont="1" applyFill="1" applyBorder="1"/>
    <xf numFmtId="43" fontId="0" fillId="0" borderId="15" xfId="1" applyFont="1" applyBorder="1" applyAlignment="1">
      <alignment vertical="center"/>
    </xf>
    <xf numFmtId="0" fontId="7" fillId="0" borderId="3" xfId="0" applyFont="1" applyBorder="1"/>
    <xf numFmtId="0" fontId="7" fillId="0" borderId="5" xfId="0" applyFont="1" applyBorder="1"/>
    <xf numFmtId="164" fontId="7" fillId="0" borderId="4" xfId="0" applyNumberFormat="1" applyFont="1" applyBorder="1"/>
    <xf numFmtId="0" fontId="0" fillId="3" borderId="12" xfId="0" applyFill="1" applyBorder="1" applyAlignment="1">
      <alignment vertical="center"/>
    </xf>
    <xf numFmtId="4" fontId="0" fillId="3" borderId="27" xfId="0" applyNumberFormat="1" applyFill="1" applyBorder="1" applyAlignment="1">
      <alignment vertical="center"/>
    </xf>
    <xf numFmtId="43" fontId="0" fillId="0" borderId="14" xfId="0" applyNumberFormat="1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vertical="center"/>
    </xf>
    <xf numFmtId="4" fontId="0" fillId="0" borderId="27" xfId="0" applyNumberFormat="1" applyBorder="1" applyAlignment="1">
      <alignment vertical="center"/>
    </xf>
    <xf numFmtId="43" fontId="0" fillId="0" borderId="1" xfId="1" applyFont="1" applyBorder="1" applyAlignment="1">
      <alignment vertical="center"/>
    </xf>
    <xf numFmtId="0" fontId="17" fillId="0" borderId="0" xfId="0" applyFont="1" applyAlignment="1">
      <alignment vertical="center"/>
    </xf>
    <xf numFmtId="14" fontId="0" fillId="0" borderId="15" xfId="0" applyNumberFormat="1" applyBorder="1" applyAlignment="1">
      <alignment vertical="center"/>
    </xf>
    <xf numFmtId="0" fontId="9" fillId="0" borderId="0" xfId="0" applyFont="1"/>
    <xf numFmtId="0" fontId="9" fillId="0" borderId="28" xfId="0" applyFont="1" applyBorder="1"/>
    <xf numFmtId="0" fontId="18" fillId="0" borderId="0" xfId="0" applyFont="1"/>
    <xf numFmtId="0" fontId="0" fillId="3" borderId="0" xfId="0" quotePrefix="1" applyFill="1" applyAlignment="1">
      <alignment vertical="center"/>
    </xf>
    <xf numFmtId="0" fontId="0" fillId="3" borderId="1" xfId="0" quotePrefix="1" applyFill="1" applyBorder="1" applyAlignment="1">
      <alignment vertical="center"/>
    </xf>
    <xf numFmtId="14" fontId="15" fillId="3" borderId="0" xfId="0" applyNumberFormat="1" applyFont="1" applyFill="1"/>
    <xf numFmtId="168" fontId="19" fillId="4" borderId="11" xfId="0" applyNumberFormat="1" applyFont="1" applyFill="1" applyBorder="1" applyAlignment="1">
      <alignment horizontal="center"/>
    </xf>
    <xf numFmtId="168" fontId="19" fillId="4" borderId="13" xfId="0" applyNumberFormat="1" applyFont="1" applyFill="1" applyBorder="1" applyAlignment="1">
      <alignment horizontal="center"/>
    </xf>
    <xf numFmtId="168" fontId="19" fillId="4" borderId="15" xfId="0" applyNumberFormat="1" applyFont="1" applyFill="1" applyBorder="1" applyAlignment="1">
      <alignment horizontal="center"/>
    </xf>
    <xf numFmtId="168" fontId="19" fillId="4" borderId="15" xfId="0" applyNumberFormat="1" applyFont="1" applyFill="1" applyBorder="1"/>
    <xf numFmtId="168" fontId="19" fillId="4" borderId="27" xfId="0" applyNumberFormat="1" applyFont="1" applyFill="1" applyBorder="1"/>
    <xf numFmtId="0" fontId="0" fillId="3" borderId="14" xfId="0" quotePrefix="1" applyFill="1" applyBorder="1" applyAlignment="1">
      <alignment vertical="center"/>
    </xf>
    <xf numFmtId="14" fontId="0" fillId="0" borderId="14" xfId="0" applyNumberFormat="1" applyBorder="1" applyAlignment="1">
      <alignment vertical="center"/>
    </xf>
    <xf numFmtId="43" fontId="0" fillId="0" borderId="14" xfId="1" applyFont="1" applyBorder="1" applyAlignment="1">
      <alignment vertical="center"/>
    </xf>
    <xf numFmtId="167" fontId="0" fillId="0" borderId="15" xfId="0" applyNumberFormat="1" applyBorder="1" applyAlignment="1">
      <alignment vertical="center"/>
    </xf>
    <xf numFmtId="168" fontId="19" fillId="4" borderId="19" xfId="0" applyNumberFormat="1" applyFont="1" applyFill="1" applyBorder="1"/>
    <xf numFmtId="167" fontId="0" fillId="0" borderId="27" xfId="0" applyNumberFormat="1" applyBorder="1" applyAlignment="1">
      <alignment vertical="center"/>
    </xf>
    <xf numFmtId="167" fontId="0" fillId="0" borderId="0" xfId="0" applyNumberFormat="1" applyAlignment="1">
      <alignment vertical="center"/>
    </xf>
    <xf numFmtId="167" fontId="0" fillId="0" borderId="19" xfId="0" applyNumberFormat="1" applyBorder="1" applyAlignment="1">
      <alignment vertical="center"/>
    </xf>
    <xf numFmtId="43" fontId="20" fillId="0" borderId="15" xfId="2" applyFont="1" applyFill="1" applyBorder="1" applyAlignment="1">
      <alignment vertical="center"/>
    </xf>
    <xf numFmtId="0" fontId="4" fillId="0" borderId="22" xfId="0" applyFont="1" applyBorder="1" applyAlignment="1">
      <alignment wrapText="1"/>
    </xf>
    <xf numFmtId="4" fontId="0" fillId="0" borderId="0" xfId="0" applyNumberFormat="1"/>
    <xf numFmtId="43" fontId="0" fillId="0" borderId="0" xfId="1" applyFont="1" applyBorder="1" applyAlignment="1">
      <alignment vertical="center"/>
    </xf>
    <xf numFmtId="43" fontId="4" fillId="0" borderId="29" xfId="1" applyFont="1" applyBorder="1" applyAlignment="1">
      <alignment wrapText="1"/>
    </xf>
    <xf numFmtId="0" fontId="0" fillId="0" borderId="0" xfId="0" applyAlignment="1">
      <alignment wrapText="1"/>
    </xf>
  </cellXfs>
  <cellStyles count="5">
    <cellStyle name="Comma" xfId="1" builtinId="3"/>
    <cellStyle name="Comma 2" xfId="4" xr:uid="{A84422CF-0320-488B-B4C3-6CDA19D7EAA2}"/>
    <cellStyle name="Comma 3 5" xfId="2" xr:uid="{86D0E8F0-CCAB-42AB-BF9D-C4E5D3113F7C}"/>
    <cellStyle name="Normal" xfId="0" builtinId="0"/>
    <cellStyle name="Normal 2" xfId="3" xr:uid="{99A4BEA7-1EB8-438D-8B09-F9DECDEFF817}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9" formatCode="dd/mm/yyyy"/>
      <alignment horizontal="general" vertical="center" textRotation="0" wrapText="0" indent="0" justifyLastLine="0" shrinkToFit="0" readingOrder="0"/>
    </dxf>
    <dxf>
      <numFmt numFmtId="169" formatCode="dd/mm/yyyy"/>
      <alignment horizontal="general" vertical="center" textRotation="0" wrapText="0" indent="0" justifyLastLine="0" shrinkToFit="0" readingOrder="0"/>
    </dxf>
    <dxf>
      <numFmt numFmtId="169" formatCode="dd/mm/yyyy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numFmt numFmtId="35" formatCode="_(* #,##0.00_);_(* \(#,##0.00\);_(* &quot;-&quot;??_);_(@_)"/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numFmt numFmtId="35" formatCode="_(* #,##0.00_);_(* \(#,##0.00\);_(* &quot;-&quot;??_);_(@_)"/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numFmt numFmtId="166" formatCode="[$-809]dd\ mmmm\ yyyy;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numFmt numFmtId="19" formatCode="m/d/yyyy"/>
    </dxf>
    <dxf>
      <numFmt numFmtId="166" formatCode="[$-809]dd\ mmmm\ yyyy;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numFmt numFmtId="169" formatCode="dd/mm/yyyy"/>
    </dxf>
    <dxf>
      <numFmt numFmtId="166" formatCode="[$-809]dd\ mmmm\ yyyy;@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d/mm/yyyy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5" formatCode="_(* #,##0.00_);_(* \(#,##0.0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(* #,##0.00_);_(* \(#,##0.0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5" formatCode="_(* #,##0.00_);_(* \(#,##0.0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5" formatCode="_(* #,##0.00_);_(* \(#,##0.0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5" formatCode="_(* #,##0.00_);_(* \(#,##0.0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5" formatCode="_(* #,##0.00_);_(* \(#,##0.0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5" formatCode="_(* #,##0.00_);_(* \(#,##0.0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5" formatCode="_(* #,##0.00_);_(* \(#,##0.00\);_(* &quot;-&quot;??_);_(@_)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  <protection locked="1" hidden="0"/>
    </dxf>
    <dxf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1" hidden="0"/>
    </dxf>
    <dxf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0"/>
    </dxf>
    <dxf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0"/>
    </dxf>
    <dxf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dd/mm/yyyy"/>
      <fill>
        <patternFill patternType="solid">
          <fgColor indexed="64"/>
          <bgColor rgb="FF92D05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92D05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dd/mm/yyyy"/>
      <fill>
        <patternFill patternType="solid">
          <fgColor indexed="64"/>
          <bgColor rgb="FF92D050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olamidebadetan_dormanlongeng_com/Documents/DLENG%20&amp;%20DLPC%20EMPLOYEE%20LIST.xlsx" TargetMode="External"/><Relationship Id="rId2" Type="http://schemas.openxmlformats.org/officeDocument/2006/relationships/externalLinkPath" Target="https://dormanlong-my.sharepoint.com/personal/olamidebadetan_dormanlongeng_com/Documents/DLENG%20&amp;%20DLPC%20EMPLOYEE%20LIST.xlsx" TargetMode="External"/><Relationship Id="rId1" Type="http://schemas.openxmlformats.org/officeDocument/2006/relationships/externalLinkPath" Target="/personal/olamidebadetan_dormanlongeng_com/Documents/DLENG%20&amp;%20DLPC%20EMPLOYEE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ALL EMP LIST "/>
      <sheetName val="SUMMARY PAGE"/>
      <sheetName val="DLE EMP LIST"/>
      <sheetName val="EX-EMPLOYEES"/>
      <sheetName val="DLE LUMP SUM"/>
      <sheetName val="DLPC LUMP SUM"/>
      <sheetName val="DLE DAY RATE"/>
      <sheetName val="DLPC DAY RATE"/>
      <sheetName val="IT &amp; NYSC"/>
      <sheetName val="EX-CONTRACT"/>
      <sheetName val="Unique Roles"/>
    </sheetNames>
    <sheetDataSet>
      <sheetData sheetId="0"/>
      <sheetData sheetId="1"/>
      <sheetData sheetId="2"/>
      <sheetData sheetId="3">
        <row r="1">
          <cell r="B1" t="str">
            <v>EMP. NO</v>
          </cell>
          <cell r="N1" t="str">
            <v>DOJ</v>
          </cell>
        </row>
        <row r="2">
          <cell r="B2" t="str">
            <v>0013</v>
          </cell>
          <cell r="N2">
            <v>33208</v>
          </cell>
        </row>
        <row r="3">
          <cell r="B3" t="str">
            <v>0027</v>
          </cell>
          <cell r="N3">
            <v>36192</v>
          </cell>
        </row>
        <row r="4">
          <cell r="B4" t="str">
            <v>0033</v>
          </cell>
          <cell r="N4">
            <v>36192</v>
          </cell>
        </row>
        <row r="5">
          <cell r="B5" t="str">
            <v>0040</v>
          </cell>
          <cell r="N5">
            <v>37321</v>
          </cell>
        </row>
        <row r="6">
          <cell r="B6" t="str">
            <v>0043</v>
          </cell>
          <cell r="N6">
            <v>37410</v>
          </cell>
        </row>
        <row r="7">
          <cell r="B7" t="str">
            <v>0044</v>
          </cell>
          <cell r="N7">
            <v>37410</v>
          </cell>
        </row>
        <row r="8">
          <cell r="B8" t="str">
            <v>0045</v>
          </cell>
          <cell r="N8">
            <v>37379</v>
          </cell>
        </row>
        <row r="9">
          <cell r="B9" t="str">
            <v>0050</v>
          </cell>
          <cell r="N9">
            <v>37379</v>
          </cell>
        </row>
        <row r="10">
          <cell r="B10" t="str">
            <v>0051</v>
          </cell>
          <cell r="N10">
            <v>37629</v>
          </cell>
        </row>
        <row r="11">
          <cell r="B11" t="str">
            <v>0059</v>
          </cell>
          <cell r="N11">
            <v>38051</v>
          </cell>
        </row>
        <row r="12">
          <cell r="B12" t="str">
            <v>0060</v>
          </cell>
          <cell r="N12">
            <v>38264</v>
          </cell>
        </row>
        <row r="13">
          <cell r="B13" t="str">
            <v>0061</v>
          </cell>
          <cell r="N13">
            <v>37991</v>
          </cell>
        </row>
        <row r="14">
          <cell r="B14" t="str">
            <v>0072</v>
          </cell>
          <cell r="N14">
            <v>38555</v>
          </cell>
        </row>
        <row r="15">
          <cell r="B15" t="str">
            <v>0076</v>
          </cell>
          <cell r="N15">
            <v>38671</v>
          </cell>
        </row>
        <row r="16">
          <cell r="B16" t="str">
            <v>0080</v>
          </cell>
          <cell r="N16">
            <v>38565</v>
          </cell>
        </row>
        <row r="17">
          <cell r="B17" t="str">
            <v>0092</v>
          </cell>
          <cell r="N17">
            <v>38815</v>
          </cell>
        </row>
        <row r="18">
          <cell r="B18" t="str">
            <v>0146</v>
          </cell>
          <cell r="N18">
            <v>39622</v>
          </cell>
        </row>
        <row r="19">
          <cell r="B19" t="str">
            <v>0181</v>
          </cell>
          <cell r="N19">
            <v>39904</v>
          </cell>
        </row>
        <row r="20">
          <cell r="B20" t="str">
            <v>0182</v>
          </cell>
          <cell r="N20">
            <v>40057</v>
          </cell>
        </row>
        <row r="21">
          <cell r="B21" t="str">
            <v>0185</v>
          </cell>
          <cell r="N21">
            <v>39848</v>
          </cell>
        </row>
        <row r="22">
          <cell r="B22" t="str">
            <v>0194</v>
          </cell>
          <cell r="N22">
            <v>39817</v>
          </cell>
        </row>
        <row r="23">
          <cell r="B23" t="str">
            <v>0268</v>
          </cell>
          <cell r="N23">
            <v>40513</v>
          </cell>
        </row>
        <row r="24">
          <cell r="B24" t="str">
            <v>0272</v>
          </cell>
          <cell r="N24">
            <v>40726</v>
          </cell>
        </row>
        <row r="25">
          <cell r="B25" t="str">
            <v>0277</v>
          </cell>
          <cell r="N25">
            <v>40787</v>
          </cell>
        </row>
        <row r="26">
          <cell r="B26" t="str">
            <v>0279</v>
          </cell>
          <cell r="N26">
            <v>40544</v>
          </cell>
        </row>
        <row r="27">
          <cell r="B27" t="str">
            <v>0289</v>
          </cell>
          <cell r="N27">
            <v>41153</v>
          </cell>
        </row>
        <row r="28">
          <cell r="B28" t="str">
            <v>0290</v>
          </cell>
          <cell r="N28">
            <v>40917</v>
          </cell>
        </row>
        <row r="29">
          <cell r="B29" t="str">
            <v>0295</v>
          </cell>
          <cell r="N29">
            <v>40917</v>
          </cell>
        </row>
        <row r="30">
          <cell r="B30" t="str">
            <v>0309</v>
          </cell>
          <cell r="N30">
            <v>41334</v>
          </cell>
        </row>
        <row r="31">
          <cell r="B31" t="str">
            <v>0315</v>
          </cell>
          <cell r="N31">
            <v>41380</v>
          </cell>
        </row>
        <row r="32">
          <cell r="B32" t="str">
            <v>0316</v>
          </cell>
          <cell r="N32">
            <v>41395</v>
          </cell>
        </row>
        <row r="33">
          <cell r="B33" t="str">
            <v>0318</v>
          </cell>
          <cell r="N33">
            <v>41395</v>
          </cell>
        </row>
        <row r="34">
          <cell r="B34" t="str">
            <v>0320</v>
          </cell>
          <cell r="N34">
            <v>41395</v>
          </cell>
        </row>
        <row r="35">
          <cell r="B35" t="str">
            <v>0321</v>
          </cell>
          <cell r="N35">
            <v>41395</v>
          </cell>
        </row>
        <row r="36">
          <cell r="B36" t="str">
            <v>0330</v>
          </cell>
          <cell r="N36">
            <v>41487</v>
          </cell>
        </row>
        <row r="37">
          <cell r="B37" t="str">
            <v>0334</v>
          </cell>
          <cell r="N37">
            <v>41283</v>
          </cell>
        </row>
        <row r="38">
          <cell r="B38" t="str">
            <v>0364</v>
          </cell>
          <cell r="N38">
            <v>41830</v>
          </cell>
        </row>
        <row r="39">
          <cell r="B39" t="str">
            <v>0366</v>
          </cell>
          <cell r="N39">
            <v>42278</v>
          </cell>
        </row>
        <row r="40">
          <cell r="B40" t="str">
            <v>0370</v>
          </cell>
          <cell r="N40">
            <v>42309</v>
          </cell>
        </row>
        <row r="41">
          <cell r="B41" t="str">
            <v>0371</v>
          </cell>
          <cell r="N41">
            <v>42380</v>
          </cell>
        </row>
        <row r="42">
          <cell r="B42" t="str">
            <v>0380</v>
          </cell>
          <cell r="N42">
            <v>43009</v>
          </cell>
        </row>
        <row r="43">
          <cell r="B43" t="str">
            <v>0384</v>
          </cell>
          <cell r="N43">
            <v>43299</v>
          </cell>
        </row>
        <row r="44">
          <cell r="B44" t="str">
            <v>0385</v>
          </cell>
          <cell r="N44">
            <v>43344</v>
          </cell>
        </row>
        <row r="45">
          <cell r="B45" t="str">
            <v>0387</v>
          </cell>
          <cell r="N45">
            <v>43344</v>
          </cell>
        </row>
        <row r="46">
          <cell r="B46" t="str">
            <v>0388</v>
          </cell>
          <cell r="N46">
            <v>43479</v>
          </cell>
        </row>
        <row r="47">
          <cell r="B47" t="str">
            <v>0392</v>
          </cell>
          <cell r="N47">
            <v>43709</v>
          </cell>
        </row>
        <row r="48">
          <cell r="B48" t="str">
            <v>0398</v>
          </cell>
          <cell r="N48">
            <v>43862</v>
          </cell>
        </row>
        <row r="49">
          <cell r="B49" t="str">
            <v>0399</v>
          </cell>
          <cell r="N49">
            <v>43864</v>
          </cell>
        </row>
        <row r="50">
          <cell r="B50" t="str">
            <v>0415</v>
          </cell>
          <cell r="N50">
            <v>45078</v>
          </cell>
        </row>
        <row r="51">
          <cell r="B51" t="str">
            <v>0420</v>
          </cell>
          <cell r="N51">
            <v>45139</v>
          </cell>
        </row>
        <row r="52">
          <cell r="B52" t="str">
            <v>0425</v>
          </cell>
          <cell r="N52">
            <v>45323</v>
          </cell>
        </row>
        <row r="53">
          <cell r="B53" t="str">
            <v>0429</v>
          </cell>
          <cell r="N53">
            <v>45383</v>
          </cell>
        </row>
        <row r="54">
          <cell r="B54" t="str">
            <v>0432</v>
          </cell>
          <cell r="N54">
            <v>45439</v>
          </cell>
        </row>
        <row r="55">
          <cell r="B55" t="str">
            <v>o413</v>
          </cell>
          <cell r="N55">
            <v>45383</v>
          </cell>
        </row>
        <row r="56">
          <cell r="B56" t="str">
            <v>0433</v>
          </cell>
          <cell r="N56">
            <v>45439</v>
          </cell>
        </row>
        <row r="57">
          <cell r="B57" t="str">
            <v>0436</v>
          </cell>
          <cell r="N57">
            <v>45509</v>
          </cell>
        </row>
        <row r="58">
          <cell r="B58" t="str">
            <v>0438</v>
          </cell>
          <cell r="N58">
            <v>45530</v>
          </cell>
        </row>
        <row r="59">
          <cell r="B59" t="str">
            <v>0441</v>
          </cell>
          <cell r="N59">
            <v>45565</v>
          </cell>
        </row>
        <row r="60">
          <cell r="B60" t="str">
            <v>0442</v>
          </cell>
          <cell r="N60">
            <v>45663</v>
          </cell>
        </row>
        <row r="61">
          <cell r="B61" t="str">
            <v>0443</v>
          </cell>
          <cell r="N61">
            <v>45670</v>
          </cell>
        </row>
        <row r="62">
          <cell r="B62" t="str">
            <v>0445</v>
          </cell>
          <cell r="N62">
            <v>45691</v>
          </cell>
        </row>
        <row r="63">
          <cell r="B63" t="str">
            <v>0446</v>
          </cell>
          <cell r="N63">
            <v>45691</v>
          </cell>
        </row>
        <row r="64">
          <cell r="B64" t="str">
            <v>0447</v>
          </cell>
          <cell r="N64">
            <v>45698</v>
          </cell>
        </row>
        <row r="65">
          <cell r="B65" t="str">
            <v>0448</v>
          </cell>
          <cell r="N65">
            <v>45755</v>
          </cell>
        </row>
        <row r="66">
          <cell r="B66" t="str">
            <v>0449</v>
          </cell>
          <cell r="N66">
            <v>45769</v>
          </cell>
        </row>
        <row r="67">
          <cell r="B67" t="str">
            <v>0450</v>
          </cell>
          <cell r="N67">
            <v>45769</v>
          </cell>
        </row>
        <row r="68">
          <cell r="B68" t="str">
            <v>0452</v>
          </cell>
          <cell r="N68">
            <v>45789</v>
          </cell>
        </row>
        <row r="69">
          <cell r="B69" t="str">
            <v>0453</v>
          </cell>
          <cell r="N69">
            <v>45839</v>
          </cell>
        </row>
        <row r="70">
          <cell r="B70" t="str">
            <v>0454</v>
          </cell>
          <cell r="N70">
            <v>45870</v>
          </cell>
        </row>
        <row r="71">
          <cell r="B71" t="str">
            <v>0455</v>
          </cell>
          <cell r="N71">
            <v>45901</v>
          </cell>
        </row>
        <row r="72">
          <cell r="B72" t="str">
            <v>0457</v>
          </cell>
          <cell r="N72">
            <v>45937</v>
          </cell>
        </row>
        <row r="73">
          <cell r="B73" t="str">
            <v>0458</v>
          </cell>
          <cell r="N73">
            <v>45978</v>
          </cell>
        </row>
        <row r="74">
          <cell r="B74" t="str">
            <v>0459</v>
          </cell>
          <cell r="N74">
            <v>45993</v>
          </cell>
        </row>
        <row r="75">
          <cell r="B75" t="str">
            <v>0460</v>
          </cell>
          <cell r="N75">
            <v>45992</v>
          </cell>
        </row>
        <row r="76">
          <cell r="B76" t="str">
            <v>0461</v>
          </cell>
          <cell r="N76">
            <v>46113</v>
          </cell>
        </row>
        <row r="77">
          <cell r="B77" t="str">
            <v>0462</v>
          </cell>
          <cell r="N77">
            <v>46113</v>
          </cell>
        </row>
        <row r="78">
          <cell r="B78" t="str">
            <v>0463</v>
          </cell>
          <cell r="N78">
            <v>46146</v>
          </cell>
        </row>
        <row r="79">
          <cell r="B79" t="str">
            <v>0464</v>
          </cell>
          <cell r="N79">
            <v>46143</v>
          </cell>
        </row>
        <row r="80">
          <cell r="B80" t="str">
            <v>0465</v>
          </cell>
          <cell r="N80">
            <v>46174</v>
          </cell>
        </row>
        <row r="81">
          <cell r="B81"/>
          <cell r="N81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F3132C-D6E4-404C-B9D7-206E085AB507}" name="Table4" displayName="Table4" ref="C5:F9" totalsRowCount="1">
  <autoFilter ref="C5:F8" xr:uid="{12F3132C-D6E4-404C-B9D7-206E085AB507}"/>
  <tableColumns count="4">
    <tableColumn id="1" xr3:uid="{115B1554-9312-4270-84E5-65D99978A2A7}" name="CATEGORY OF STAFF" totalsRowLabel="Total"/>
    <tableColumn id="3" xr3:uid="{2DEF4BF8-C5E4-48EF-93C7-28A963B44D15}" name="No. Of Emp." totalsRowFunction="sum"/>
    <tableColumn id="2" xr3:uid="{1E0C3D88-E645-4842-A110-546C761A628A}" name="TOTAL PREMIUM" totalsRowFunction="sum" dataDxfId="137" totalsRowDxfId="136"/>
    <tableColumn id="4" xr3:uid="{D079422A-C8D6-430E-8AE8-71BCC80A9F23}" name="Premium Per Qtr" totalsRowFunction="sum" dataDxfId="135" totalsRowDxfId="134">
      <calculatedColumnFormula>Table4[[#This Row],[TOTAL PREMIUM]]*92/365</calculatedColumnFormula>
    </tableColumn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55FB71-34A2-40FD-9820-08CDB73AE55A}" name="Table3" displayName="Table3" ref="A7:W79" totalsRowCount="1" headerRowDxfId="133" headerRowBorderDxfId="132" tableBorderDxfId="131">
  <autoFilter ref="A7:W78" xr:uid="{0C55FB71-34A2-40FD-9820-08CDB73AE55A}"/>
  <sortState xmlns:xlrd2="http://schemas.microsoft.com/office/spreadsheetml/2017/richdata2" ref="A8:W78">
    <sortCondition ref="S7:S61"/>
  </sortState>
  <tableColumns count="23">
    <tableColumn id="1" xr3:uid="{D0843060-C67F-4932-85E7-0550B86E6333}" name="S/n" totalsRowLabel="Total" dataDxfId="130" totalsRowDxfId="129"/>
    <tableColumn id="2" xr3:uid="{6B23D4BF-E6BD-40B8-B1E3-2AE29478422B}" name="Emp. Code" totalsRowFunction="count" dataDxfId="128" totalsRowDxfId="127"/>
    <tableColumn id="3" xr3:uid="{A129C73F-9E98-4A39-AF0E-5C0B461E5028}" name="Surname" dataDxfId="126" totalsRowDxfId="125"/>
    <tableColumn id="4" xr3:uid="{1577E944-C9AF-43DA-B7A3-09E47613BF71}" name="First Name" dataDxfId="124" totalsRowDxfId="123"/>
    <tableColumn id="5" xr3:uid="{BC3BB12E-73B7-440B-8AB9-486734BA15BC}" name="Job Title Long Description" dataDxfId="122" totalsRowDxfId="121"/>
    <tableColumn id="23" xr3:uid="{2D191E13-F6AA-48CB-93F6-99486E825683}" name="DOB " dataDxfId="120" totalsRowDxfId="119"/>
    <tableColumn id="19" xr3:uid="{2D18CD7E-DB75-4C74-BAEF-CE1354064D15}" name="Status" dataDxfId="118" totalsRowDxfId="117"/>
    <tableColumn id="21" xr3:uid="{D2871C20-5B46-4353-B675-B4F02BEB2C1A}" name="Date of Entry/Exit" dataDxfId="116" totalsRowDxfId="115">
      <calculatedColumnFormula>_xlfn.XLOOKUP(Table3[[#This Row],[Emp. Code]],'[1]DLE EMP LIST'!$B:$B,'[1]DLE EMP LIST'!$N:$N)</calculatedColumnFormula>
    </tableColumn>
    <tableColumn id="6" xr3:uid="{05094C5B-6726-4AAD-B65A-3815A137206E}" name="Basic Salary" totalsRowFunction="sum" dataDxfId="114" totalsRowDxfId="113"/>
    <tableColumn id="7" xr3:uid="{7E4ECD7B-4F4E-4403-A893-DA4C55ADA334}" name="Housing Allowance" totalsRowFunction="sum" dataDxfId="112" totalsRowDxfId="111"/>
    <tableColumn id="8" xr3:uid="{4236F869-38D1-4D90-9CCA-32D4DF837729}" name="Transport Allowance" totalsRowFunction="sum" dataDxfId="110" totalsRowDxfId="109"/>
    <tableColumn id="9" xr3:uid="{EB013D6A-3CD7-4879-814D-F94BAFCA3CAF}" name="Total Monthly Salary" totalsRowFunction="sum" dataDxfId="108" totalsRowDxfId="107">
      <calculatedColumnFormula>I8+J8+K8</calculatedColumnFormula>
    </tableColumn>
    <tableColumn id="10" xr3:uid="{67BF4D61-628F-414D-911E-40DDDFF1A715}" name="Location (HA)" dataDxfId="106" totalsRowDxfId="105"/>
    <tableColumn id="11" xr3:uid="{8D7C0191-FD4A-4146-94DE-4E28789F592B}" name="Annual Emolument" totalsRowFunction="sum" dataDxfId="104" totalsRowDxfId="103" dataCellStyle="Comma">
      <calculatedColumnFormula>L8*12</calculatedColumnFormula>
    </tableColumn>
    <tableColumn id="12" xr3:uid="{5631CB92-D0C5-499E-A980-11BC7F6D2F89}" name="Sum Assured" totalsRowFunction="sum" dataDxfId="102" totalsRowDxfId="101" dataCellStyle="Comma">
      <calculatedColumnFormula>N8*3</calculatedColumnFormula>
    </tableColumn>
    <tableColumn id="20" xr3:uid="{3681EED5-7FF9-4161-874E-9C1B80D49342}" name="Death Premium" totalsRowFunction="sum" dataDxfId="100" totalsRowDxfId="99" dataCellStyle="Comma">
      <calculatedColumnFormula>6/1000*Table3[[#This Row],[Sum Assured]]</calculatedColumnFormula>
    </tableColumn>
    <tableColumn id="13" xr3:uid="{0C0975EE-CE77-4995-B0F3-C8E8A56D9B49}" name="Permenent Disability" totalsRowFunction="sum" dataDxfId="98" totalsRowDxfId="97" dataCellStyle="Comma"/>
    <tableColumn id="18" xr3:uid="{1F6C1D7B-7DBE-4138-A7F4-196CA6739618}" name="PD Premium" totalsRowFunction="sum" dataDxfId="96" totalsRowDxfId="95" dataCellStyle="Comma">
      <calculatedColumnFormula>0.09%*Table3[[#This Row],[Permenent Disability]]</calculatedColumnFormula>
    </tableColumn>
    <tableColumn id="14" xr3:uid="{326AAC49-C1A5-4BFD-B3F2-C27D379C1414}" name="Burial Expenses" totalsRowFunction="sum" dataDxfId="94" totalsRowDxfId="93" dataCellStyle="Comma"/>
    <tableColumn id="15" xr3:uid="{453E0C4F-3F01-4FA4-8046-E2538ED7E914}" name="Spouse Benefits" totalsRowFunction="sum" dataDxfId="92" totalsRowDxfId="91" dataCellStyle="Comma"/>
    <tableColumn id="22" xr3:uid="{722CEF81-3284-4516-9034-3E66E5274AC6}" name="Riders' premium (Burial expenses &amp; Spousal cover)" totalsRowFunction="sum" dataDxfId="90" totalsRowDxfId="89" dataCellStyle="Comma"/>
    <tableColumn id="16" xr3:uid="{B5F4345A-07D9-4BDF-B62A-F11D08F34CCC}" name="Total Premium" totalsRowFunction="sum" dataDxfId="88" totalsRowDxfId="87" dataCellStyle="Comma">
      <calculatedColumnFormula>Table3[[#This Row],[Death Premium]]+Table3[[#This Row],[PD Premium]]+Table3[[#This Row],[Riders'' premium (Burial expenses &amp; Spousal cover)]]</calculatedColumnFormula>
    </tableColumn>
    <tableColumn id="17" xr3:uid="{A429A506-8886-49F9-91EA-05CFFBE325A5}" name="NIN" dataDxfId="86" totalsRowDxfId="85" dataCellStyle="Comma"/>
  </tableColumns>
  <tableStyleInfo name="TableStyleLight1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29CCB-4304-4BE7-A87B-C7C0A28FA3AA}" name="Table1" displayName="Table1" ref="A1:S186" totalsRowCount="1">
  <autoFilter ref="A1:S185" xr:uid="{51829CCB-4304-4BE7-A87B-C7C0A28FA3AA}"/>
  <sortState xmlns:xlrd2="http://schemas.microsoft.com/office/spreadsheetml/2017/richdata2" ref="A2:I58">
    <sortCondition ref="A1:A58"/>
  </sortState>
  <tableColumns count="19">
    <tableColumn id="20" xr3:uid="{666D6546-6540-4F97-B1D0-B6B2A342F482}" name="Emp. Code" totalsRowFunction="count" totalsRowDxfId="84"/>
    <tableColumn id="21" xr3:uid="{D257E9EF-3CDF-4424-B844-31809997568D}" name="EmP.Surname" totalsRowDxfId="83"/>
    <tableColumn id="23" xr3:uid="{03572E89-26FC-469E-9D2B-1C02C5C9B763}" name="Emp. FirstName" totalsRowDxfId="82"/>
    <tableColumn id="71" xr3:uid="{4C695427-C023-4C24-A4B2-4B099E1A3141}" name="JobTitle" totalsRowDxfId="81"/>
    <tableColumn id="121" xr3:uid="{607ED798-C245-4EA1-8ADD-2F79263FE0DA}" name="LOCATION" totalsRowDxfId="80"/>
    <tableColumn id="1" xr3:uid="{F1959622-05EF-450C-8E99-09BB8416F1EE}" name="DOB" dataDxfId="79" totalsRowDxfId="78"/>
    <tableColumn id="3" xr3:uid="{C129BD98-3AB5-49B0-8EB0-0D4456FB2DE3}" name="Status" dataDxfId="77" totalsRowDxfId="76"/>
    <tableColumn id="4" xr3:uid="{7694AE92-74A0-449A-8A7F-2F8BC3AE2EE0}" name="Date of Entry/Exit" dataDxfId="75" totalsRowDxfId="74"/>
    <tableColumn id="122" xr3:uid="{02419F21-5D3B-4A1B-881E-027CCCE4A4B4}" name="DAY RATE" totalsRowFunction="sum" totalsRowDxfId="73" dataCellStyle="Comma"/>
    <tableColumn id="124" xr3:uid="{FF04324F-4283-4EB1-A905-CA2B7F0E96B2}" name="Annual Salary" totalsRowFunction="sum" totalsRowDxfId="72" dataCellStyle="Comma">
      <calculatedColumnFormula>Table1[[#This Row],[DAY RATE]]*22*12</calculatedColumnFormula>
    </tableColumn>
    <tableColumn id="125" xr3:uid="{715BC5E1-5F24-4C4E-A15C-4FA5D8248096}" name="Sum Assured" totalsRowFunction="sum" totalsRowDxfId="71" dataCellStyle="Comma">
      <calculatedColumnFormula>Table1[[#This Row],[Annual Salary]]*3</calculatedColumnFormula>
    </tableColumn>
    <tableColumn id="5" xr3:uid="{0E11E423-3FD2-4933-AD62-A41A17A21A6F}" name="Death Premium" totalsRowFunction="sum" dataDxfId="70" totalsRowDxfId="69" dataCellStyle="Comma">
      <calculatedColumnFormula>6/1000*Table1[[#This Row],[Sum Assured]]</calculatedColumnFormula>
    </tableColumn>
    <tableColumn id="126" xr3:uid="{5C7662C8-4965-4497-A2FC-D71BEEF6859F}" name="Permanent Disability" totalsRowFunction="sum" totalsRowDxfId="68" dataCellStyle="Comma"/>
    <tableColumn id="6" xr3:uid="{C846B4F2-F4A2-48FF-99D5-B5ED46142253}" name="PD Premium" totalsRowFunction="sum" dataDxfId="67" totalsRowDxfId="66" dataCellStyle="Comma">
      <calculatedColumnFormula>0.09%*Table1[[#This Row],[Permanent Disability]]</calculatedColumnFormula>
    </tableColumn>
    <tableColumn id="127" xr3:uid="{E4B007B1-84AB-443A-B925-3548F30C3B3A}" name="Burial Expenses" totalsRowFunction="sum" totalsRowDxfId="65" dataCellStyle="Comma"/>
    <tableColumn id="128" xr3:uid="{23340146-4FBD-405B-93E7-73A7A1424638}" name="Spouse Benefits" totalsRowFunction="sum" totalsRowDxfId="64" dataCellStyle="Comma"/>
    <tableColumn id="7" xr3:uid="{EA4F3AC7-E6C0-4CF0-82CC-ED5559566F17}" name="Riders' premium (Burial expenses &amp; Spousal cover)" totalsRowFunction="sum" dataDxfId="63" totalsRowDxfId="62" dataCellStyle="Comma"/>
    <tableColumn id="129" xr3:uid="{4017B4E0-92E3-46AF-ACC6-65BE8A9EDB8A}" name="Total Premium" totalsRowFunction="sum" dataDxfId="61" totalsRowDxfId="60" dataCellStyle="Comma">
      <calculatedColumnFormula>Table1[[#This Row],[Death Premium]]+Table1[[#This Row],[PD Premium]]+Table1[[#This Row],[Riders'' premium (Burial expenses &amp; Spousal cover)]]</calculatedColumnFormula>
    </tableColumn>
    <tableColumn id="2" xr3:uid="{78361EE3-CDF0-4E55-AC9C-3B7051CF5B58}" name="NIN" dataDxfId="59" totalsRowDxfId="58" dataCellStyle="Comma"/>
  </tableColumns>
  <tableStyleInfo name="TableStyleLight1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9B4338-8FC9-4C5E-A11F-2C07F6227B69}" name="Table2" displayName="Table2" ref="A1:S72" totalsRowCount="1">
  <autoFilter ref="A1:S71" xr:uid="{0F9B4338-8FC9-4C5E-A11F-2C07F6227B69}"/>
  <tableColumns count="19">
    <tableColumn id="1" xr3:uid="{3325264C-A4AA-47A4-8B4D-536A9810DB20}" name="Employee Code" totalsRowFunction="count"/>
    <tableColumn id="2" xr3:uid="{5571E6A6-508B-4462-85AA-E00ACE685EBE}" name="EmployeeSurname" totalsRowFunction="count"/>
    <tableColumn id="3" xr3:uid="{5DBE8FCB-8701-4AC9-908E-9A674422FD5B}" name="EmployeeFirstName"/>
    <tableColumn id="4" xr3:uid="{FDB76F18-A27C-4748-90A9-4D49D3407A9D}" name="Job Title Short Description"/>
    <tableColumn id="5" xr3:uid="{65ABC5F5-5A2D-4489-BA3C-516535F3711F}" name="Location (HA)"/>
    <tableColumn id="13" xr3:uid="{74FC1A82-81FA-4BAA-B503-57AE619E421D}" name="DOB" dataDxfId="57"/>
    <tableColumn id="14" xr3:uid="{134B647B-1F30-452C-9FDA-C224B7F54D1B}" name="Status" dataDxfId="56"/>
    <tableColumn id="15" xr3:uid="{861B5891-A6FB-4775-9F4D-40AA682E87CC}" name="Date of Entry/Exit" dataDxfId="55"/>
    <tableColumn id="6" xr3:uid="{121BBA06-6A32-46CD-A482-81F401623CF2}" name="LUMPSUM AMOUNT" totalsRowFunction="sum" dataDxfId="54" totalsRowDxfId="53" dataCellStyle="Comma"/>
    <tableColumn id="7" xr3:uid="{0E2B7B66-7260-4D6B-B319-1F64A057FDD2}" name="Annual Salary" totalsRowFunction="sum" totalsRowDxfId="52" dataCellStyle="Comma">
      <calculatedColumnFormula>Table2[[#This Row],[LUMPSUM AMOUNT]]*12</calculatedColumnFormula>
    </tableColumn>
    <tableColumn id="8" xr3:uid="{0B872CA6-BCC3-45C6-8544-5D39B3D95F4F}" name="Sum Assured" totalsRowFunction="sum" totalsRowDxfId="51" dataCellStyle="Comma">
      <calculatedColumnFormula>Table2[[#This Row],[Annual Salary]]*3</calculatedColumnFormula>
    </tableColumn>
    <tableColumn id="16" xr3:uid="{F221BEA9-1F34-4991-8A54-2EC59C5E2DD2}" name="Death Premium" totalsRowFunction="sum" dataDxfId="50" totalsRowDxfId="49" dataCellStyle="Comma">
      <calculatedColumnFormula>6/1000*Table2[[#This Row],[Sum Assured]]</calculatedColumnFormula>
    </tableColumn>
    <tableColumn id="9" xr3:uid="{E57A7EAB-8B8B-4106-A0EC-E1DCC2641E8A}" name="Permanent Disability" totalsRowFunction="sum" totalsRowDxfId="48" dataCellStyle="Comma"/>
    <tableColumn id="18" xr3:uid="{B153D2F4-0DCE-4107-9D73-AECC0E86AFFC}" name="PD Premium" totalsRowFunction="sum" dataDxfId="47" totalsRowDxfId="46" dataCellStyle="Comma">
      <calculatedColumnFormula>0.09%*Table2[[#This Row],[Permanent Disability]]</calculatedColumnFormula>
    </tableColumn>
    <tableColumn id="10" xr3:uid="{B89D57AE-D836-4A56-9044-A266E8A03D23}" name="Burial Expenses" totalsRowFunction="sum" totalsRowDxfId="45" dataCellStyle="Comma"/>
    <tableColumn id="11" xr3:uid="{48D38016-9445-4332-ACAF-35E4F0798228}" name="Spouse Benefits" totalsRowFunction="sum" totalsRowDxfId="44" dataCellStyle="Comma"/>
    <tableColumn id="19" xr3:uid="{359AF4D1-56DD-4207-A4AE-CA7BEACDF2D3}" name="Riders' premium (Burial expenses &amp; Spousal cover)" totalsRowFunction="sum" dataDxfId="43" totalsRowDxfId="42" dataCellStyle="Comma"/>
    <tableColumn id="12" xr3:uid="{AA25E92B-4E77-4914-B8C6-B137CA9AA476}" name="Annual Premium" totalsRowFunction="sum" dataDxfId="41" totalsRowDxfId="40" dataCellStyle="Comma">
      <calculatedColumnFormula>Table2[[#This Row],[Death Premium]]+Table2[[#This Row],[PD Premium]]+Table2[[#This Row],[Riders'' premium (Burial expenses &amp; Spousal cover)]]</calculatedColumnFormula>
    </tableColumn>
    <tableColumn id="17" xr3:uid="{74D337B1-F6A4-4233-B28F-1F290FD3CA70}" name="NIN" dataDxfId="39" dataCellStyle="Comma"/>
  </tableColumns>
  <tableStyleInfo name="TableStyleLight15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1FDD05-8430-47CF-AFAC-2AA8376E834A}" name="Table5" displayName="Table5" ref="A1:E55" totalsRowShown="0" headerRowDxfId="38">
  <autoFilter ref="A1:E55" xr:uid="{9C1FDD05-8430-47CF-AFAC-2AA8376E834A}"/>
  <tableColumns count="5">
    <tableColumn id="1" xr3:uid="{067AF654-8165-4847-BA0B-6D8357DA1BFB}" name="S/n" dataDxfId="37"/>
    <tableColumn id="2" xr3:uid="{2B1BA650-4F7D-4470-8C5C-FB66F51F977F}" name="Emp. Code" dataDxfId="36"/>
    <tableColumn id="3" xr3:uid="{A8E693C5-0958-4080-9BE5-E6D996508361}" name="Surname" dataDxfId="35"/>
    <tableColumn id="4" xr3:uid="{B3255F69-A02D-47A1-BAE8-0780AFA901FA}" name="First Name" dataDxfId="34"/>
    <tableColumn id="5" xr3:uid="{5DBCC638-4457-45D4-8BFD-57B6D1FA163E}" name="Job Title Long Description" dataDxfId="3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276B-3ADC-4574-B016-5A2D4AA22B0E}">
  <dimension ref="C3:F12"/>
  <sheetViews>
    <sheetView tabSelected="1" topLeftCell="A4" workbookViewId="0">
      <selection activeCell="F18" sqref="F18"/>
    </sheetView>
  </sheetViews>
  <sheetFormatPr defaultRowHeight="14.4" x14ac:dyDescent="0.3"/>
  <cols>
    <col min="1" max="2" width="1.77734375" customWidth="1"/>
    <col min="3" max="3" width="26.44140625" customWidth="1"/>
    <col min="4" max="4" width="15.5546875" bestFit="1" customWidth="1"/>
    <col min="5" max="5" width="22.21875" bestFit="1" customWidth="1"/>
    <col min="6" max="6" width="19.44140625" bestFit="1" customWidth="1"/>
  </cols>
  <sheetData>
    <row r="3" spans="3:6" x14ac:dyDescent="0.3">
      <c r="C3" s="12" t="s">
        <v>1367</v>
      </c>
      <c r="D3" s="12"/>
      <c r="E3" s="12"/>
    </row>
    <row r="5" spans="3:6" x14ac:dyDescent="0.3">
      <c r="C5" t="s">
        <v>0</v>
      </c>
      <c r="D5" t="s">
        <v>1</v>
      </c>
      <c r="E5" t="s">
        <v>1565</v>
      </c>
      <c r="F5" t="s">
        <v>2</v>
      </c>
    </row>
    <row r="6" spans="3:6" x14ac:dyDescent="0.3">
      <c r="C6" t="s">
        <v>3</v>
      </c>
      <c r="D6">
        <f>Table3[[#Totals],[Emp. Code]]</f>
        <v>71</v>
      </c>
      <c r="E6" s="81">
        <f>Permanent!V79</f>
        <v>10820369.175193846</v>
      </c>
      <c r="F6" s="81">
        <f>Table4[[#This Row],[TOTAL PREMIUM]]*92/365</f>
        <v>2727325.929089956</v>
      </c>
    </row>
    <row r="7" spans="3:6" x14ac:dyDescent="0.3">
      <c r="C7" t="s">
        <v>4</v>
      </c>
      <c r="D7">
        <f>Table1[[#Totals],[Emp. Code]]</f>
        <v>184</v>
      </c>
      <c r="E7" s="81">
        <f>Dayrate!R186</f>
        <v>9403156.0393846054</v>
      </c>
      <c r="F7" s="81">
        <f>Table4[[#This Row],[TOTAL PREMIUM]]*92/365</f>
        <v>2370110.5633517359</v>
      </c>
    </row>
    <row r="8" spans="3:6" x14ac:dyDescent="0.3">
      <c r="C8" t="s">
        <v>5</v>
      </c>
      <c r="D8">
        <f>Table2[[#Totals],[Employee Code]]</f>
        <v>70</v>
      </c>
      <c r="E8" s="81">
        <f>'Lump Sum'!R72</f>
        <v>7530076.9288615352</v>
      </c>
      <c r="F8" s="81">
        <f>Table4[[#This Row],[TOTAL PREMIUM]]*92/365</f>
        <v>1897991.9930281129</v>
      </c>
    </row>
    <row r="9" spans="3:6" x14ac:dyDescent="0.3">
      <c r="C9" t="s">
        <v>6</v>
      </c>
      <c r="D9">
        <f>SUBTOTAL(109,Table4[No. Of Emp.])</f>
        <v>325</v>
      </c>
      <c r="E9" s="81">
        <f>SUBTOTAL(109,Table4[TOTAL PREMIUM])</f>
        <v>27753602.143439986</v>
      </c>
      <c r="F9" s="81">
        <f>SUBTOTAL(109,Table4[Premium Per Qtr])</f>
        <v>6995428.4854698041</v>
      </c>
    </row>
    <row r="11" spans="3:6" ht="15" thickBot="1" x14ac:dyDescent="0.35"/>
    <row r="12" spans="3:6" ht="16.2" thickBot="1" x14ac:dyDescent="0.35">
      <c r="C12" s="113" t="s">
        <v>7</v>
      </c>
      <c r="D12" s="114"/>
      <c r="E12" s="114"/>
      <c r="F12" s="115">
        <f>Table4[[#Totals],[Premium Per Qtr]]</f>
        <v>6995428.4854698041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5986-8843-47C8-90BF-5A3D247F2001}">
  <sheetPr>
    <outlinePr summaryBelow="0" summaryRight="0"/>
    <pageSetUpPr fitToPage="1"/>
  </sheetPr>
  <dimension ref="A1:W964"/>
  <sheetViews>
    <sheetView topLeftCell="M54" zoomScale="84" zoomScaleNormal="84" workbookViewId="0">
      <selection activeCell="U7" sqref="U7"/>
    </sheetView>
  </sheetViews>
  <sheetFormatPr defaultRowHeight="14.4" x14ac:dyDescent="0.3"/>
  <cols>
    <col min="1" max="1" width="5.77734375" customWidth="1"/>
    <col min="2" max="3" width="13.44140625" customWidth="1"/>
    <col min="4" max="4" width="16" customWidth="1"/>
    <col min="5" max="5" width="40.21875" style="1" bestFit="1" customWidth="1"/>
    <col min="6" max="6" width="11.44140625" style="1" bestFit="1" customWidth="1"/>
    <col min="7" max="7" width="9.5546875" style="1" customWidth="1"/>
    <col min="8" max="8" width="20" style="1" customWidth="1"/>
    <col min="9" max="10" width="13.77734375" style="1" bestFit="1" customWidth="1"/>
    <col min="11" max="11" width="13.77734375" style="2" bestFit="1" customWidth="1"/>
    <col min="12" max="12" width="20.44140625" style="2" bestFit="1" customWidth="1"/>
    <col min="13" max="13" width="20.21875" style="2" customWidth="1"/>
    <col min="14" max="14" width="20.44140625" style="2" customWidth="1"/>
    <col min="15" max="15" width="17.77734375" style="112" bestFit="1" customWidth="1"/>
    <col min="16" max="16" width="17.77734375" style="147" customWidth="1"/>
    <col min="17" max="18" width="19.21875" style="70" customWidth="1"/>
    <col min="19" max="19" width="17.44140625" style="70" customWidth="1"/>
    <col min="20" max="21" width="20.21875" style="70" customWidth="1"/>
    <col min="22" max="22" width="15.77734375" style="70" customWidth="1"/>
    <col min="23" max="23" width="16.21875" customWidth="1"/>
    <col min="24" max="24" width="17" customWidth="1"/>
  </cols>
  <sheetData>
    <row r="1" spans="1:23" x14ac:dyDescent="0.3">
      <c r="E1" s="6"/>
      <c r="F1" s="6"/>
      <c r="G1" s="6"/>
      <c r="H1" s="6"/>
      <c r="I1" s="6"/>
      <c r="J1" s="6"/>
      <c r="K1" s="7"/>
      <c r="L1" s="7"/>
      <c r="M1" s="7"/>
      <c r="N1" s="7"/>
      <c r="O1" s="69"/>
      <c r="P1" s="69"/>
    </row>
    <row r="2" spans="1:23" ht="15.6" x14ac:dyDescent="0.3">
      <c r="E2" s="14" t="s">
        <v>8</v>
      </c>
      <c r="F2" s="6"/>
      <c r="G2" s="6"/>
      <c r="H2" s="6"/>
      <c r="I2" s="14"/>
      <c r="J2"/>
      <c r="K2" s="7"/>
      <c r="L2" s="69"/>
      <c r="M2" s="70"/>
      <c r="N2" s="70"/>
      <c r="O2" s="70"/>
      <c r="P2" s="70"/>
      <c r="S2"/>
      <c r="T2"/>
      <c r="U2"/>
      <c r="V2"/>
    </row>
    <row r="3" spans="1:23" ht="15.6" x14ac:dyDescent="0.3">
      <c r="E3" s="14" t="s">
        <v>9</v>
      </c>
      <c r="F3" s="6"/>
      <c r="G3" s="6"/>
      <c r="H3" s="6"/>
      <c r="I3" s="14"/>
      <c r="J3"/>
      <c r="K3" s="7"/>
      <c r="L3" s="69"/>
      <c r="M3" s="70"/>
      <c r="N3" s="70"/>
      <c r="O3" s="70"/>
      <c r="P3" s="70"/>
      <c r="S3"/>
      <c r="T3"/>
      <c r="U3"/>
      <c r="V3"/>
    </row>
    <row r="4" spans="1:23" ht="15.6" x14ac:dyDescent="0.3">
      <c r="E4" s="82">
        <v>2026</v>
      </c>
      <c r="F4" s="6"/>
      <c r="G4" s="6"/>
      <c r="H4" s="6"/>
      <c r="I4" s="14"/>
      <c r="J4"/>
      <c r="K4" s="7"/>
      <c r="L4" s="69"/>
      <c r="M4" s="70"/>
      <c r="N4" s="70"/>
      <c r="O4" s="70"/>
      <c r="P4" s="70"/>
      <c r="S4"/>
      <c r="T4"/>
      <c r="U4"/>
      <c r="V4"/>
    </row>
    <row r="5" spans="1:23" ht="15.6" x14ac:dyDescent="0.3">
      <c r="E5" s="14" t="s">
        <v>10</v>
      </c>
      <c r="F5" s="6"/>
      <c r="G5" s="6"/>
      <c r="H5" s="6"/>
      <c r="I5" s="14"/>
      <c r="J5"/>
      <c r="K5" s="7"/>
      <c r="L5" s="69"/>
      <c r="M5" s="70"/>
      <c r="N5" s="70"/>
      <c r="O5" s="70"/>
      <c r="P5" s="70"/>
      <c r="S5"/>
      <c r="T5"/>
      <c r="U5"/>
      <c r="V5"/>
    </row>
    <row r="6" spans="1:23" x14ac:dyDescent="0.3">
      <c r="E6" s="6"/>
      <c r="F6" s="6"/>
      <c r="G6" s="6"/>
      <c r="H6" s="6"/>
      <c r="I6" s="6"/>
      <c r="J6" s="6"/>
      <c r="K6" s="7"/>
      <c r="L6" s="7"/>
      <c r="M6" s="7"/>
      <c r="N6" s="7"/>
      <c r="O6" s="69"/>
      <c r="P6" s="69"/>
    </row>
    <row r="7" spans="1:23" s="3" customFormat="1" ht="43.8" thickBot="1" x14ac:dyDescent="0.35">
      <c r="A7" s="72" t="s">
        <v>11</v>
      </c>
      <c r="B7" s="73" t="s">
        <v>12</v>
      </c>
      <c r="C7" s="74" t="s">
        <v>13</v>
      </c>
      <c r="D7" s="74" t="s">
        <v>14</v>
      </c>
      <c r="E7" s="74" t="s">
        <v>15</v>
      </c>
      <c r="F7" s="74" t="s">
        <v>16</v>
      </c>
      <c r="G7" s="74" t="s">
        <v>17</v>
      </c>
      <c r="H7" s="74" t="s">
        <v>18</v>
      </c>
      <c r="I7" s="74" t="s">
        <v>19</v>
      </c>
      <c r="J7" s="75" t="s">
        <v>20</v>
      </c>
      <c r="K7" s="76" t="s">
        <v>21</v>
      </c>
      <c r="L7" s="77" t="s">
        <v>22</v>
      </c>
      <c r="M7" s="74" t="s">
        <v>23</v>
      </c>
      <c r="N7" s="78" t="s">
        <v>24</v>
      </c>
      <c r="O7" s="104" t="s">
        <v>25</v>
      </c>
      <c r="P7" s="104" t="s">
        <v>1562</v>
      </c>
      <c r="Q7" s="105" t="s">
        <v>26</v>
      </c>
      <c r="R7" s="105" t="s">
        <v>1561</v>
      </c>
      <c r="S7" s="105" t="s">
        <v>27</v>
      </c>
      <c r="T7" s="105" t="s">
        <v>28</v>
      </c>
      <c r="U7" s="148" t="s">
        <v>1563</v>
      </c>
      <c r="V7" s="106" t="s">
        <v>1564</v>
      </c>
      <c r="W7" s="145" t="s">
        <v>1368</v>
      </c>
    </row>
    <row r="8" spans="1:23" x14ac:dyDescent="0.3">
      <c r="A8" s="49">
        <v>1</v>
      </c>
      <c r="B8" s="55" t="s">
        <v>30</v>
      </c>
      <c r="C8" s="4" t="s">
        <v>31</v>
      </c>
      <c r="D8" s="50" t="s">
        <v>32</v>
      </c>
      <c r="E8" s="50" t="s">
        <v>33</v>
      </c>
      <c r="F8" s="88">
        <v>26171</v>
      </c>
      <c r="G8" s="50" t="s">
        <v>1186</v>
      </c>
      <c r="H8" s="88">
        <f>_xlfn.XLOOKUP(Table3[[#This Row],[Emp. Code]],'[1]DLE EMP LIST'!$B:$B,'[1]DLE EMP LIST'!$N:$N)</f>
        <v>33208</v>
      </c>
      <c r="I8" s="51">
        <v>359353.17</v>
      </c>
      <c r="J8" s="51">
        <v>97439.99</v>
      </c>
      <c r="K8" s="51">
        <v>35503.4</v>
      </c>
      <c r="L8" s="48">
        <f t="shared" ref="L8:L39" si="0">I8+J8+K8</f>
        <v>492296.56</v>
      </c>
      <c r="M8" s="11" t="s">
        <v>34</v>
      </c>
      <c r="N8" s="52">
        <f t="shared" ref="N8:N39" si="1">L8*12</f>
        <v>5907558.7199999997</v>
      </c>
      <c r="O8" s="107">
        <f t="shared" ref="O8:O39" si="2">N8*3</f>
        <v>17722676.16</v>
      </c>
      <c r="P8" s="107">
        <f>6/1000*Table3[[#This Row],[Sum Assured]]</f>
        <v>106336.05696</v>
      </c>
      <c r="Q8" s="107">
        <v>50000</v>
      </c>
      <c r="R8" s="107">
        <f>0.09%*Table3[[#This Row],[Permenent Disability]]</f>
        <v>45</v>
      </c>
      <c r="S8" s="107">
        <v>250000</v>
      </c>
      <c r="T8" s="107">
        <v>50000</v>
      </c>
      <c r="U8" s="107">
        <v>92.307692307692307</v>
      </c>
      <c r="V8" s="107">
        <f>Table3[[#This Row],[Death Premium]]+Table3[[#This Row],[PD Premium]]+Table3[[#This Row],[Riders'' premium (Burial expenses &amp; Spousal cover)]]</f>
        <v>106473.36465230769</v>
      </c>
      <c r="W8" s="109" t="s">
        <v>1508</v>
      </c>
    </row>
    <row r="9" spans="1:23" x14ac:dyDescent="0.3">
      <c r="A9" s="4">
        <v>2</v>
      </c>
      <c r="B9" s="55" t="s">
        <v>35</v>
      </c>
      <c r="C9" s="4" t="s">
        <v>36</v>
      </c>
      <c r="D9" s="5" t="s">
        <v>37</v>
      </c>
      <c r="E9" s="5" t="s">
        <v>38</v>
      </c>
      <c r="F9" s="88">
        <v>25869</v>
      </c>
      <c r="G9" s="50" t="s">
        <v>1186</v>
      </c>
      <c r="H9" s="88">
        <f>_xlfn.XLOOKUP(Table3[[#This Row],[Emp. Code]],'[1]DLE EMP LIST'!$B:$B,'[1]DLE EMP LIST'!$N:$N)</f>
        <v>36192</v>
      </c>
      <c r="I9" s="51">
        <v>156825.88</v>
      </c>
      <c r="J9" s="51">
        <v>27287.7</v>
      </c>
      <c r="K9" s="51">
        <v>23523.88</v>
      </c>
      <c r="L9" s="2">
        <f t="shared" si="0"/>
        <v>207637.46000000002</v>
      </c>
      <c r="M9" s="9" t="s">
        <v>34</v>
      </c>
      <c r="N9" s="10">
        <f t="shared" si="1"/>
        <v>2491649.5200000005</v>
      </c>
      <c r="O9" s="108">
        <f t="shared" si="2"/>
        <v>7474948.5600000015</v>
      </c>
      <c r="P9" s="107">
        <f>6/1000*Table3[[#This Row],[Sum Assured]]</f>
        <v>44849.691360000012</v>
      </c>
      <c r="Q9" s="107">
        <v>50000</v>
      </c>
      <c r="R9" s="107">
        <f>0.09%*Table3[[#This Row],[Permenent Disability]]</f>
        <v>45</v>
      </c>
      <c r="S9" s="107">
        <v>250000</v>
      </c>
      <c r="T9" s="107">
        <v>50000</v>
      </c>
      <c r="U9" s="107">
        <v>92.307692307692307</v>
      </c>
      <c r="V9" s="107">
        <f>Table3[[#This Row],[Death Premium]]+Table3[[#This Row],[PD Premium]]+Table3[[#This Row],[Riders'' premium (Burial expenses &amp; Spousal cover)]]</f>
        <v>44986.999052307707</v>
      </c>
      <c r="W9" s="109" t="s">
        <v>1509</v>
      </c>
    </row>
    <row r="10" spans="1:23" x14ac:dyDescent="0.3">
      <c r="A10" s="49">
        <v>3</v>
      </c>
      <c r="B10" s="55" t="s">
        <v>39</v>
      </c>
      <c r="C10" s="4" t="s">
        <v>40</v>
      </c>
      <c r="D10" s="5" t="s">
        <v>41</v>
      </c>
      <c r="E10" s="5" t="s">
        <v>42</v>
      </c>
      <c r="F10" s="88">
        <v>26462</v>
      </c>
      <c r="G10" s="50" t="s">
        <v>1186</v>
      </c>
      <c r="H10" s="88">
        <f>_xlfn.XLOOKUP(Table3[[#This Row],[Emp. Code]],'[1]DLE EMP LIST'!$B:$B,'[1]DLE EMP LIST'!$N:$N)</f>
        <v>36192</v>
      </c>
      <c r="I10" s="51">
        <v>284987.82</v>
      </c>
      <c r="J10" s="51">
        <v>77275.539999999994</v>
      </c>
      <c r="K10" s="51">
        <v>28156.25</v>
      </c>
      <c r="L10" s="2">
        <f t="shared" si="0"/>
        <v>390419.61</v>
      </c>
      <c r="M10" s="9" t="s">
        <v>43</v>
      </c>
      <c r="N10" s="10">
        <f t="shared" si="1"/>
        <v>4685035.32</v>
      </c>
      <c r="O10" s="108">
        <f t="shared" si="2"/>
        <v>14055105.960000001</v>
      </c>
      <c r="P10" s="107">
        <f>6/1000*Table3[[#This Row],[Sum Assured]]</f>
        <v>84330.635760000005</v>
      </c>
      <c r="Q10" s="107">
        <v>50000</v>
      </c>
      <c r="R10" s="107">
        <f>0.09%*Table3[[#This Row],[Permenent Disability]]</f>
        <v>45</v>
      </c>
      <c r="S10" s="107">
        <v>250000</v>
      </c>
      <c r="T10" s="107">
        <v>50000</v>
      </c>
      <c r="U10" s="107">
        <v>92.307692307692307</v>
      </c>
      <c r="V10" s="107">
        <f>Table3[[#This Row],[Death Premium]]+Table3[[#This Row],[PD Premium]]+Table3[[#This Row],[Riders'' premium (Burial expenses &amp; Spousal cover)]]</f>
        <v>84467.943452307692</v>
      </c>
      <c r="W10" s="109" t="s">
        <v>1510</v>
      </c>
    </row>
    <row r="11" spans="1:23" x14ac:dyDescent="0.3">
      <c r="A11" s="49">
        <v>4</v>
      </c>
      <c r="B11" s="55" t="s">
        <v>44</v>
      </c>
      <c r="C11" s="4" t="s">
        <v>45</v>
      </c>
      <c r="D11" s="5" t="s">
        <v>46</v>
      </c>
      <c r="E11" s="5" t="s">
        <v>47</v>
      </c>
      <c r="F11" s="88">
        <v>28848</v>
      </c>
      <c r="G11" s="50" t="s">
        <v>1186</v>
      </c>
      <c r="H11" s="88">
        <f>_xlfn.XLOOKUP(Table3[[#This Row],[Emp. Code]],'[1]DLE EMP LIST'!$B:$B,'[1]DLE EMP LIST'!$N:$N)</f>
        <v>37321</v>
      </c>
      <c r="I11" s="51">
        <v>154339.76999999999</v>
      </c>
      <c r="J11" s="51">
        <v>41849.82</v>
      </c>
      <c r="K11" s="51">
        <v>15248.47</v>
      </c>
      <c r="L11" s="2">
        <f t="shared" si="0"/>
        <v>211438.06</v>
      </c>
      <c r="M11" s="9" t="s">
        <v>43</v>
      </c>
      <c r="N11" s="10">
        <f t="shared" si="1"/>
        <v>2537256.7199999997</v>
      </c>
      <c r="O11" s="108">
        <f t="shared" si="2"/>
        <v>7611770.1599999992</v>
      </c>
      <c r="P11" s="107">
        <f>6/1000*Table3[[#This Row],[Sum Assured]]</f>
        <v>45670.620959999993</v>
      </c>
      <c r="Q11" s="107">
        <v>50000</v>
      </c>
      <c r="R11" s="107">
        <f>0.09%*Table3[[#This Row],[Permenent Disability]]</f>
        <v>45</v>
      </c>
      <c r="S11" s="107">
        <v>250000</v>
      </c>
      <c r="T11" s="107">
        <v>50000</v>
      </c>
      <c r="U11" s="107">
        <v>92.307692307692307</v>
      </c>
      <c r="V11" s="107">
        <f>Table3[[#This Row],[Death Premium]]+Table3[[#This Row],[PD Premium]]+Table3[[#This Row],[Riders'' premium (Burial expenses &amp; Spousal cover)]]</f>
        <v>45807.928652307688</v>
      </c>
      <c r="W11" s="109" t="s">
        <v>1511</v>
      </c>
    </row>
    <row r="12" spans="1:23" x14ac:dyDescent="0.3">
      <c r="A12" s="49">
        <v>5</v>
      </c>
      <c r="B12" s="55" t="s">
        <v>48</v>
      </c>
      <c r="C12" s="4" t="s">
        <v>49</v>
      </c>
      <c r="D12" s="5" t="s">
        <v>50</v>
      </c>
      <c r="E12" s="5" t="s">
        <v>51</v>
      </c>
      <c r="F12" s="88">
        <v>27418</v>
      </c>
      <c r="G12" s="50" t="s">
        <v>1186</v>
      </c>
      <c r="H12" s="88">
        <f>_xlfn.XLOOKUP(Table3[[#This Row],[Emp. Code]],'[1]DLE EMP LIST'!$B:$B,'[1]DLE EMP LIST'!$N:$N)</f>
        <v>37410</v>
      </c>
      <c r="I12" s="51">
        <v>154770.01999999999</v>
      </c>
      <c r="J12" s="51">
        <v>41966.49</v>
      </c>
      <c r="K12" s="51">
        <v>15290.98</v>
      </c>
      <c r="L12" s="2">
        <f t="shared" si="0"/>
        <v>212027.49</v>
      </c>
      <c r="M12" s="9" t="s">
        <v>43</v>
      </c>
      <c r="N12" s="10">
        <f t="shared" si="1"/>
        <v>2544329.88</v>
      </c>
      <c r="O12" s="108">
        <f t="shared" si="2"/>
        <v>7632989.6399999997</v>
      </c>
      <c r="P12" s="107">
        <f>6/1000*Table3[[#This Row],[Sum Assured]]</f>
        <v>45797.937839999999</v>
      </c>
      <c r="Q12" s="107">
        <v>50000</v>
      </c>
      <c r="R12" s="107">
        <f>0.09%*Table3[[#This Row],[Permenent Disability]]</f>
        <v>45</v>
      </c>
      <c r="S12" s="107">
        <v>250000</v>
      </c>
      <c r="T12" s="107">
        <v>50000</v>
      </c>
      <c r="U12" s="107">
        <v>92.307692307692307</v>
      </c>
      <c r="V12" s="107">
        <f>Table3[[#This Row],[Death Premium]]+Table3[[#This Row],[PD Premium]]+Table3[[#This Row],[Riders'' premium (Burial expenses &amp; Spousal cover)]]</f>
        <v>45935.245532307694</v>
      </c>
      <c r="W12" s="109">
        <v>0</v>
      </c>
    </row>
    <row r="13" spans="1:23" x14ac:dyDescent="0.3">
      <c r="A13" s="4">
        <v>6</v>
      </c>
      <c r="B13" s="55" t="s">
        <v>52</v>
      </c>
      <c r="C13" s="4" t="s">
        <v>53</v>
      </c>
      <c r="D13" s="5" t="s">
        <v>54</v>
      </c>
      <c r="E13" s="5" t="s">
        <v>55</v>
      </c>
      <c r="F13" s="88">
        <v>24827</v>
      </c>
      <c r="G13" s="50" t="s">
        <v>1186</v>
      </c>
      <c r="H13" s="88">
        <f>_xlfn.XLOOKUP(Table3[[#This Row],[Emp. Code]],'[1]DLE EMP LIST'!$B:$B,'[1]DLE EMP LIST'!$N:$N)</f>
        <v>37410</v>
      </c>
      <c r="I13" s="51">
        <v>308711.12</v>
      </c>
      <c r="J13" s="51">
        <v>83708.210000000006</v>
      </c>
      <c r="K13" s="51">
        <v>30500.07</v>
      </c>
      <c r="L13" s="2">
        <f t="shared" si="0"/>
        <v>422919.4</v>
      </c>
      <c r="M13" s="9" t="s">
        <v>43</v>
      </c>
      <c r="N13" s="10">
        <f t="shared" si="1"/>
        <v>5075032.8000000007</v>
      </c>
      <c r="O13" s="108">
        <f t="shared" si="2"/>
        <v>15225098.400000002</v>
      </c>
      <c r="P13" s="107">
        <f>6/1000*Table3[[#This Row],[Sum Assured]]</f>
        <v>91350.590400000016</v>
      </c>
      <c r="Q13" s="107">
        <v>50000</v>
      </c>
      <c r="R13" s="107">
        <f>0.09%*Table3[[#This Row],[Permenent Disability]]</f>
        <v>45</v>
      </c>
      <c r="S13" s="107">
        <v>250000</v>
      </c>
      <c r="T13" s="107">
        <v>50000</v>
      </c>
      <c r="U13" s="107">
        <v>92.307692307692307</v>
      </c>
      <c r="V13" s="107">
        <f>Table3[[#This Row],[Death Premium]]+Table3[[#This Row],[PD Premium]]+Table3[[#This Row],[Riders'' premium (Burial expenses &amp; Spousal cover)]]</f>
        <v>91487.898092307703</v>
      </c>
      <c r="W13" s="109">
        <v>0</v>
      </c>
    </row>
    <row r="14" spans="1:23" x14ac:dyDescent="0.3">
      <c r="A14" s="49">
        <v>7</v>
      </c>
      <c r="B14" s="55" t="s">
        <v>56</v>
      </c>
      <c r="C14" s="4" t="s">
        <v>57</v>
      </c>
      <c r="D14" s="5" t="s">
        <v>58</v>
      </c>
      <c r="E14" s="5" t="s">
        <v>59</v>
      </c>
      <c r="F14" s="88">
        <v>26665</v>
      </c>
      <c r="G14" s="50" t="s">
        <v>1186</v>
      </c>
      <c r="H14" s="88">
        <f>_xlfn.XLOOKUP(Table3[[#This Row],[Emp. Code]],'[1]DLE EMP LIST'!$B:$B,'[1]DLE EMP LIST'!$N:$N)</f>
        <v>37379</v>
      </c>
      <c r="I14" s="51">
        <v>320109.28000000003</v>
      </c>
      <c r="J14" s="51">
        <v>86798.86</v>
      </c>
      <c r="K14" s="51">
        <v>31626.18</v>
      </c>
      <c r="L14" s="2">
        <f t="shared" si="0"/>
        <v>438534.32</v>
      </c>
      <c r="M14" s="9" t="s">
        <v>43</v>
      </c>
      <c r="N14" s="10">
        <f t="shared" si="1"/>
        <v>5262411.84</v>
      </c>
      <c r="O14" s="108">
        <f t="shared" si="2"/>
        <v>15787235.52</v>
      </c>
      <c r="P14" s="107">
        <f>6/1000*Table3[[#This Row],[Sum Assured]]</f>
        <v>94723.413119999997</v>
      </c>
      <c r="Q14" s="107">
        <v>50000</v>
      </c>
      <c r="R14" s="107">
        <f>0.09%*Table3[[#This Row],[Permenent Disability]]</f>
        <v>45</v>
      </c>
      <c r="S14" s="107">
        <v>250000</v>
      </c>
      <c r="T14" s="107">
        <v>50000</v>
      </c>
      <c r="U14" s="107">
        <v>92.307692307692307</v>
      </c>
      <c r="V14" s="107">
        <f>Table3[[#This Row],[Death Premium]]+Table3[[#This Row],[PD Premium]]+Table3[[#This Row],[Riders'' premium (Burial expenses &amp; Spousal cover)]]</f>
        <v>94860.720812307685</v>
      </c>
      <c r="W14" s="109">
        <v>0</v>
      </c>
    </row>
    <row r="15" spans="1:23" x14ac:dyDescent="0.3">
      <c r="A15" s="49">
        <v>8</v>
      </c>
      <c r="B15" s="55" t="s">
        <v>60</v>
      </c>
      <c r="C15" s="4" t="s">
        <v>61</v>
      </c>
      <c r="D15" s="5" t="s">
        <v>62</v>
      </c>
      <c r="E15" s="5" t="s">
        <v>63</v>
      </c>
      <c r="F15" s="88">
        <v>25080</v>
      </c>
      <c r="G15" s="50" t="s">
        <v>1186</v>
      </c>
      <c r="H15" s="88">
        <f>_xlfn.XLOOKUP(Table3[[#This Row],[Emp. Code]],'[1]DLE EMP LIST'!$B:$B,'[1]DLE EMP LIST'!$N:$N)</f>
        <v>37379</v>
      </c>
      <c r="I15" s="51">
        <v>266675.81</v>
      </c>
      <c r="J15" s="51">
        <v>72310.17</v>
      </c>
      <c r="K15" s="51">
        <v>26347.06</v>
      </c>
      <c r="L15" s="2">
        <f t="shared" si="0"/>
        <v>365333.04</v>
      </c>
      <c r="M15" s="9" t="s">
        <v>43</v>
      </c>
      <c r="N15" s="10">
        <f t="shared" si="1"/>
        <v>4383996.4799999995</v>
      </c>
      <c r="O15" s="108">
        <f t="shared" si="2"/>
        <v>13151989.439999998</v>
      </c>
      <c r="P15" s="107">
        <f>6/1000*Table3[[#This Row],[Sum Assured]]</f>
        <v>78911.936639999985</v>
      </c>
      <c r="Q15" s="107">
        <v>50000</v>
      </c>
      <c r="R15" s="107">
        <f>0.09%*Table3[[#This Row],[Permenent Disability]]</f>
        <v>45</v>
      </c>
      <c r="S15" s="107">
        <v>250000</v>
      </c>
      <c r="T15" s="107">
        <v>50000</v>
      </c>
      <c r="U15" s="107">
        <v>92.307692307692307</v>
      </c>
      <c r="V15" s="107">
        <f>Table3[[#This Row],[Death Premium]]+Table3[[#This Row],[PD Premium]]+Table3[[#This Row],[Riders'' premium (Burial expenses &amp; Spousal cover)]]</f>
        <v>79049.244332307673</v>
      </c>
      <c r="W15" s="109" t="s">
        <v>1512</v>
      </c>
    </row>
    <row r="16" spans="1:23" x14ac:dyDescent="0.3">
      <c r="A16" s="49">
        <v>9</v>
      </c>
      <c r="B16" s="55" t="s">
        <v>64</v>
      </c>
      <c r="C16" s="4" t="s">
        <v>65</v>
      </c>
      <c r="D16" s="5" t="s">
        <v>66</v>
      </c>
      <c r="E16" s="5" t="s">
        <v>67</v>
      </c>
      <c r="F16" s="88">
        <v>28328</v>
      </c>
      <c r="G16" s="50" t="s">
        <v>1186</v>
      </c>
      <c r="H16" s="88">
        <f>_xlfn.XLOOKUP(Table3[[#This Row],[Emp. Code]],'[1]DLE EMP LIST'!$B:$B,'[1]DLE EMP LIST'!$N:$N)</f>
        <v>37629</v>
      </c>
      <c r="I16" s="51">
        <v>478426.42</v>
      </c>
      <c r="J16" s="51">
        <v>191370.57</v>
      </c>
      <c r="K16" s="51">
        <v>143527.93</v>
      </c>
      <c r="L16" s="2">
        <f t="shared" si="0"/>
        <v>813324.91999999993</v>
      </c>
      <c r="M16" s="9" t="s">
        <v>43</v>
      </c>
      <c r="N16" s="10">
        <f t="shared" si="1"/>
        <v>9759899.0399999991</v>
      </c>
      <c r="O16" s="108">
        <f t="shared" si="2"/>
        <v>29279697.119999997</v>
      </c>
      <c r="P16" s="107">
        <f>6/1000*Table3[[#This Row],[Sum Assured]]</f>
        <v>175678.18271999998</v>
      </c>
      <c r="Q16" s="107">
        <v>50000</v>
      </c>
      <c r="R16" s="107">
        <f>0.09%*Table3[[#This Row],[Permenent Disability]]</f>
        <v>45</v>
      </c>
      <c r="S16" s="107">
        <v>250000</v>
      </c>
      <c r="T16" s="107">
        <v>50000</v>
      </c>
      <c r="U16" s="107">
        <v>92.307692307692307</v>
      </c>
      <c r="V16" s="107">
        <f>Table3[[#This Row],[Death Premium]]+Table3[[#This Row],[PD Premium]]+Table3[[#This Row],[Riders'' premium (Burial expenses &amp; Spousal cover)]]</f>
        <v>175815.49041230767</v>
      </c>
      <c r="W16" s="109">
        <v>0</v>
      </c>
    </row>
    <row r="17" spans="1:23" x14ac:dyDescent="0.3">
      <c r="A17" s="4">
        <v>10</v>
      </c>
      <c r="B17" s="55" t="s">
        <v>68</v>
      </c>
      <c r="C17" s="4" t="s">
        <v>69</v>
      </c>
      <c r="D17" s="5" t="s">
        <v>70</v>
      </c>
      <c r="E17" s="5" t="s">
        <v>71</v>
      </c>
      <c r="F17" s="88">
        <v>28044</v>
      </c>
      <c r="G17" s="50" t="s">
        <v>1186</v>
      </c>
      <c r="H17" s="88">
        <f>_xlfn.XLOOKUP(Table3[[#This Row],[Emp. Code]],'[1]DLE EMP LIST'!$B:$B,'[1]DLE EMP LIST'!$N:$N)</f>
        <v>38051</v>
      </c>
      <c r="I17" s="51">
        <v>260425.52</v>
      </c>
      <c r="J17" s="51">
        <v>70615.38</v>
      </c>
      <c r="K17" s="51">
        <v>25729.54</v>
      </c>
      <c r="L17" s="2">
        <f t="shared" si="0"/>
        <v>356770.44</v>
      </c>
      <c r="M17" s="9" t="s">
        <v>43</v>
      </c>
      <c r="N17" s="10">
        <f t="shared" si="1"/>
        <v>4281245.28</v>
      </c>
      <c r="O17" s="108">
        <f t="shared" si="2"/>
        <v>12843735.84</v>
      </c>
      <c r="P17" s="107">
        <f>6/1000*Table3[[#This Row],[Sum Assured]]</f>
        <v>77062.415040000007</v>
      </c>
      <c r="Q17" s="107">
        <v>50000</v>
      </c>
      <c r="R17" s="107">
        <f>0.09%*Table3[[#This Row],[Permenent Disability]]</f>
        <v>45</v>
      </c>
      <c r="S17" s="107">
        <v>250000</v>
      </c>
      <c r="T17" s="107">
        <v>50000</v>
      </c>
      <c r="U17" s="107">
        <v>92.307692307692307</v>
      </c>
      <c r="V17" s="107">
        <f>Table3[[#This Row],[Death Premium]]+Table3[[#This Row],[PD Premium]]+Table3[[#This Row],[Riders'' premium (Burial expenses &amp; Spousal cover)]]</f>
        <v>77199.722732307695</v>
      </c>
      <c r="W17" s="109" t="s">
        <v>1513</v>
      </c>
    </row>
    <row r="18" spans="1:23" x14ac:dyDescent="0.3">
      <c r="A18" s="49">
        <v>11</v>
      </c>
      <c r="B18" s="55" t="s">
        <v>72</v>
      </c>
      <c r="C18" s="4" t="s">
        <v>73</v>
      </c>
      <c r="D18" s="5" t="s">
        <v>74</v>
      </c>
      <c r="E18" s="5" t="s">
        <v>75</v>
      </c>
      <c r="F18" s="88">
        <v>26747</v>
      </c>
      <c r="G18" s="50" t="s">
        <v>1186</v>
      </c>
      <c r="H18" s="88">
        <f>_xlfn.XLOOKUP(Table3[[#This Row],[Emp. Code]],'[1]DLE EMP LIST'!$B:$B,'[1]DLE EMP LIST'!$N:$N)</f>
        <v>38264</v>
      </c>
      <c r="I18" s="51">
        <v>254109.08</v>
      </c>
      <c r="J18" s="51">
        <v>68902.649999999994</v>
      </c>
      <c r="K18" s="51">
        <v>25105.49</v>
      </c>
      <c r="L18" s="2">
        <f t="shared" si="0"/>
        <v>348117.22</v>
      </c>
      <c r="M18" s="9" t="s">
        <v>43</v>
      </c>
      <c r="N18" s="10">
        <f t="shared" si="1"/>
        <v>4177406.6399999997</v>
      </c>
      <c r="O18" s="108">
        <f t="shared" si="2"/>
        <v>12532219.919999998</v>
      </c>
      <c r="P18" s="107">
        <f>6/1000*Table3[[#This Row],[Sum Assured]]</f>
        <v>75193.31951999999</v>
      </c>
      <c r="Q18" s="107">
        <v>50000</v>
      </c>
      <c r="R18" s="107">
        <f>0.09%*Table3[[#This Row],[Permenent Disability]]</f>
        <v>45</v>
      </c>
      <c r="S18" s="107">
        <v>250000</v>
      </c>
      <c r="T18" s="107">
        <v>50000</v>
      </c>
      <c r="U18" s="107">
        <v>92.307692307692307</v>
      </c>
      <c r="V18" s="107">
        <f>Table3[[#This Row],[Death Premium]]+Table3[[#This Row],[PD Premium]]+Table3[[#This Row],[Riders'' premium (Burial expenses &amp; Spousal cover)]]</f>
        <v>75330.627212307678</v>
      </c>
      <c r="W18" s="109">
        <v>0</v>
      </c>
    </row>
    <row r="19" spans="1:23" x14ac:dyDescent="0.3">
      <c r="A19" s="49">
        <v>12</v>
      </c>
      <c r="B19" s="55" t="s">
        <v>76</v>
      </c>
      <c r="C19" s="4" t="s">
        <v>77</v>
      </c>
      <c r="D19" s="5" t="s">
        <v>78</v>
      </c>
      <c r="E19" s="5" t="s">
        <v>79</v>
      </c>
      <c r="F19" s="88">
        <v>24433</v>
      </c>
      <c r="G19" s="50" t="s">
        <v>1186</v>
      </c>
      <c r="H19" s="88">
        <f>_xlfn.XLOOKUP(Table3[[#This Row],[Emp. Code]],'[1]DLE EMP LIST'!$B:$B,'[1]DLE EMP LIST'!$N:$N)</f>
        <v>37991</v>
      </c>
      <c r="I19" s="51">
        <v>268960.65000000002</v>
      </c>
      <c r="J19" s="51">
        <v>72929.710000000006</v>
      </c>
      <c r="K19" s="51">
        <v>26572.79</v>
      </c>
      <c r="L19" s="2">
        <f t="shared" si="0"/>
        <v>368463.15</v>
      </c>
      <c r="M19" s="9" t="s">
        <v>43</v>
      </c>
      <c r="N19" s="10">
        <f t="shared" si="1"/>
        <v>4421557.8000000007</v>
      </c>
      <c r="O19" s="108">
        <f t="shared" si="2"/>
        <v>13264673.400000002</v>
      </c>
      <c r="P19" s="107">
        <f>6/1000*Table3[[#This Row],[Sum Assured]]</f>
        <v>79588.040400000013</v>
      </c>
      <c r="Q19" s="107">
        <v>50000</v>
      </c>
      <c r="R19" s="107">
        <f>0.09%*Table3[[#This Row],[Permenent Disability]]</f>
        <v>45</v>
      </c>
      <c r="S19" s="107">
        <v>250000</v>
      </c>
      <c r="T19" s="107">
        <v>50000</v>
      </c>
      <c r="U19" s="107">
        <v>92.307692307692307</v>
      </c>
      <c r="V19" s="107">
        <f>Table3[[#This Row],[Death Premium]]+Table3[[#This Row],[PD Premium]]+Table3[[#This Row],[Riders'' premium (Burial expenses &amp; Spousal cover)]]</f>
        <v>79725.3480923077</v>
      </c>
      <c r="W19" s="109" t="s">
        <v>1514</v>
      </c>
    </row>
    <row r="20" spans="1:23" x14ac:dyDescent="0.3">
      <c r="A20" s="49">
        <v>13</v>
      </c>
      <c r="B20" s="55" t="s">
        <v>80</v>
      </c>
      <c r="C20" s="4" t="s">
        <v>81</v>
      </c>
      <c r="D20" s="5" t="s">
        <v>82</v>
      </c>
      <c r="E20" s="5" t="s">
        <v>83</v>
      </c>
      <c r="F20" s="88">
        <v>25290</v>
      </c>
      <c r="G20" s="50" t="s">
        <v>1186</v>
      </c>
      <c r="H20" s="88">
        <f>_xlfn.XLOOKUP(Table3[[#This Row],[Emp. Code]],'[1]DLE EMP LIST'!$B:$B,'[1]DLE EMP LIST'!$N:$N)</f>
        <v>38555</v>
      </c>
      <c r="I20" s="51">
        <v>344548.78</v>
      </c>
      <c r="J20" s="51">
        <v>93425.73</v>
      </c>
      <c r="K20" s="51">
        <v>34040.76</v>
      </c>
      <c r="L20" s="2">
        <f t="shared" si="0"/>
        <v>472015.27</v>
      </c>
      <c r="M20" s="9" t="s">
        <v>43</v>
      </c>
      <c r="N20" s="10">
        <f t="shared" si="1"/>
        <v>5664183.2400000002</v>
      </c>
      <c r="O20" s="108">
        <f t="shared" si="2"/>
        <v>16992549.719999999</v>
      </c>
      <c r="P20" s="107">
        <f>6/1000*Table3[[#This Row],[Sum Assured]]</f>
        <v>101955.29832</v>
      </c>
      <c r="Q20" s="107">
        <v>50000</v>
      </c>
      <c r="R20" s="107">
        <f>0.09%*Table3[[#This Row],[Permenent Disability]]</f>
        <v>45</v>
      </c>
      <c r="S20" s="107">
        <v>250000</v>
      </c>
      <c r="T20" s="107">
        <v>50000</v>
      </c>
      <c r="U20" s="107">
        <v>92.307692307692307</v>
      </c>
      <c r="V20" s="107">
        <f>Table3[[#This Row],[Death Premium]]+Table3[[#This Row],[PD Premium]]+Table3[[#This Row],[Riders'' premium (Burial expenses &amp; Spousal cover)]]</f>
        <v>102092.60601230769</v>
      </c>
      <c r="W20" s="109">
        <v>0</v>
      </c>
    </row>
    <row r="21" spans="1:23" x14ac:dyDescent="0.3">
      <c r="A21" s="4">
        <v>14</v>
      </c>
      <c r="B21" s="55" t="s">
        <v>84</v>
      </c>
      <c r="C21" s="4" t="s">
        <v>85</v>
      </c>
      <c r="D21" s="5" t="s">
        <v>86</v>
      </c>
      <c r="E21" s="5" t="s">
        <v>87</v>
      </c>
      <c r="F21" s="88">
        <v>27638</v>
      </c>
      <c r="G21" s="50" t="s">
        <v>1186</v>
      </c>
      <c r="H21" s="88">
        <f>_xlfn.XLOOKUP(Table3[[#This Row],[Emp. Code]],'[1]DLE EMP LIST'!$B:$B,'[1]DLE EMP LIST'!$N:$N)</f>
        <v>38671</v>
      </c>
      <c r="I21" s="51">
        <v>270287.46000000002</v>
      </c>
      <c r="J21" s="51">
        <v>73289.48</v>
      </c>
      <c r="K21" s="51">
        <v>26703.88</v>
      </c>
      <c r="L21" s="2">
        <f t="shared" si="0"/>
        <v>370280.82</v>
      </c>
      <c r="M21" s="9" t="s">
        <v>43</v>
      </c>
      <c r="N21" s="10">
        <f t="shared" si="1"/>
        <v>4443369.84</v>
      </c>
      <c r="O21" s="108">
        <f t="shared" si="2"/>
        <v>13330109.52</v>
      </c>
      <c r="P21" s="107">
        <f>6/1000*Table3[[#This Row],[Sum Assured]]</f>
        <v>79980.657120000003</v>
      </c>
      <c r="Q21" s="107">
        <v>50000</v>
      </c>
      <c r="R21" s="107">
        <f>0.09%*Table3[[#This Row],[Permenent Disability]]</f>
        <v>45</v>
      </c>
      <c r="S21" s="107">
        <v>250000</v>
      </c>
      <c r="T21" s="107">
        <v>50000</v>
      </c>
      <c r="U21" s="107">
        <v>92.307692307692307</v>
      </c>
      <c r="V21" s="107">
        <f>Table3[[#This Row],[Death Premium]]+Table3[[#This Row],[PD Premium]]+Table3[[#This Row],[Riders'' premium (Burial expenses &amp; Spousal cover)]]</f>
        <v>80117.964812307691</v>
      </c>
      <c r="W21" s="109" t="s">
        <v>1515</v>
      </c>
    </row>
    <row r="22" spans="1:23" x14ac:dyDescent="0.3">
      <c r="A22" s="49">
        <v>15</v>
      </c>
      <c r="B22" s="55" t="s">
        <v>88</v>
      </c>
      <c r="C22" s="4" t="s">
        <v>89</v>
      </c>
      <c r="D22" s="5" t="s">
        <v>90</v>
      </c>
      <c r="E22" s="5" t="s">
        <v>91</v>
      </c>
      <c r="F22" s="88">
        <v>26535</v>
      </c>
      <c r="G22" s="50" t="s">
        <v>1186</v>
      </c>
      <c r="H22" s="88">
        <f>_xlfn.XLOOKUP(Table3[[#This Row],[Emp. Code]],'[1]DLE EMP LIST'!$B:$B,'[1]DLE EMP LIST'!$N:$N)</f>
        <v>38565</v>
      </c>
      <c r="I22" s="51">
        <v>204086.39999999999</v>
      </c>
      <c r="J22" s="51">
        <v>35511.03</v>
      </c>
      <c r="K22" s="51">
        <v>30612.959999999999</v>
      </c>
      <c r="L22" s="2">
        <f t="shared" si="0"/>
        <v>270210.39</v>
      </c>
      <c r="M22" s="9" t="s">
        <v>43</v>
      </c>
      <c r="N22" s="10">
        <f t="shared" si="1"/>
        <v>3242524.68</v>
      </c>
      <c r="O22" s="108">
        <f t="shared" si="2"/>
        <v>9727574.040000001</v>
      </c>
      <c r="P22" s="107">
        <f>6/1000*Table3[[#This Row],[Sum Assured]]</f>
        <v>58365.444240000004</v>
      </c>
      <c r="Q22" s="107">
        <v>50000</v>
      </c>
      <c r="R22" s="107">
        <f>0.09%*Table3[[#This Row],[Permenent Disability]]</f>
        <v>45</v>
      </c>
      <c r="S22" s="107">
        <v>250000</v>
      </c>
      <c r="T22" s="107">
        <v>50000</v>
      </c>
      <c r="U22" s="107">
        <v>92.307692307692307</v>
      </c>
      <c r="V22" s="107">
        <f>Table3[[#This Row],[Death Premium]]+Table3[[#This Row],[PD Premium]]+Table3[[#This Row],[Riders'' premium (Burial expenses &amp; Spousal cover)]]</f>
        <v>58502.751932307699</v>
      </c>
      <c r="W22" s="109" t="s">
        <v>1516</v>
      </c>
    </row>
    <row r="23" spans="1:23" x14ac:dyDescent="0.3">
      <c r="A23" s="49">
        <v>16</v>
      </c>
      <c r="B23" s="55" t="s">
        <v>92</v>
      </c>
      <c r="C23" s="4" t="s">
        <v>93</v>
      </c>
      <c r="D23" s="5" t="s">
        <v>94</v>
      </c>
      <c r="E23" s="5" t="s">
        <v>95</v>
      </c>
      <c r="F23" s="88">
        <v>25781</v>
      </c>
      <c r="G23" s="50" t="s">
        <v>1186</v>
      </c>
      <c r="H23" s="88">
        <f>_xlfn.XLOOKUP(Table3[[#This Row],[Emp. Code]],'[1]DLE EMP LIST'!$B:$B,'[1]DLE EMP LIST'!$N:$N)</f>
        <v>38815</v>
      </c>
      <c r="I23" s="51">
        <v>330917.84999999998</v>
      </c>
      <c r="J23" s="51">
        <v>264734.28000000003</v>
      </c>
      <c r="K23" s="51">
        <v>198550.71</v>
      </c>
      <c r="L23" s="2">
        <f t="shared" si="0"/>
        <v>794202.84</v>
      </c>
      <c r="M23" s="9" t="s">
        <v>43</v>
      </c>
      <c r="N23" s="10">
        <f t="shared" si="1"/>
        <v>9530434.0800000001</v>
      </c>
      <c r="O23" s="108">
        <f t="shared" si="2"/>
        <v>28591302.240000002</v>
      </c>
      <c r="P23" s="107">
        <f>6/1000*Table3[[#This Row],[Sum Assured]]</f>
        <v>171547.81344000003</v>
      </c>
      <c r="Q23" s="107">
        <v>50000</v>
      </c>
      <c r="R23" s="107">
        <f>0.09%*Table3[[#This Row],[Permenent Disability]]</f>
        <v>45</v>
      </c>
      <c r="S23" s="107">
        <v>250000</v>
      </c>
      <c r="T23" s="107">
        <v>50000</v>
      </c>
      <c r="U23" s="107">
        <v>92.307692307692307</v>
      </c>
      <c r="V23" s="107">
        <f>Table3[[#This Row],[Death Premium]]+Table3[[#This Row],[PD Premium]]+Table3[[#This Row],[Riders'' premium (Burial expenses &amp; Spousal cover)]]</f>
        <v>171685.12113230772</v>
      </c>
      <c r="W23" s="109" t="s">
        <v>1517</v>
      </c>
    </row>
    <row r="24" spans="1:23" x14ac:dyDescent="0.3">
      <c r="A24" s="49">
        <v>17</v>
      </c>
      <c r="B24" s="55" t="s">
        <v>96</v>
      </c>
      <c r="C24" s="4" t="s">
        <v>97</v>
      </c>
      <c r="D24" s="5" t="s">
        <v>98</v>
      </c>
      <c r="E24" s="5" t="s">
        <v>99</v>
      </c>
      <c r="F24" s="88">
        <v>30292</v>
      </c>
      <c r="G24" s="50" t="s">
        <v>1186</v>
      </c>
      <c r="H24" s="88">
        <f>_xlfn.XLOOKUP(Table3[[#This Row],[Emp. Code]],'[1]DLE EMP LIST'!$B:$B,'[1]DLE EMP LIST'!$N:$N)</f>
        <v>39622</v>
      </c>
      <c r="I24" s="51">
        <v>372500</v>
      </c>
      <c r="J24" s="51">
        <v>149000</v>
      </c>
      <c r="K24" s="51">
        <v>111750</v>
      </c>
      <c r="L24" s="2">
        <f t="shared" si="0"/>
        <v>633250</v>
      </c>
      <c r="M24" s="9" t="s">
        <v>43</v>
      </c>
      <c r="N24" s="10">
        <f t="shared" si="1"/>
        <v>7599000</v>
      </c>
      <c r="O24" s="108">
        <f t="shared" si="2"/>
        <v>22797000</v>
      </c>
      <c r="P24" s="107">
        <f>6/1000*Table3[[#This Row],[Sum Assured]]</f>
        <v>136782</v>
      </c>
      <c r="Q24" s="107">
        <v>50000</v>
      </c>
      <c r="R24" s="107">
        <f>0.09%*Table3[[#This Row],[Permenent Disability]]</f>
        <v>45</v>
      </c>
      <c r="S24" s="107">
        <v>250000</v>
      </c>
      <c r="T24" s="107">
        <v>50000</v>
      </c>
      <c r="U24" s="107">
        <v>92.307692307692307</v>
      </c>
      <c r="V24" s="107">
        <f>Table3[[#This Row],[Death Premium]]+Table3[[#This Row],[PD Premium]]+Table3[[#This Row],[Riders'' premium (Burial expenses &amp; Spousal cover)]]</f>
        <v>136919.30769230769</v>
      </c>
      <c r="W24" s="109" t="s">
        <v>1518</v>
      </c>
    </row>
    <row r="25" spans="1:23" x14ac:dyDescent="0.3">
      <c r="A25" s="4">
        <v>18</v>
      </c>
      <c r="B25" s="55" t="s">
        <v>100</v>
      </c>
      <c r="C25" s="4" t="s">
        <v>101</v>
      </c>
      <c r="D25" s="5" t="s">
        <v>102</v>
      </c>
      <c r="E25" s="5" t="s">
        <v>103</v>
      </c>
      <c r="F25" s="88">
        <v>28555</v>
      </c>
      <c r="G25" s="50" t="s">
        <v>1186</v>
      </c>
      <c r="H25" s="88">
        <f>_xlfn.XLOOKUP(Table3[[#This Row],[Emp. Code]],'[1]DLE EMP LIST'!$B:$B,'[1]DLE EMP LIST'!$N:$N)</f>
        <v>39904</v>
      </c>
      <c r="I25" s="51">
        <v>326843.77</v>
      </c>
      <c r="J25" s="51">
        <v>88624.95</v>
      </c>
      <c r="K25" s="51">
        <v>32291.54</v>
      </c>
      <c r="L25" s="2">
        <f t="shared" si="0"/>
        <v>447760.26</v>
      </c>
      <c r="M25" s="9" t="s">
        <v>43</v>
      </c>
      <c r="N25" s="10">
        <f t="shared" si="1"/>
        <v>5373123.1200000001</v>
      </c>
      <c r="O25" s="108">
        <f t="shared" si="2"/>
        <v>16119369.359999999</v>
      </c>
      <c r="P25" s="107">
        <f>6/1000*Table3[[#This Row],[Sum Assured]]</f>
        <v>96716.216159999996</v>
      </c>
      <c r="Q25" s="107">
        <v>50000</v>
      </c>
      <c r="R25" s="107">
        <f>0.09%*Table3[[#This Row],[Permenent Disability]]</f>
        <v>45</v>
      </c>
      <c r="S25" s="107">
        <v>250000</v>
      </c>
      <c r="T25" s="107">
        <v>50000</v>
      </c>
      <c r="U25" s="107">
        <v>92.307692307692307</v>
      </c>
      <c r="V25" s="107">
        <f>Table3[[#This Row],[Death Premium]]+Table3[[#This Row],[PD Premium]]+Table3[[#This Row],[Riders'' premium (Burial expenses &amp; Spousal cover)]]</f>
        <v>96853.523852307684</v>
      </c>
      <c r="W25" s="109" t="s">
        <v>1519</v>
      </c>
    </row>
    <row r="26" spans="1:23" x14ac:dyDescent="0.3">
      <c r="A26" s="49">
        <v>19</v>
      </c>
      <c r="B26" s="55" t="s">
        <v>104</v>
      </c>
      <c r="C26" s="4" t="s">
        <v>105</v>
      </c>
      <c r="D26" s="5" t="s">
        <v>106</v>
      </c>
      <c r="E26" s="5" t="s">
        <v>107</v>
      </c>
      <c r="F26" s="88">
        <v>26437</v>
      </c>
      <c r="G26" s="50" t="s">
        <v>1186</v>
      </c>
      <c r="H26" s="88">
        <f>_xlfn.XLOOKUP(Table3[[#This Row],[Emp. Code]],'[1]DLE EMP LIST'!$B:$B,'[1]DLE EMP LIST'!$N:$N)</f>
        <v>40057</v>
      </c>
      <c r="I26" s="51">
        <v>197340.88</v>
      </c>
      <c r="J26" s="51">
        <v>53509.74</v>
      </c>
      <c r="K26" s="51">
        <v>19496.900000000001</v>
      </c>
      <c r="L26" s="2">
        <f t="shared" si="0"/>
        <v>270347.52000000002</v>
      </c>
      <c r="M26" s="9" t="s">
        <v>43</v>
      </c>
      <c r="N26" s="10">
        <f t="shared" si="1"/>
        <v>3244170.24</v>
      </c>
      <c r="O26" s="108">
        <f t="shared" si="2"/>
        <v>9732510.7200000007</v>
      </c>
      <c r="P26" s="107">
        <f>6/1000*Table3[[#This Row],[Sum Assured]]</f>
        <v>58395.064320000005</v>
      </c>
      <c r="Q26" s="107">
        <v>50000</v>
      </c>
      <c r="R26" s="107">
        <f>0.09%*Table3[[#This Row],[Permenent Disability]]</f>
        <v>45</v>
      </c>
      <c r="S26" s="107">
        <v>250000</v>
      </c>
      <c r="T26" s="107">
        <v>50000</v>
      </c>
      <c r="U26" s="107">
        <v>92.307692307692307</v>
      </c>
      <c r="V26" s="107">
        <f>Table3[[#This Row],[Death Premium]]+Table3[[#This Row],[PD Premium]]+Table3[[#This Row],[Riders'' premium (Burial expenses &amp; Spousal cover)]]</f>
        <v>58532.3720123077</v>
      </c>
      <c r="W26" s="109" t="s">
        <v>1520</v>
      </c>
    </row>
    <row r="27" spans="1:23" x14ac:dyDescent="0.3">
      <c r="A27" s="49">
        <v>20</v>
      </c>
      <c r="B27" s="55" t="s">
        <v>108</v>
      </c>
      <c r="C27" s="4" t="s">
        <v>109</v>
      </c>
      <c r="D27" s="5" t="s">
        <v>110</v>
      </c>
      <c r="E27" s="5" t="s">
        <v>111</v>
      </c>
      <c r="F27" s="88">
        <v>27514</v>
      </c>
      <c r="G27" s="50" t="s">
        <v>1186</v>
      </c>
      <c r="H27" s="88">
        <f>_xlfn.XLOOKUP(Table3[[#This Row],[Emp. Code]],'[1]DLE EMP LIST'!$B:$B,'[1]DLE EMP LIST'!$N:$N)</f>
        <v>39848</v>
      </c>
      <c r="I27" s="51">
        <v>314279.03000000003</v>
      </c>
      <c r="J27" s="51">
        <v>85217.97</v>
      </c>
      <c r="K27" s="51">
        <v>31050.16</v>
      </c>
      <c r="L27" s="2">
        <f t="shared" si="0"/>
        <v>430547.16</v>
      </c>
      <c r="M27" s="9" t="s">
        <v>43</v>
      </c>
      <c r="N27" s="10">
        <f t="shared" si="1"/>
        <v>5166565.92</v>
      </c>
      <c r="O27" s="108">
        <f t="shared" si="2"/>
        <v>15499697.76</v>
      </c>
      <c r="P27" s="107">
        <f>6/1000*Table3[[#This Row],[Sum Assured]]</f>
        <v>92998.186560000002</v>
      </c>
      <c r="Q27" s="107">
        <v>50000</v>
      </c>
      <c r="R27" s="107">
        <f>0.09%*Table3[[#This Row],[Permenent Disability]]</f>
        <v>45</v>
      </c>
      <c r="S27" s="107">
        <v>250000</v>
      </c>
      <c r="T27" s="107">
        <v>50000</v>
      </c>
      <c r="U27" s="107">
        <v>92.307692307692307</v>
      </c>
      <c r="V27" s="107">
        <f>Table3[[#This Row],[Death Premium]]+Table3[[#This Row],[PD Premium]]+Table3[[#This Row],[Riders'' premium (Burial expenses &amp; Spousal cover)]]</f>
        <v>93135.49425230769</v>
      </c>
      <c r="W27" s="109" t="s">
        <v>1521</v>
      </c>
    </row>
    <row r="28" spans="1:23" x14ac:dyDescent="0.3">
      <c r="A28" s="49">
        <v>21</v>
      </c>
      <c r="B28" s="55" t="s">
        <v>112</v>
      </c>
      <c r="C28" s="4" t="s">
        <v>113</v>
      </c>
      <c r="D28" s="5" t="s">
        <v>114</v>
      </c>
      <c r="E28" s="5" t="s">
        <v>115</v>
      </c>
      <c r="F28" s="88">
        <v>25967</v>
      </c>
      <c r="G28" s="50" t="s">
        <v>1186</v>
      </c>
      <c r="H28" s="88">
        <f>_xlfn.XLOOKUP(Table3[[#This Row],[Emp. Code]],'[1]DLE EMP LIST'!$B:$B,'[1]DLE EMP LIST'!$N:$N)</f>
        <v>39817</v>
      </c>
      <c r="I28" s="51">
        <v>210315.19</v>
      </c>
      <c r="J28" s="51">
        <v>57027.77</v>
      </c>
      <c r="K28" s="51">
        <v>20778.740000000002</v>
      </c>
      <c r="L28" s="2">
        <f t="shared" si="0"/>
        <v>288121.7</v>
      </c>
      <c r="M28" s="9" t="s">
        <v>43</v>
      </c>
      <c r="N28" s="10">
        <f t="shared" si="1"/>
        <v>3457460.4000000004</v>
      </c>
      <c r="O28" s="108">
        <f t="shared" si="2"/>
        <v>10372381.200000001</v>
      </c>
      <c r="P28" s="107">
        <f>6/1000*Table3[[#This Row],[Sum Assured]]</f>
        <v>62234.287200000006</v>
      </c>
      <c r="Q28" s="107">
        <v>50000</v>
      </c>
      <c r="R28" s="107">
        <f>0.09%*Table3[[#This Row],[Permenent Disability]]</f>
        <v>45</v>
      </c>
      <c r="S28" s="107">
        <v>250000</v>
      </c>
      <c r="T28" s="107">
        <v>50000</v>
      </c>
      <c r="U28" s="107">
        <v>92.307692307692307</v>
      </c>
      <c r="V28" s="107">
        <f>Table3[[#This Row],[Death Premium]]+Table3[[#This Row],[PD Premium]]+Table3[[#This Row],[Riders'' premium (Burial expenses &amp; Spousal cover)]]</f>
        <v>62371.594892307701</v>
      </c>
      <c r="W28" s="109" t="s">
        <v>1522</v>
      </c>
    </row>
    <row r="29" spans="1:23" x14ac:dyDescent="0.3">
      <c r="A29" s="4">
        <v>22</v>
      </c>
      <c r="B29" s="55" t="s">
        <v>116</v>
      </c>
      <c r="C29" s="4" t="s">
        <v>117</v>
      </c>
      <c r="D29" s="5" t="s">
        <v>118</v>
      </c>
      <c r="E29" s="5" t="s">
        <v>119</v>
      </c>
      <c r="F29" s="88">
        <v>29971</v>
      </c>
      <c r="G29" s="50" t="s">
        <v>1186</v>
      </c>
      <c r="H29" s="88">
        <f>_xlfn.XLOOKUP(Table3[[#This Row],[Emp. Code]],'[1]DLE EMP LIST'!$B:$B,'[1]DLE EMP LIST'!$N:$N)</f>
        <v>40513</v>
      </c>
      <c r="I29" s="51">
        <v>217621.77</v>
      </c>
      <c r="J29" s="51">
        <v>59008.98</v>
      </c>
      <c r="K29" s="51">
        <v>21500.61</v>
      </c>
      <c r="L29" s="2">
        <f t="shared" si="0"/>
        <v>298131.36</v>
      </c>
      <c r="M29" s="9" t="s">
        <v>43</v>
      </c>
      <c r="N29" s="10">
        <f t="shared" si="1"/>
        <v>3577576.32</v>
      </c>
      <c r="O29" s="108">
        <f t="shared" si="2"/>
        <v>10732728.959999999</v>
      </c>
      <c r="P29" s="107">
        <f>6/1000*Table3[[#This Row],[Sum Assured]]</f>
        <v>64396.373759999995</v>
      </c>
      <c r="Q29" s="107">
        <v>50000</v>
      </c>
      <c r="R29" s="107">
        <f>0.09%*Table3[[#This Row],[Permenent Disability]]</f>
        <v>45</v>
      </c>
      <c r="S29" s="107">
        <v>250000</v>
      </c>
      <c r="T29" s="107">
        <v>50000</v>
      </c>
      <c r="U29" s="107">
        <v>92.307692307692307</v>
      </c>
      <c r="V29" s="107">
        <f>Table3[[#This Row],[Death Premium]]+Table3[[#This Row],[PD Premium]]+Table3[[#This Row],[Riders'' premium (Burial expenses &amp; Spousal cover)]]</f>
        <v>64533.68145230769</v>
      </c>
      <c r="W29" s="109" t="s">
        <v>1523</v>
      </c>
    </row>
    <row r="30" spans="1:23" x14ac:dyDescent="0.3">
      <c r="A30" s="49">
        <v>23</v>
      </c>
      <c r="B30" s="55" t="s">
        <v>120</v>
      </c>
      <c r="C30" s="4" t="s">
        <v>121</v>
      </c>
      <c r="D30" s="5" t="s">
        <v>122</v>
      </c>
      <c r="E30" s="5" t="s">
        <v>123</v>
      </c>
      <c r="F30" s="88">
        <v>25795</v>
      </c>
      <c r="G30" s="50" t="s">
        <v>1186</v>
      </c>
      <c r="H30" s="88">
        <f>_xlfn.XLOOKUP(Table3[[#This Row],[Emp. Code]],'[1]DLE EMP LIST'!$B:$B,'[1]DLE EMP LIST'!$N:$N)</f>
        <v>40726</v>
      </c>
      <c r="I30" s="51">
        <v>303426.48</v>
      </c>
      <c r="J30" s="51">
        <v>121370.59</v>
      </c>
      <c r="K30" s="51">
        <v>91027.94</v>
      </c>
      <c r="L30" s="2">
        <f t="shared" si="0"/>
        <v>515825.00999999995</v>
      </c>
      <c r="M30" s="9" t="s">
        <v>43</v>
      </c>
      <c r="N30" s="10">
        <f t="shared" si="1"/>
        <v>6189900.1199999992</v>
      </c>
      <c r="O30" s="108">
        <f t="shared" si="2"/>
        <v>18569700.359999999</v>
      </c>
      <c r="P30" s="107">
        <f>6/1000*Table3[[#This Row],[Sum Assured]]</f>
        <v>111418.20216</v>
      </c>
      <c r="Q30" s="107">
        <v>50000</v>
      </c>
      <c r="R30" s="107">
        <f>0.09%*Table3[[#This Row],[Permenent Disability]]</f>
        <v>45</v>
      </c>
      <c r="S30" s="107">
        <v>250000</v>
      </c>
      <c r="T30" s="107">
        <v>50000</v>
      </c>
      <c r="U30" s="107">
        <v>92.307692307692307</v>
      </c>
      <c r="V30" s="107">
        <f>Table3[[#This Row],[Death Premium]]+Table3[[#This Row],[PD Premium]]+Table3[[#This Row],[Riders'' premium (Burial expenses &amp; Spousal cover)]]</f>
        <v>111555.50985230769</v>
      </c>
      <c r="W30" s="109" t="s">
        <v>1524</v>
      </c>
    </row>
    <row r="31" spans="1:23" x14ac:dyDescent="0.3">
      <c r="A31" s="49">
        <v>24</v>
      </c>
      <c r="B31" s="55" t="s">
        <v>124</v>
      </c>
      <c r="C31" s="4" t="s">
        <v>125</v>
      </c>
      <c r="D31" s="5" t="s">
        <v>126</v>
      </c>
      <c r="E31" s="5" t="s">
        <v>127</v>
      </c>
      <c r="F31" s="88">
        <v>29398</v>
      </c>
      <c r="G31" s="50" t="s">
        <v>1186</v>
      </c>
      <c r="H31" s="88">
        <f>_xlfn.XLOOKUP(Table3[[#This Row],[Emp. Code]],'[1]DLE EMP LIST'!$B:$B,'[1]DLE EMP LIST'!$N:$N)</f>
        <v>40787</v>
      </c>
      <c r="I31" s="51">
        <v>180158.77</v>
      </c>
      <c r="J31" s="51">
        <v>48850.74</v>
      </c>
      <c r="K31" s="51">
        <v>17799.34</v>
      </c>
      <c r="L31" s="2">
        <f t="shared" si="0"/>
        <v>246808.84999999998</v>
      </c>
      <c r="M31" s="9" t="s">
        <v>43</v>
      </c>
      <c r="N31" s="10">
        <f t="shared" si="1"/>
        <v>2961706.1999999997</v>
      </c>
      <c r="O31" s="108">
        <f t="shared" si="2"/>
        <v>8885118.5999999996</v>
      </c>
      <c r="P31" s="107">
        <f>6/1000*Table3[[#This Row],[Sum Assured]]</f>
        <v>53310.711600000002</v>
      </c>
      <c r="Q31" s="107">
        <v>50000</v>
      </c>
      <c r="R31" s="107">
        <f>0.09%*Table3[[#This Row],[Permenent Disability]]</f>
        <v>45</v>
      </c>
      <c r="S31" s="107">
        <v>250000</v>
      </c>
      <c r="T31" s="107">
        <v>50000</v>
      </c>
      <c r="U31" s="107">
        <v>92.307692307692307</v>
      </c>
      <c r="V31" s="107">
        <f>Table3[[#This Row],[Death Premium]]+Table3[[#This Row],[PD Premium]]+Table3[[#This Row],[Riders'' premium (Burial expenses &amp; Spousal cover)]]</f>
        <v>53448.019292307697</v>
      </c>
      <c r="W31" s="109" t="s">
        <v>1525</v>
      </c>
    </row>
    <row r="32" spans="1:23" x14ac:dyDescent="0.3">
      <c r="A32" s="49">
        <v>25</v>
      </c>
      <c r="B32" s="55" t="s">
        <v>128</v>
      </c>
      <c r="C32" s="4" t="s">
        <v>129</v>
      </c>
      <c r="D32" s="5" t="s">
        <v>130</v>
      </c>
      <c r="E32" s="5" t="s">
        <v>131</v>
      </c>
      <c r="F32" s="88">
        <v>24446</v>
      </c>
      <c r="G32" s="50" t="s">
        <v>1186</v>
      </c>
      <c r="H32" s="88">
        <f>_xlfn.XLOOKUP(Table3[[#This Row],[Emp. Code]],'[1]DLE EMP LIST'!$B:$B,'[1]DLE EMP LIST'!$N:$N)</f>
        <v>40544</v>
      </c>
      <c r="I32" s="51">
        <v>202329.98</v>
      </c>
      <c r="J32" s="51">
        <v>54862.55</v>
      </c>
      <c r="K32" s="51">
        <v>19989.810000000001</v>
      </c>
      <c r="L32" s="2">
        <f t="shared" si="0"/>
        <v>277182.34000000003</v>
      </c>
      <c r="M32" s="9" t="s">
        <v>34</v>
      </c>
      <c r="N32" s="10">
        <f t="shared" si="1"/>
        <v>3326188.08</v>
      </c>
      <c r="O32" s="108">
        <f t="shared" si="2"/>
        <v>9978564.2400000002</v>
      </c>
      <c r="P32" s="107">
        <f>6/1000*Table3[[#This Row],[Sum Assured]]</f>
        <v>59871.385440000005</v>
      </c>
      <c r="Q32" s="107">
        <v>50000</v>
      </c>
      <c r="R32" s="107">
        <f>0.09%*Table3[[#This Row],[Permenent Disability]]</f>
        <v>45</v>
      </c>
      <c r="S32" s="107">
        <v>250000</v>
      </c>
      <c r="T32" s="107">
        <v>50000</v>
      </c>
      <c r="U32" s="107">
        <v>92.307692307692307</v>
      </c>
      <c r="V32" s="107">
        <f>Table3[[#This Row],[Death Premium]]+Table3[[#This Row],[PD Premium]]+Table3[[#This Row],[Riders'' premium (Burial expenses &amp; Spousal cover)]]</f>
        <v>60008.693132307701</v>
      </c>
      <c r="W32" s="109" t="s">
        <v>1526</v>
      </c>
    </row>
    <row r="33" spans="1:23" x14ac:dyDescent="0.3">
      <c r="A33" s="4">
        <v>26</v>
      </c>
      <c r="B33" s="55" t="s">
        <v>132</v>
      </c>
      <c r="C33" s="4" t="s">
        <v>133</v>
      </c>
      <c r="D33" s="5" t="s">
        <v>134</v>
      </c>
      <c r="E33" s="5" t="s">
        <v>135</v>
      </c>
      <c r="F33" s="88">
        <v>31267</v>
      </c>
      <c r="G33" s="50" t="s">
        <v>1186</v>
      </c>
      <c r="H33" s="88">
        <f>_xlfn.XLOOKUP(Table3[[#This Row],[Emp. Code]],'[1]DLE EMP LIST'!$B:$B,'[1]DLE EMP LIST'!$N:$N)</f>
        <v>41153</v>
      </c>
      <c r="I33" s="51">
        <v>387380.69</v>
      </c>
      <c r="J33" s="51">
        <v>105039.76</v>
      </c>
      <c r="K33" s="51">
        <v>38272.47</v>
      </c>
      <c r="L33" s="2">
        <f t="shared" si="0"/>
        <v>530692.92000000004</v>
      </c>
      <c r="M33" s="9" t="s">
        <v>34</v>
      </c>
      <c r="N33" s="10">
        <f t="shared" si="1"/>
        <v>6368315.040000001</v>
      </c>
      <c r="O33" s="108">
        <f t="shared" si="2"/>
        <v>19104945.120000005</v>
      </c>
      <c r="P33" s="107">
        <f>6/1000*Table3[[#This Row],[Sum Assured]]</f>
        <v>114629.67072000002</v>
      </c>
      <c r="Q33" s="107">
        <v>50000</v>
      </c>
      <c r="R33" s="107">
        <f>0.09%*Table3[[#This Row],[Permenent Disability]]</f>
        <v>45</v>
      </c>
      <c r="S33" s="107">
        <v>250000</v>
      </c>
      <c r="T33" s="107">
        <v>50000</v>
      </c>
      <c r="U33" s="107">
        <v>92.307692307692307</v>
      </c>
      <c r="V33" s="107">
        <f>Table3[[#This Row],[Death Premium]]+Table3[[#This Row],[PD Premium]]+Table3[[#This Row],[Riders'' premium (Burial expenses &amp; Spousal cover)]]</f>
        <v>114766.97841230771</v>
      </c>
      <c r="W33" s="109">
        <v>0</v>
      </c>
    </row>
    <row r="34" spans="1:23" x14ac:dyDescent="0.3">
      <c r="A34" s="49">
        <v>27</v>
      </c>
      <c r="B34" s="55" t="s">
        <v>136</v>
      </c>
      <c r="C34" s="4" t="s">
        <v>137</v>
      </c>
      <c r="D34" s="5" t="s">
        <v>138</v>
      </c>
      <c r="E34" s="5" t="s">
        <v>107</v>
      </c>
      <c r="F34" s="88">
        <v>25666</v>
      </c>
      <c r="G34" s="50" t="s">
        <v>1186</v>
      </c>
      <c r="H34" s="88">
        <f>_xlfn.XLOOKUP(Table3[[#This Row],[Emp. Code]],'[1]DLE EMP LIST'!$B:$B,'[1]DLE EMP LIST'!$N:$N)</f>
        <v>40917</v>
      </c>
      <c r="I34" s="51">
        <v>222399.49</v>
      </c>
      <c r="J34" s="51">
        <v>60304.480000000003</v>
      </c>
      <c r="K34" s="51">
        <v>21972.639999999999</v>
      </c>
      <c r="L34" s="2">
        <f t="shared" si="0"/>
        <v>304676.61</v>
      </c>
      <c r="M34" s="9" t="s">
        <v>43</v>
      </c>
      <c r="N34" s="10">
        <f t="shared" si="1"/>
        <v>3656119.32</v>
      </c>
      <c r="O34" s="108">
        <f t="shared" si="2"/>
        <v>10968357.959999999</v>
      </c>
      <c r="P34" s="107">
        <f>6/1000*Table3[[#This Row],[Sum Assured]]</f>
        <v>65810.147759999993</v>
      </c>
      <c r="Q34" s="107">
        <v>50000</v>
      </c>
      <c r="R34" s="107">
        <f>0.09%*Table3[[#This Row],[Permenent Disability]]</f>
        <v>45</v>
      </c>
      <c r="S34" s="107">
        <v>250000</v>
      </c>
      <c r="T34" s="107">
        <v>50000</v>
      </c>
      <c r="U34" s="107">
        <v>92.307692307692307</v>
      </c>
      <c r="V34" s="107">
        <f>Table3[[#This Row],[Death Premium]]+Table3[[#This Row],[PD Premium]]+Table3[[#This Row],[Riders'' premium (Burial expenses &amp; Spousal cover)]]</f>
        <v>65947.45545230768</v>
      </c>
      <c r="W34" s="109" t="s">
        <v>1527</v>
      </c>
    </row>
    <row r="35" spans="1:23" x14ac:dyDescent="0.3">
      <c r="A35" s="49">
        <v>28</v>
      </c>
      <c r="B35" s="55" t="s">
        <v>139</v>
      </c>
      <c r="C35" s="4" t="s">
        <v>140</v>
      </c>
      <c r="D35" s="5" t="s">
        <v>141</v>
      </c>
      <c r="E35" s="5" t="s">
        <v>142</v>
      </c>
      <c r="F35" s="88">
        <v>31335</v>
      </c>
      <c r="G35" s="50" t="s">
        <v>1186</v>
      </c>
      <c r="H35" s="88">
        <f>_xlfn.XLOOKUP(Table3[[#This Row],[Emp. Code]],'[1]DLE EMP LIST'!$B:$B,'[1]DLE EMP LIST'!$N:$N)</f>
        <v>40917</v>
      </c>
      <c r="I35" s="51">
        <v>123494.84</v>
      </c>
      <c r="J35" s="51">
        <v>21488.1</v>
      </c>
      <c r="K35" s="51">
        <v>18524.23</v>
      </c>
      <c r="L35" s="2">
        <f t="shared" si="0"/>
        <v>163507.17000000001</v>
      </c>
      <c r="M35" s="9" t="s">
        <v>43</v>
      </c>
      <c r="N35" s="10">
        <f t="shared" si="1"/>
        <v>1962086.04</v>
      </c>
      <c r="O35" s="108">
        <f t="shared" si="2"/>
        <v>5886258.1200000001</v>
      </c>
      <c r="P35" s="107">
        <f>6/1000*Table3[[#This Row],[Sum Assured]]</f>
        <v>35317.548719999999</v>
      </c>
      <c r="Q35" s="107">
        <v>50000</v>
      </c>
      <c r="R35" s="107">
        <f>0.09%*Table3[[#This Row],[Permenent Disability]]</f>
        <v>45</v>
      </c>
      <c r="S35" s="107">
        <v>250000</v>
      </c>
      <c r="T35" s="107">
        <v>50000</v>
      </c>
      <c r="U35" s="107">
        <v>92.307692307692307</v>
      </c>
      <c r="V35" s="107">
        <f>Table3[[#This Row],[Death Premium]]+Table3[[#This Row],[PD Premium]]+Table3[[#This Row],[Riders'' premium (Burial expenses &amp; Spousal cover)]]</f>
        <v>35454.856412307694</v>
      </c>
      <c r="W35" s="109" t="s">
        <v>1528</v>
      </c>
    </row>
    <row r="36" spans="1:23" x14ac:dyDescent="0.3">
      <c r="A36" s="49">
        <v>29</v>
      </c>
      <c r="B36" s="55" t="s">
        <v>143</v>
      </c>
      <c r="C36" s="4" t="s">
        <v>144</v>
      </c>
      <c r="D36" s="5" t="s">
        <v>145</v>
      </c>
      <c r="E36" s="5" t="s">
        <v>146</v>
      </c>
      <c r="F36" s="88">
        <v>23765</v>
      </c>
      <c r="G36" s="50" t="s">
        <v>1186</v>
      </c>
      <c r="H36" s="88">
        <f>_xlfn.XLOOKUP(Table3[[#This Row],[Emp. Code]],'[1]DLE EMP LIST'!$B:$B,'[1]DLE EMP LIST'!$N:$N)</f>
        <v>41334</v>
      </c>
      <c r="I36" s="51">
        <v>96540.38</v>
      </c>
      <c r="J36" s="51">
        <v>16798.03</v>
      </c>
      <c r="K36" s="51">
        <v>14481.06</v>
      </c>
      <c r="L36" s="2">
        <f t="shared" si="0"/>
        <v>127819.47</v>
      </c>
      <c r="M36" s="9" t="s">
        <v>43</v>
      </c>
      <c r="N36" s="10">
        <f t="shared" si="1"/>
        <v>1533833.6400000001</v>
      </c>
      <c r="O36" s="108">
        <f t="shared" si="2"/>
        <v>4601500.92</v>
      </c>
      <c r="P36" s="107">
        <f>6/1000*Table3[[#This Row],[Sum Assured]]</f>
        <v>27609.005519999999</v>
      </c>
      <c r="Q36" s="107">
        <v>50000</v>
      </c>
      <c r="R36" s="107">
        <f>0.09%*Table3[[#This Row],[Permenent Disability]]</f>
        <v>45</v>
      </c>
      <c r="S36" s="107">
        <v>250000</v>
      </c>
      <c r="T36" s="107">
        <v>50000</v>
      </c>
      <c r="U36" s="107">
        <v>92.307692307692307</v>
      </c>
      <c r="V36" s="107">
        <f>Table3[[#This Row],[Death Premium]]+Table3[[#This Row],[PD Premium]]+Table3[[#This Row],[Riders'' premium (Burial expenses &amp; Spousal cover)]]</f>
        <v>27746.31321230769</v>
      </c>
      <c r="W36" s="109" t="s">
        <v>1529</v>
      </c>
    </row>
    <row r="37" spans="1:23" x14ac:dyDescent="0.3">
      <c r="A37" s="4">
        <v>30</v>
      </c>
      <c r="B37" s="55" t="s">
        <v>147</v>
      </c>
      <c r="C37" s="4" t="s">
        <v>148</v>
      </c>
      <c r="D37" s="5" t="s">
        <v>149</v>
      </c>
      <c r="E37" s="5" t="s">
        <v>150</v>
      </c>
      <c r="F37" s="88">
        <v>29427</v>
      </c>
      <c r="G37" s="50" t="s">
        <v>1186</v>
      </c>
      <c r="H37" s="88">
        <f>_xlfn.XLOOKUP(Table3[[#This Row],[Emp. Code]],'[1]DLE EMP LIST'!$B:$B,'[1]DLE EMP LIST'!$N:$N)</f>
        <v>41380</v>
      </c>
      <c r="I37" s="51">
        <v>215675.97</v>
      </c>
      <c r="J37" s="51">
        <v>58481.37</v>
      </c>
      <c r="K37" s="51">
        <v>21308.37</v>
      </c>
      <c r="L37" s="2">
        <f t="shared" si="0"/>
        <v>295465.71000000002</v>
      </c>
      <c r="M37" s="9" t="s">
        <v>151</v>
      </c>
      <c r="N37" s="10">
        <f t="shared" si="1"/>
        <v>3545588.5200000005</v>
      </c>
      <c r="O37" s="108">
        <f t="shared" si="2"/>
        <v>10636765.560000002</v>
      </c>
      <c r="P37" s="107">
        <f>6/1000*Table3[[#This Row],[Sum Assured]]</f>
        <v>63820.593360000013</v>
      </c>
      <c r="Q37" s="107">
        <v>50000</v>
      </c>
      <c r="R37" s="107">
        <f>0.09%*Table3[[#This Row],[Permenent Disability]]</f>
        <v>45</v>
      </c>
      <c r="S37" s="107">
        <v>250000</v>
      </c>
      <c r="T37" s="107">
        <v>50000</v>
      </c>
      <c r="U37" s="107">
        <v>92.307692307692307</v>
      </c>
      <c r="V37" s="107">
        <f>Table3[[#This Row],[Death Premium]]+Table3[[#This Row],[PD Premium]]+Table3[[#This Row],[Riders'' premium (Burial expenses &amp; Spousal cover)]]</f>
        <v>63957.901052307709</v>
      </c>
      <c r="W37" s="109" t="s">
        <v>1530</v>
      </c>
    </row>
    <row r="38" spans="1:23" x14ac:dyDescent="0.3">
      <c r="A38" s="49">
        <v>31</v>
      </c>
      <c r="B38" s="55" t="s">
        <v>152</v>
      </c>
      <c r="C38" s="4" t="s">
        <v>153</v>
      </c>
      <c r="D38" s="5" t="s">
        <v>154</v>
      </c>
      <c r="E38" s="5" t="s">
        <v>91</v>
      </c>
      <c r="F38" s="88">
        <v>31242</v>
      </c>
      <c r="G38" s="50" t="s">
        <v>1186</v>
      </c>
      <c r="H38" s="88">
        <f>_xlfn.XLOOKUP(Table3[[#This Row],[Emp. Code]],'[1]DLE EMP LIST'!$B:$B,'[1]DLE EMP LIST'!$N:$N)</f>
        <v>41395</v>
      </c>
      <c r="I38" s="51">
        <v>117838.08</v>
      </c>
      <c r="J38" s="51">
        <v>20503.830000000002</v>
      </c>
      <c r="K38" s="51">
        <v>17675.71</v>
      </c>
      <c r="L38" s="2">
        <f t="shared" si="0"/>
        <v>156017.62</v>
      </c>
      <c r="M38" s="9" t="s">
        <v>43</v>
      </c>
      <c r="N38" s="10">
        <f t="shared" si="1"/>
        <v>1872211.44</v>
      </c>
      <c r="O38" s="108">
        <f t="shared" si="2"/>
        <v>5616634.3200000003</v>
      </c>
      <c r="P38" s="107">
        <f>6/1000*Table3[[#This Row],[Sum Assured]]</f>
        <v>33699.805919999999</v>
      </c>
      <c r="Q38" s="107">
        <v>50000</v>
      </c>
      <c r="R38" s="107">
        <f>0.09%*Table3[[#This Row],[Permenent Disability]]</f>
        <v>45</v>
      </c>
      <c r="S38" s="107">
        <v>250000</v>
      </c>
      <c r="T38" s="107">
        <v>50000</v>
      </c>
      <c r="U38" s="107">
        <v>92.307692307692307</v>
      </c>
      <c r="V38" s="107">
        <f>Table3[[#This Row],[Death Premium]]+Table3[[#This Row],[PD Premium]]+Table3[[#This Row],[Riders'' premium (Burial expenses &amp; Spousal cover)]]</f>
        <v>33837.113612307694</v>
      </c>
      <c r="W38" s="109">
        <v>0</v>
      </c>
    </row>
    <row r="39" spans="1:23" x14ac:dyDescent="0.3">
      <c r="A39" s="49">
        <v>32</v>
      </c>
      <c r="B39" s="55" t="s">
        <v>155</v>
      </c>
      <c r="C39" s="4" t="s">
        <v>156</v>
      </c>
      <c r="D39" s="5" t="s">
        <v>157</v>
      </c>
      <c r="E39" s="5" t="s">
        <v>158</v>
      </c>
      <c r="F39" s="88">
        <v>27419</v>
      </c>
      <c r="G39" s="50" t="s">
        <v>1186</v>
      </c>
      <c r="H39" s="88">
        <f>_xlfn.XLOOKUP(Table3[[#This Row],[Emp. Code]],'[1]DLE EMP LIST'!$B:$B,'[1]DLE EMP LIST'!$N:$N)</f>
        <v>41395</v>
      </c>
      <c r="I39" s="51">
        <v>137511.21</v>
      </c>
      <c r="J39" s="51">
        <v>23926.95</v>
      </c>
      <c r="K39" s="51">
        <v>20626.68</v>
      </c>
      <c r="L39" s="2">
        <f t="shared" si="0"/>
        <v>182064.84</v>
      </c>
      <c r="M39" s="9" t="s">
        <v>34</v>
      </c>
      <c r="N39" s="10">
        <f t="shared" si="1"/>
        <v>2184778.08</v>
      </c>
      <c r="O39" s="108">
        <f t="shared" si="2"/>
        <v>6554334.2400000002</v>
      </c>
      <c r="P39" s="107">
        <f>6/1000*Table3[[#This Row],[Sum Assured]]</f>
        <v>39326.005440000001</v>
      </c>
      <c r="Q39" s="107">
        <v>50000</v>
      </c>
      <c r="R39" s="107">
        <f>0.09%*Table3[[#This Row],[Permenent Disability]]</f>
        <v>45</v>
      </c>
      <c r="S39" s="107">
        <v>250000</v>
      </c>
      <c r="T39" s="107">
        <v>50000</v>
      </c>
      <c r="U39" s="107">
        <v>92.307692307692307</v>
      </c>
      <c r="V39" s="107">
        <f>Table3[[#This Row],[Death Premium]]+Table3[[#This Row],[PD Premium]]+Table3[[#This Row],[Riders'' premium (Burial expenses &amp; Spousal cover)]]</f>
        <v>39463.313132307696</v>
      </c>
      <c r="W39" s="109" t="s">
        <v>1531</v>
      </c>
    </row>
    <row r="40" spans="1:23" x14ac:dyDescent="0.3">
      <c r="A40" s="49">
        <v>33</v>
      </c>
      <c r="B40" s="55" t="s">
        <v>159</v>
      </c>
      <c r="C40" s="4" t="s">
        <v>160</v>
      </c>
      <c r="D40" s="5" t="s">
        <v>161</v>
      </c>
      <c r="E40" s="5" t="s">
        <v>162</v>
      </c>
      <c r="F40" s="88">
        <v>28900</v>
      </c>
      <c r="G40" s="50" t="s">
        <v>1186</v>
      </c>
      <c r="H40" s="88">
        <f>_xlfn.XLOOKUP(Table3[[#This Row],[Emp. Code]],'[1]DLE EMP LIST'!$B:$B,'[1]DLE EMP LIST'!$N:$N)</f>
        <v>41395</v>
      </c>
      <c r="I40" s="51">
        <v>175510.51</v>
      </c>
      <c r="J40" s="51">
        <v>47590.35</v>
      </c>
      <c r="K40" s="51">
        <v>17340.099999999999</v>
      </c>
      <c r="L40" s="2">
        <f t="shared" ref="L40:L71" si="3">I40+J40+K40</f>
        <v>240440.96000000002</v>
      </c>
      <c r="M40" s="9" t="s">
        <v>43</v>
      </c>
      <c r="N40" s="10">
        <f t="shared" ref="N40:N71" si="4">L40*12</f>
        <v>2885291.5200000005</v>
      </c>
      <c r="O40" s="108">
        <f t="shared" ref="O40:O71" si="5">N40*3</f>
        <v>8655874.5600000024</v>
      </c>
      <c r="P40" s="107">
        <f>6/1000*Table3[[#This Row],[Sum Assured]]</f>
        <v>51935.247360000016</v>
      </c>
      <c r="Q40" s="107">
        <v>50000</v>
      </c>
      <c r="R40" s="107">
        <f>0.09%*Table3[[#This Row],[Permenent Disability]]</f>
        <v>45</v>
      </c>
      <c r="S40" s="107">
        <v>250000</v>
      </c>
      <c r="T40" s="107">
        <v>50000</v>
      </c>
      <c r="U40" s="107">
        <v>92.307692307692307</v>
      </c>
      <c r="V40" s="107">
        <f>Table3[[#This Row],[Death Premium]]+Table3[[#This Row],[PD Premium]]+Table3[[#This Row],[Riders'' premium (Burial expenses &amp; Spousal cover)]]</f>
        <v>52072.555052307711</v>
      </c>
      <c r="W40" s="109" t="s">
        <v>1532</v>
      </c>
    </row>
    <row r="41" spans="1:23" x14ac:dyDescent="0.3">
      <c r="A41" s="4">
        <v>34</v>
      </c>
      <c r="B41" s="55" t="s">
        <v>163</v>
      </c>
      <c r="C41" s="4" t="s">
        <v>164</v>
      </c>
      <c r="D41" s="5" t="s">
        <v>165</v>
      </c>
      <c r="E41" s="5" t="s">
        <v>166</v>
      </c>
      <c r="F41" s="88">
        <v>30800</v>
      </c>
      <c r="G41" s="50" t="s">
        <v>1186</v>
      </c>
      <c r="H41" s="88">
        <f>_xlfn.XLOOKUP(Table3[[#This Row],[Emp. Code]],'[1]DLE EMP LIST'!$B:$B,'[1]DLE EMP LIST'!$N:$N)</f>
        <v>41395</v>
      </c>
      <c r="I41" s="51">
        <v>139958.70000000001</v>
      </c>
      <c r="J41" s="51">
        <v>24352.81</v>
      </c>
      <c r="K41" s="51">
        <v>20993.81</v>
      </c>
      <c r="L41" s="2">
        <f t="shared" si="3"/>
        <v>185305.32</v>
      </c>
      <c r="M41" s="9" t="s">
        <v>34</v>
      </c>
      <c r="N41" s="10">
        <f t="shared" si="4"/>
        <v>2223663.84</v>
      </c>
      <c r="O41" s="108">
        <f t="shared" si="5"/>
        <v>6670991.5199999996</v>
      </c>
      <c r="P41" s="107">
        <f>6/1000*Table3[[#This Row],[Sum Assured]]</f>
        <v>40025.949119999997</v>
      </c>
      <c r="Q41" s="107">
        <v>50000</v>
      </c>
      <c r="R41" s="107">
        <f>0.09%*Table3[[#This Row],[Permenent Disability]]</f>
        <v>45</v>
      </c>
      <c r="S41" s="107">
        <v>250000</v>
      </c>
      <c r="T41" s="107">
        <v>50000</v>
      </c>
      <c r="U41" s="107">
        <v>92.307692307692307</v>
      </c>
      <c r="V41" s="107">
        <f>Table3[[#This Row],[Death Premium]]+Table3[[#This Row],[PD Premium]]+Table3[[#This Row],[Riders'' premium (Burial expenses &amp; Spousal cover)]]</f>
        <v>40163.256812307693</v>
      </c>
      <c r="W41" s="109" t="s">
        <v>1533</v>
      </c>
    </row>
    <row r="42" spans="1:23" x14ac:dyDescent="0.3">
      <c r="A42" s="49">
        <v>35</v>
      </c>
      <c r="B42" s="55" t="s">
        <v>167</v>
      </c>
      <c r="C42" s="4" t="s">
        <v>168</v>
      </c>
      <c r="D42" s="5" t="s">
        <v>169</v>
      </c>
      <c r="E42" s="5" t="s">
        <v>166</v>
      </c>
      <c r="F42" s="88">
        <v>30807</v>
      </c>
      <c r="G42" s="50" t="s">
        <v>1186</v>
      </c>
      <c r="H42" s="88">
        <f>_xlfn.XLOOKUP(Table3[[#This Row],[Emp. Code]],'[1]DLE EMP LIST'!$B:$B,'[1]DLE EMP LIST'!$N:$N)</f>
        <v>41487</v>
      </c>
      <c r="I42" s="51">
        <v>139958.70000000001</v>
      </c>
      <c r="J42" s="51">
        <v>24352.81</v>
      </c>
      <c r="K42" s="51">
        <v>20993.81</v>
      </c>
      <c r="L42" s="2">
        <f t="shared" si="3"/>
        <v>185305.32</v>
      </c>
      <c r="M42" s="9" t="s">
        <v>43</v>
      </c>
      <c r="N42" s="10">
        <f t="shared" si="4"/>
        <v>2223663.84</v>
      </c>
      <c r="O42" s="108">
        <f t="shared" si="5"/>
        <v>6670991.5199999996</v>
      </c>
      <c r="P42" s="107">
        <f>6/1000*Table3[[#This Row],[Sum Assured]]</f>
        <v>40025.949119999997</v>
      </c>
      <c r="Q42" s="107">
        <v>50000</v>
      </c>
      <c r="R42" s="107">
        <f>0.09%*Table3[[#This Row],[Permenent Disability]]</f>
        <v>45</v>
      </c>
      <c r="S42" s="107">
        <v>250000</v>
      </c>
      <c r="T42" s="107">
        <v>50000</v>
      </c>
      <c r="U42" s="107">
        <v>92.307692307692307</v>
      </c>
      <c r="V42" s="107">
        <f>Table3[[#This Row],[Death Premium]]+Table3[[#This Row],[PD Premium]]+Table3[[#This Row],[Riders'' premium (Burial expenses &amp; Spousal cover)]]</f>
        <v>40163.256812307693</v>
      </c>
      <c r="W42" s="109" t="s">
        <v>1534</v>
      </c>
    </row>
    <row r="43" spans="1:23" x14ac:dyDescent="0.3">
      <c r="A43" s="49">
        <v>36</v>
      </c>
      <c r="B43" s="55" t="s">
        <v>170</v>
      </c>
      <c r="C43" s="4" t="s">
        <v>171</v>
      </c>
      <c r="D43" s="5" t="s">
        <v>172</v>
      </c>
      <c r="E43" s="5" t="s">
        <v>173</v>
      </c>
      <c r="F43" s="88">
        <v>27231</v>
      </c>
      <c r="G43" s="50" t="s">
        <v>1186</v>
      </c>
      <c r="H43" s="88">
        <f>_xlfn.XLOOKUP(Table3[[#This Row],[Emp. Code]],'[1]DLE EMP LIST'!$B:$B,'[1]DLE EMP LIST'!$N:$N)</f>
        <v>41283</v>
      </c>
      <c r="I43" s="51">
        <v>418269.38</v>
      </c>
      <c r="J43" s="51">
        <v>167307.75</v>
      </c>
      <c r="K43" s="51">
        <v>125480.81</v>
      </c>
      <c r="L43" s="2">
        <f t="shared" si="3"/>
        <v>711057.94</v>
      </c>
      <c r="M43" s="9" t="s">
        <v>34</v>
      </c>
      <c r="N43" s="10">
        <f t="shared" si="4"/>
        <v>8532695.2799999993</v>
      </c>
      <c r="O43" s="108">
        <f t="shared" si="5"/>
        <v>25598085.839999996</v>
      </c>
      <c r="P43" s="107">
        <f>6/1000*Table3[[#This Row],[Sum Assured]]</f>
        <v>153588.51503999997</v>
      </c>
      <c r="Q43" s="107">
        <v>50000</v>
      </c>
      <c r="R43" s="107">
        <f>0.09%*Table3[[#This Row],[Permenent Disability]]</f>
        <v>45</v>
      </c>
      <c r="S43" s="107">
        <v>250000</v>
      </c>
      <c r="T43" s="107">
        <v>50000</v>
      </c>
      <c r="U43" s="107">
        <v>92.307692307692307</v>
      </c>
      <c r="V43" s="107">
        <f>Table3[[#This Row],[Death Premium]]+Table3[[#This Row],[PD Premium]]+Table3[[#This Row],[Riders'' premium (Burial expenses &amp; Spousal cover)]]</f>
        <v>153725.82273230766</v>
      </c>
      <c r="W43" s="109" t="s">
        <v>1535</v>
      </c>
    </row>
    <row r="44" spans="1:23" x14ac:dyDescent="0.3">
      <c r="A44" s="49">
        <v>37</v>
      </c>
      <c r="B44" s="55" t="s">
        <v>174</v>
      </c>
      <c r="C44" s="4" t="s">
        <v>175</v>
      </c>
      <c r="D44" s="5" t="s">
        <v>176</v>
      </c>
      <c r="E44" s="5" t="s">
        <v>177</v>
      </c>
      <c r="F44" s="88">
        <v>27937</v>
      </c>
      <c r="G44" s="50" t="s">
        <v>1186</v>
      </c>
      <c r="H44" s="88">
        <f>_xlfn.XLOOKUP(Table3[[#This Row],[Emp. Code]],'[1]DLE EMP LIST'!$B:$B,'[1]DLE EMP LIST'!$N:$N)</f>
        <v>41830</v>
      </c>
      <c r="I44" s="51">
        <v>739905.66</v>
      </c>
      <c r="J44" s="51">
        <v>369952.83</v>
      </c>
      <c r="K44" s="51">
        <v>258966.98</v>
      </c>
      <c r="L44" s="2">
        <f t="shared" si="3"/>
        <v>1368825.47</v>
      </c>
      <c r="M44" s="9" t="s">
        <v>34</v>
      </c>
      <c r="N44" s="10">
        <f t="shared" si="4"/>
        <v>16425905.640000001</v>
      </c>
      <c r="O44" s="108">
        <f t="shared" si="5"/>
        <v>49277716.920000002</v>
      </c>
      <c r="P44" s="107">
        <f>6/1000*Table3[[#This Row],[Sum Assured]]</f>
        <v>295666.30152000004</v>
      </c>
      <c r="Q44" s="107">
        <v>50000</v>
      </c>
      <c r="R44" s="107">
        <f>0.09%*Table3[[#This Row],[Permenent Disability]]</f>
        <v>45</v>
      </c>
      <c r="S44" s="107">
        <v>250000</v>
      </c>
      <c r="T44" s="107">
        <v>50000</v>
      </c>
      <c r="U44" s="107">
        <v>92.307692307692307</v>
      </c>
      <c r="V44" s="107">
        <f>Table3[[#This Row],[Death Premium]]+Table3[[#This Row],[PD Premium]]+Table3[[#This Row],[Riders'' premium (Burial expenses &amp; Spousal cover)]]</f>
        <v>295803.60921230773</v>
      </c>
      <c r="W44" s="109">
        <v>0</v>
      </c>
    </row>
    <row r="45" spans="1:23" x14ac:dyDescent="0.3">
      <c r="A45" s="4">
        <v>38</v>
      </c>
      <c r="B45" s="55" t="s">
        <v>178</v>
      </c>
      <c r="C45" s="4" t="s">
        <v>179</v>
      </c>
      <c r="D45" s="5" t="s">
        <v>180</v>
      </c>
      <c r="E45" s="5" t="s">
        <v>181</v>
      </c>
      <c r="F45" s="88">
        <v>29051</v>
      </c>
      <c r="G45" s="50" t="s">
        <v>1186</v>
      </c>
      <c r="H45" s="88">
        <f>_xlfn.XLOOKUP(Table3[[#This Row],[Emp. Code]],'[1]DLE EMP LIST'!$B:$B,'[1]DLE EMP LIST'!$N:$N)</f>
        <v>42278</v>
      </c>
      <c r="I45" s="51">
        <v>70775.98</v>
      </c>
      <c r="J45" s="51">
        <v>12315.02</v>
      </c>
      <c r="K45" s="51">
        <v>10616.4</v>
      </c>
      <c r="L45" s="2">
        <f t="shared" si="3"/>
        <v>93707.4</v>
      </c>
      <c r="M45" s="9" t="s">
        <v>34</v>
      </c>
      <c r="N45" s="10">
        <f t="shared" si="4"/>
        <v>1124488.7999999998</v>
      </c>
      <c r="O45" s="108">
        <f t="shared" si="5"/>
        <v>3373466.3999999994</v>
      </c>
      <c r="P45" s="107">
        <f>6/1000*Table3[[#This Row],[Sum Assured]]</f>
        <v>20240.798399999996</v>
      </c>
      <c r="Q45" s="107">
        <v>50000</v>
      </c>
      <c r="R45" s="107">
        <f>0.09%*Table3[[#This Row],[Permenent Disability]]</f>
        <v>45</v>
      </c>
      <c r="S45" s="107">
        <v>250000</v>
      </c>
      <c r="T45" s="107">
        <v>50000</v>
      </c>
      <c r="U45" s="107">
        <v>92.307692307692307</v>
      </c>
      <c r="V45" s="107">
        <f>Table3[[#This Row],[Death Premium]]+Table3[[#This Row],[PD Premium]]+Table3[[#This Row],[Riders'' premium (Burial expenses &amp; Spousal cover)]]</f>
        <v>20378.106092307688</v>
      </c>
      <c r="W45" s="109" t="s">
        <v>1536</v>
      </c>
    </row>
    <row r="46" spans="1:23" x14ac:dyDescent="0.3">
      <c r="A46" s="49">
        <v>39</v>
      </c>
      <c r="B46" s="55" t="s">
        <v>186</v>
      </c>
      <c r="C46" s="4" t="s">
        <v>187</v>
      </c>
      <c r="D46" s="5" t="s">
        <v>188</v>
      </c>
      <c r="E46" s="5" t="s">
        <v>189</v>
      </c>
      <c r="F46" s="88">
        <v>32734</v>
      </c>
      <c r="G46" s="50" t="s">
        <v>1186</v>
      </c>
      <c r="H46" s="88">
        <f>_xlfn.XLOOKUP(Table3[[#This Row],[Emp. Code]],'[1]DLE EMP LIST'!$B:$B,'[1]DLE EMP LIST'!$N:$N)</f>
        <v>43009</v>
      </c>
      <c r="I46" s="51">
        <v>213350.03</v>
      </c>
      <c r="J46" s="51">
        <v>57850.68</v>
      </c>
      <c r="K46" s="51">
        <v>21078.57</v>
      </c>
      <c r="L46" s="2">
        <f t="shared" si="3"/>
        <v>292279.28000000003</v>
      </c>
      <c r="M46" s="9" t="s">
        <v>43</v>
      </c>
      <c r="N46" s="10">
        <f t="shared" si="4"/>
        <v>3507351.3600000003</v>
      </c>
      <c r="O46" s="108">
        <f t="shared" si="5"/>
        <v>10522054.080000002</v>
      </c>
      <c r="P46" s="107">
        <f>6/1000*Table3[[#This Row],[Sum Assured]]</f>
        <v>63132.32448000001</v>
      </c>
      <c r="Q46" s="107">
        <v>50000</v>
      </c>
      <c r="R46" s="107">
        <f>0.09%*Table3[[#This Row],[Permenent Disability]]</f>
        <v>45</v>
      </c>
      <c r="S46" s="107">
        <v>250000</v>
      </c>
      <c r="T46" s="107">
        <v>50000</v>
      </c>
      <c r="U46" s="107">
        <v>92.307692307692307</v>
      </c>
      <c r="V46" s="107">
        <f>Table3[[#This Row],[Death Premium]]+Table3[[#This Row],[PD Premium]]+Table3[[#This Row],[Riders'' premium (Burial expenses &amp; Spousal cover)]]</f>
        <v>63269.632172307705</v>
      </c>
      <c r="W46" s="109" t="s">
        <v>1537</v>
      </c>
    </row>
    <row r="47" spans="1:23" x14ac:dyDescent="0.3">
      <c r="A47" s="49">
        <v>40</v>
      </c>
      <c r="B47" s="55" t="s">
        <v>190</v>
      </c>
      <c r="C47" s="4" t="s">
        <v>191</v>
      </c>
      <c r="D47" s="5" t="s">
        <v>192</v>
      </c>
      <c r="E47" s="5" t="s">
        <v>135</v>
      </c>
      <c r="F47" s="88">
        <v>32125</v>
      </c>
      <c r="G47" s="50" t="s">
        <v>1186</v>
      </c>
      <c r="H47" s="88">
        <f>_xlfn.XLOOKUP(Table3[[#This Row],[Emp. Code]],'[1]DLE EMP LIST'!$B:$B,'[1]DLE EMP LIST'!$N:$N)</f>
        <v>43299</v>
      </c>
      <c r="I47" s="51">
        <v>260991.21</v>
      </c>
      <c r="J47" s="51">
        <v>70768.77</v>
      </c>
      <c r="K47" s="51">
        <v>25785.43</v>
      </c>
      <c r="L47" s="2">
        <f t="shared" si="3"/>
        <v>357545.41</v>
      </c>
      <c r="M47" s="9" t="s">
        <v>43</v>
      </c>
      <c r="N47" s="10">
        <f t="shared" si="4"/>
        <v>4290544.92</v>
      </c>
      <c r="O47" s="108">
        <f t="shared" si="5"/>
        <v>12871634.76</v>
      </c>
      <c r="P47" s="107">
        <f>6/1000*Table3[[#This Row],[Sum Assured]]</f>
        <v>77229.808560000005</v>
      </c>
      <c r="Q47" s="107">
        <v>50000</v>
      </c>
      <c r="R47" s="107">
        <f>0.09%*Table3[[#This Row],[Permenent Disability]]</f>
        <v>45</v>
      </c>
      <c r="S47" s="107">
        <v>250000</v>
      </c>
      <c r="T47" s="107">
        <v>50000</v>
      </c>
      <c r="U47" s="107">
        <v>92.307692307692307</v>
      </c>
      <c r="V47" s="107">
        <f>Table3[[#This Row],[Death Premium]]+Table3[[#This Row],[PD Premium]]+Table3[[#This Row],[Riders'' premium (Burial expenses &amp; Spousal cover)]]</f>
        <v>77367.116252307693</v>
      </c>
      <c r="W47" s="109" t="s">
        <v>1538</v>
      </c>
    </row>
    <row r="48" spans="1:23" x14ac:dyDescent="0.3">
      <c r="A48" s="49">
        <v>41</v>
      </c>
      <c r="B48" s="55" t="s">
        <v>193</v>
      </c>
      <c r="C48" s="4" t="s">
        <v>194</v>
      </c>
      <c r="D48" s="5" t="s">
        <v>195</v>
      </c>
      <c r="E48" s="5" t="s">
        <v>196</v>
      </c>
      <c r="F48" s="88">
        <v>25966</v>
      </c>
      <c r="G48" s="50" t="s">
        <v>1186</v>
      </c>
      <c r="H48" s="88">
        <f>_xlfn.XLOOKUP(Table3[[#This Row],[Emp. Code]],'[1]DLE EMP LIST'!$B:$B,'[1]DLE EMP LIST'!$N:$N)</f>
        <v>43344</v>
      </c>
      <c r="I48" s="51">
        <v>295558.88</v>
      </c>
      <c r="J48" s="51">
        <v>236447.1</v>
      </c>
      <c r="K48" s="51">
        <v>177335.33</v>
      </c>
      <c r="L48" s="2">
        <f t="shared" si="3"/>
        <v>709341.30999999994</v>
      </c>
      <c r="M48" s="9" t="s">
        <v>43</v>
      </c>
      <c r="N48" s="10">
        <f t="shared" si="4"/>
        <v>8512095.7199999988</v>
      </c>
      <c r="O48" s="108">
        <f t="shared" si="5"/>
        <v>25536287.159999996</v>
      </c>
      <c r="P48" s="107">
        <f>6/1000*Table3[[#This Row],[Sum Assured]]</f>
        <v>153217.72295999998</v>
      </c>
      <c r="Q48" s="107">
        <v>50000</v>
      </c>
      <c r="R48" s="107">
        <f>0.09%*Table3[[#This Row],[Permenent Disability]]</f>
        <v>45</v>
      </c>
      <c r="S48" s="107">
        <v>250000</v>
      </c>
      <c r="T48" s="107">
        <v>50000</v>
      </c>
      <c r="U48" s="107">
        <v>92.307692307692307</v>
      </c>
      <c r="V48" s="107">
        <f>Table3[[#This Row],[Death Premium]]+Table3[[#This Row],[PD Premium]]+Table3[[#This Row],[Riders'' premium (Burial expenses &amp; Spousal cover)]]</f>
        <v>153355.03065230767</v>
      </c>
      <c r="W48" s="109" t="s">
        <v>1539</v>
      </c>
    </row>
    <row r="49" spans="1:23" x14ac:dyDescent="0.3">
      <c r="A49" s="4">
        <v>42</v>
      </c>
      <c r="B49" s="55" t="s">
        <v>197</v>
      </c>
      <c r="C49" s="4" t="s">
        <v>198</v>
      </c>
      <c r="D49" s="5" t="s">
        <v>199</v>
      </c>
      <c r="E49" s="5" t="s">
        <v>196</v>
      </c>
      <c r="F49" s="88">
        <v>34205</v>
      </c>
      <c r="G49" s="50" t="s">
        <v>1186</v>
      </c>
      <c r="H49" s="88">
        <f>_xlfn.XLOOKUP(Table3[[#This Row],[Emp. Code]],'[1]DLE EMP LIST'!$B:$B,'[1]DLE EMP LIST'!$N:$N)</f>
        <v>43344</v>
      </c>
      <c r="I49" s="51">
        <v>173408.02</v>
      </c>
      <c r="J49" s="51">
        <v>47020.25</v>
      </c>
      <c r="K49" s="51">
        <v>17132.38</v>
      </c>
      <c r="L49" s="2">
        <f t="shared" si="3"/>
        <v>237560.65</v>
      </c>
      <c r="M49" s="9" t="s">
        <v>43</v>
      </c>
      <c r="N49" s="10">
        <f t="shared" si="4"/>
        <v>2850727.8</v>
      </c>
      <c r="O49" s="108">
        <f t="shared" si="5"/>
        <v>8552183.3999999985</v>
      </c>
      <c r="P49" s="107">
        <f>6/1000*Table3[[#This Row],[Sum Assured]]</f>
        <v>51313.100399999996</v>
      </c>
      <c r="Q49" s="107">
        <v>50000</v>
      </c>
      <c r="R49" s="107">
        <f>0.09%*Table3[[#This Row],[Permenent Disability]]</f>
        <v>45</v>
      </c>
      <c r="S49" s="107">
        <v>250000</v>
      </c>
      <c r="T49" s="107">
        <v>50000</v>
      </c>
      <c r="U49" s="107">
        <v>92.307692307692307</v>
      </c>
      <c r="V49" s="107">
        <f>Table3[[#This Row],[Death Premium]]+Table3[[#This Row],[PD Premium]]+Table3[[#This Row],[Riders'' premium (Burial expenses &amp; Spousal cover)]]</f>
        <v>51450.408092307691</v>
      </c>
      <c r="W49" s="109" t="s">
        <v>1540</v>
      </c>
    </row>
    <row r="50" spans="1:23" x14ac:dyDescent="0.3">
      <c r="A50" s="49">
        <v>43</v>
      </c>
      <c r="B50" s="55" t="s">
        <v>200</v>
      </c>
      <c r="C50" s="4" t="s">
        <v>201</v>
      </c>
      <c r="D50" s="5" t="s">
        <v>202</v>
      </c>
      <c r="E50" s="5" t="s">
        <v>203</v>
      </c>
      <c r="F50" s="88">
        <v>27639</v>
      </c>
      <c r="G50" s="50" t="s">
        <v>1186</v>
      </c>
      <c r="H50" s="88">
        <f>_xlfn.XLOOKUP(Table3[[#This Row],[Emp. Code]],'[1]DLE EMP LIST'!$B:$B,'[1]DLE EMP LIST'!$N:$N)</f>
        <v>43479</v>
      </c>
      <c r="I50" s="51">
        <v>377872.51</v>
      </c>
      <c r="J50" s="51">
        <v>151149.01</v>
      </c>
      <c r="K50" s="51">
        <v>113361.75</v>
      </c>
      <c r="L50" s="2">
        <f t="shared" si="3"/>
        <v>642383.27</v>
      </c>
      <c r="M50" s="9" t="s">
        <v>43</v>
      </c>
      <c r="N50" s="10">
        <f t="shared" si="4"/>
        <v>7708599.2400000002</v>
      </c>
      <c r="O50" s="108">
        <f t="shared" si="5"/>
        <v>23125797.719999999</v>
      </c>
      <c r="P50" s="107">
        <f>6/1000*Table3[[#This Row],[Sum Assured]]</f>
        <v>138754.78631999998</v>
      </c>
      <c r="Q50" s="107">
        <v>50000</v>
      </c>
      <c r="R50" s="107">
        <f>0.09%*Table3[[#This Row],[Permenent Disability]]</f>
        <v>45</v>
      </c>
      <c r="S50" s="107">
        <v>250000</v>
      </c>
      <c r="T50" s="107">
        <v>50000</v>
      </c>
      <c r="U50" s="107">
        <v>92.307692307692307</v>
      </c>
      <c r="V50" s="107">
        <f>Table3[[#This Row],[Death Premium]]+Table3[[#This Row],[PD Premium]]+Table3[[#This Row],[Riders'' premium (Burial expenses &amp; Spousal cover)]]</f>
        <v>138892.09401230767</v>
      </c>
      <c r="W50" s="109" t="s">
        <v>1541</v>
      </c>
    </row>
    <row r="51" spans="1:23" x14ac:dyDescent="0.3">
      <c r="A51" s="49">
        <v>44</v>
      </c>
      <c r="B51" s="55" t="s">
        <v>204</v>
      </c>
      <c r="C51" s="4" t="s">
        <v>205</v>
      </c>
      <c r="D51" s="5" t="s">
        <v>206</v>
      </c>
      <c r="E51" s="5" t="s">
        <v>207</v>
      </c>
      <c r="F51" s="88">
        <v>28759</v>
      </c>
      <c r="G51" s="50" t="s">
        <v>1186</v>
      </c>
      <c r="H51" s="88">
        <f>_xlfn.XLOOKUP(Table3[[#This Row],[Emp. Code]],'[1]DLE EMP LIST'!$B:$B,'[1]DLE EMP LIST'!$N:$N)</f>
        <v>43709</v>
      </c>
      <c r="I51" s="51">
        <v>457554.17</v>
      </c>
      <c r="J51" s="51">
        <v>183021.67</v>
      </c>
      <c r="K51" s="51">
        <v>137266.25</v>
      </c>
      <c r="L51" s="2">
        <f t="shared" si="3"/>
        <v>777842.09</v>
      </c>
      <c r="M51" s="9" t="s">
        <v>43</v>
      </c>
      <c r="N51" s="10">
        <f t="shared" si="4"/>
        <v>9334105.0800000001</v>
      </c>
      <c r="O51" s="108">
        <f t="shared" si="5"/>
        <v>28002315.240000002</v>
      </c>
      <c r="P51" s="107">
        <f>6/1000*Table3[[#This Row],[Sum Assured]]</f>
        <v>168013.89144000001</v>
      </c>
      <c r="Q51" s="107">
        <v>50000</v>
      </c>
      <c r="R51" s="107">
        <f>0.09%*Table3[[#This Row],[Permenent Disability]]</f>
        <v>45</v>
      </c>
      <c r="S51" s="107">
        <v>250000</v>
      </c>
      <c r="T51" s="107">
        <v>50000</v>
      </c>
      <c r="U51" s="107">
        <v>92.307692307692307</v>
      </c>
      <c r="V51" s="107">
        <f>Table3[[#This Row],[Death Premium]]+Table3[[#This Row],[PD Premium]]+Table3[[#This Row],[Riders'' premium (Burial expenses &amp; Spousal cover)]]</f>
        <v>168151.19913230769</v>
      </c>
      <c r="W51" s="109" t="s">
        <v>1542</v>
      </c>
    </row>
    <row r="52" spans="1:23" x14ac:dyDescent="0.3">
      <c r="A52" s="49">
        <v>45</v>
      </c>
      <c r="B52" s="55" t="s">
        <v>209</v>
      </c>
      <c r="C52" s="4" t="s">
        <v>210</v>
      </c>
      <c r="D52" s="5" t="s">
        <v>211</v>
      </c>
      <c r="E52" s="5" t="s">
        <v>150</v>
      </c>
      <c r="F52" s="88">
        <v>32321</v>
      </c>
      <c r="G52" s="50" t="s">
        <v>1186</v>
      </c>
      <c r="H52" s="88">
        <f>_xlfn.XLOOKUP(Table3[[#This Row],[Emp. Code]],'[1]DLE EMP LIST'!$B:$B,'[1]DLE EMP LIST'!$N:$N)</f>
        <v>43864</v>
      </c>
      <c r="I52" s="51">
        <v>213158.87</v>
      </c>
      <c r="J52" s="51">
        <v>85263.55</v>
      </c>
      <c r="K52" s="51">
        <v>63947.66</v>
      </c>
      <c r="L52" s="2">
        <f t="shared" si="3"/>
        <v>362370.07999999996</v>
      </c>
      <c r="M52" s="9" t="s">
        <v>34</v>
      </c>
      <c r="N52" s="10">
        <f t="shared" si="4"/>
        <v>4348440.959999999</v>
      </c>
      <c r="O52" s="108">
        <f t="shared" si="5"/>
        <v>13045322.879999997</v>
      </c>
      <c r="P52" s="107">
        <f>6/1000*Table3[[#This Row],[Sum Assured]]</f>
        <v>78271.937279999984</v>
      </c>
      <c r="Q52" s="107">
        <v>50000</v>
      </c>
      <c r="R52" s="107">
        <f>0.09%*Table3[[#This Row],[Permenent Disability]]</f>
        <v>45</v>
      </c>
      <c r="S52" s="107">
        <v>250000</v>
      </c>
      <c r="T52" s="107">
        <v>50000</v>
      </c>
      <c r="U52" s="107">
        <v>92.307692307692307</v>
      </c>
      <c r="V52" s="107">
        <f>Table3[[#This Row],[Death Premium]]+Table3[[#This Row],[PD Premium]]+Table3[[#This Row],[Riders'' premium (Burial expenses &amp; Spousal cover)]]</f>
        <v>78409.244972307672</v>
      </c>
      <c r="W52" s="109" t="s">
        <v>1543</v>
      </c>
    </row>
    <row r="53" spans="1:23" x14ac:dyDescent="0.3">
      <c r="A53" s="4">
        <v>46</v>
      </c>
      <c r="B53" s="55" t="s">
        <v>212</v>
      </c>
      <c r="C53" s="4" t="s">
        <v>213</v>
      </c>
      <c r="D53" s="5" t="s">
        <v>214</v>
      </c>
      <c r="E53" s="5" t="s">
        <v>215</v>
      </c>
      <c r="F53" s="88">
        <v>30605</v>
      </c>
      <c r="G53" s="50" t="s">
        <v>1186</v>
      </c>
      <c r="H53" s="88">
        <f>_xlfn.XLOOKUP(Table3[[#This Row],[Emp. Code]],'[1]DLE EMP LIST'!$B:$B,'[1]DLE EMP LIST'!$N:$N)</f>
        <v>45323</v>
      </c>
      <c r="I53" s="51">
        <v>363936.25</v>
      </c>
      <c r="J53" s="51">
        <v>291149</v>
      </c>
      <c r="K53" s="51">
        <v>218361.75</v>
      </c>
      <c r="L53" s="2">
        <f t="shared" si="3"/>
        <v>873447</v>
      </c>
      <c r="M53" s="9" t="s">
        <v>43</v>
      </c>
      <c r="N53" s="10">
        <f t="shared" si="4"/>
        <v>10481364</v>
      </c>
      <c r="O53" s="108">
        <f t="shared" si="5"/>
        <v>31444092</v>
      </c>
      <c r="P53" s="107">
        <f>6/1000*Table3[[#This Row],[Sum Assured]]</f>
        <v>188664.552</v>
      </c>
      <c r="Q53" s="107">
        <v>50000</v>
      </c>
      <c r="R53" s="107">
        <f>0.09%*Table3[[#This Row],[Permenent Disability]]</f>
        <v>45</v>
      </c>
      <c r="S53" s="107">
        <v>250000</v>
      </c>
      <c r="T53" s="107">
        <v>50000</v>
      </c>
      <c r="U53" s="107">
        <v>92.307692307692307</v>
      </c>
      <c r="V53" s="107">
        <f>Table3[[#This Row],[Death Premium]]+Table3[[#This Row],[PD Premium]]+Table3[[#This Row],[Riders'' premium (Burial expenses &amp; Spousal cover)]]</f>
        <v>188801.85969230768</v>
      </c>
      <c r="W53" s="109" t="s">
        <v>1544</v>
      </c>
    </row>
    <row r="54" spans="1:23" x14ac:dyDescent="0.3">
      <c r="A54" s="49">
        <v>47</v>
      </c>
      <c r="B54" s="55" t="s">
        <v>217</v>
      </c>
      <c r="C54" s="4" t="s">
        <v>218</v>
      </c>
      <c r="D54" s="5" t="s">
        <v>219</v>
      </c>
      <c r="E54" s="5" t="s">
        <v>220</v>
      </c>
      <c r="F54" s="88">
        <v>31738</v>
      </c>
      <c r="G54" s="50" t="s">
        <v>1186</v>
      </c>
      <c r="H54" s="88">
        <f>_xlfn.XLOOKUP(Table3[[#This Row],[Emp. Code]],'[1]DLE EMP LIST'!$B:$B,'[1]DLE EMP LIST'!$N:$N)</f>
        <v>45383</v>
      </c>
      <c r="I54" s="51">
        <v>472894.21</v>
      </c>
      <c r="J54" s="51">
        <v>189157.68</v>
      </c>
      <c r="K54" s="51">
        <v>141868.26</v>
      </c>
      <c r="L54" s="2">
        <f t="shared" si="3"/>
        <v>803920.15</v>
      </c>
      <c r="M54" s="9" t="s">
        <v>43</v>
      </c>
      <c r="N54" s="10">
        <f t="shared" si="4"/>
        <v>9647041.8000000007</v>
      </c>
      <c r="O54" s="108">
        <f t="shared" si="5"/>
        <v>28941125.400000002</v>
      </c>
      <c r="P54" s="107">
        <f>6/1000*Table3[[#This Row],[Sum Assured]]</f>
        <v>173646.75240000003</v>
      </c>
      <c r="Q54" s="107">
        <v>50000</v>
      </c>
      <c r="R54" s="107">
        <f>0.09%*Table3[[#This Row],[Permenent Disability]]</f>
        <v>45</v>
      </c>
      <c r="S54" s="107">
        <v>250000</v>
      </c>
      <c r="T54" s="107">
        <v>50000</v>
      </c>
      <c r="U54" s="107">
        <v>92.307692307692307</v>
      </c>
      <c r="V54" s="107">
        <f>Table3[[#This Row],[Death Premium]]+Table3[[#This Row],[PD Premium]]+Table3[[#This Row],[Riders'' premium (Burial expenses &amp; Spousal cover)]]</f>
        <v>173784.06009230771</v>
      </c>
      <c r="W54" s="109" t="s">
        <v>1545</v>
      </c>
    </row>
    <row r="55" spans="1:23" x14ac:dyDescent="0.3">
      <c r="A55" s="49">
        <v>48</v>
      </c>
      <c r="B55" s="55" t="s">
        <v>221</v>
      </c>
      <c r="C55" s="4" t="s">
        <v>222</v>
      </c>
      <c r="D55" s="5" t="s">
        <v>223</v>
      </c>
      <c r="E55" s="5" t="s">
        <v>224</v>
      </c>
      <c r="F55" s="88">
        <v>22228</v>
      </c>
      <c r="G55" s="50" t="s">
        <v>1186</v>
      </c>
      <c r="H55" s="88"/>
      <c r="I55" s="144">
        <v>7995000</v>
      </c>
      <c r="J55" s="51">
        <v>0</v>
      </c>
      <c r="K55" s="51"/>
      <c r="L55" s="2">
        <f t="shared" si="3"/>
        <v>7995000</v>
      </c>
      <c r="M55" s="9" t="s">
        <v>43</v>
      </c>
      <c r="N55" s="10">
        <f t="shared" si="4"/>
        <v>95940000</v>
      </c>
      <c r="O55" s="108">
        <f t="shared" si="5"/>
        <v>287820000</v>
      </c>
      <c r="P55" s="107">
        <f>6/1000*Table3[[#This Row],[Sum Assured]]</f>
        <v>1726920</v>
      </c>
      <c r="Q55" s="107">
        <v>50000</v>
      </c>
      <c r="R55" s="107">
        <f>0.09%*Table3[[#This Row],[Permenent Disability]]</f>
        <v>45</v>
      </c>
      <c r="S55" s="107">
        <v>250000</v>
      </c>
      <c r="T55" s="107">
        <v>50000</v>
      </c>
      <c r="U55" s="107">
        <v>92.307692307692307</v>
      </c>
      <c r="V55" s="107">
        <f>Table3[[#This Row],[Death Premium]]+Table3[[#This Row],[PD Premium]]+Table3[[#This Row],[Riders'' premium (Burial expenses &amp; Spousal cover)]]</f>
        <v>1727057.3076923077</v>
      </c>
      <c r="W55" s="109">
        <v>0</v>
      </c>
    </row>
    <row r="56" spans="1:23" x14ac:dyDescent="0.3">
      <c r="A56" s="49">
        <v>49</v>
      </c>
      <c r="B56" s="55" t="s">
        <v>225</v>
      </c>
      <c r="C56" s="4" t="s">
        <v>226</v>
      </c>
      <c r="D56" s="5" t="s">
        <v>227</v>
      </c>
      <c r="E56" s="5" t="s">
        <v>228</v>
      </c>
      <c r="F56" s="88">
        <v>28138</v>
      </c>
      <c r="G56" s="50" t="s">
        <v>1186</v>
      </c>
      <c r="H56" s="88">
        <f>_xlfn.XLOOKUP(Table3[[#This Row],[Emp. Code]],'[1]DLE EMP LIST'!$B:$B,'[1]DLE EMP LIST'!$N:$N)</f>
        <v>45439</v>
      </c>
      <c r="I56" s="51">
        <v>288721.56</v>
      </c>
      <c r="J56" s="51">
        <v>230977.25</v>
      </c>
      <c r="K56" s="51">
        <v>173232.94</v>
      </c>
      <c r="L56" s="2">
        <f t="shared" si="3"/>
        <v>692931.75</v>
      </c>
      <c r="M56" s="9" t="s">
        <v>43</v>
      </c>
      <c r="N56" s="10">
        <f t="shared" si="4"/>
        <v>8315181</v>
      </c>
      <c r="O56" s="108">
        <f t="shared" si="5"/>
        <v>24945543</v>
      </c>
      <c r="P56" s="107">
        <f>6/1000*Table3[[#This Row],[Sum Assured]]</f>
        <v>149673.258</v>
      </c>
      <c r="Q56" s="107">
        <v>50000</v>
      </c>
      <c r="R56" s="107">
        <f>0.09%*Table3[[#This Row],[Permenent Disability]]</f>
        <v>45</v>
      </c>
      <c r="S56" s="107">
        <v>250000</v>
      </c>
      <c r="T56" s="107">
        <v>50000</v>
      </c>
      <c r="U56" s="107">
        <v>92.307692307692307</v>
      </c>
      <c r="V56" s="107">
        <f>Table3[[#This Row],[Death Premium]]+Table3[[#This Row],[PD Premium]]+Table3[[#This Row],[Riders'' premium (Burial expenses &amp; Spousal cover)]]</f>
        <v>149810.56569230769</v>
      </c>
      <c r="W56" s="109" t="s">
        <v>1546</v>
      </c>
    </row>
    <row r="57" spans="1:23" x14ac:dyDescent="0.3">
      <c r="A57" s="4">
        <v>50</v>
      </c>
      <c r="B57" s="55" t="s">
        <v>229</v>
      </c>
      <c r="C57" s="4" t="s">
        <v>230</v>
      </c>
      <c r="D57" s="5" t="s">
        <v>164</v>
      </c>
      <c r="E57" s="5" t="s">
        <v>231</v>
      </c>
      <c r="F57" s="88">
        <v>30212</v>
      </c>
      <c r="G57" s="50" t="s">
        <v>1186</v>
      </c>
      <c r="H57" s="88">
        <f>_xlfn.XLOOKUP(Table3[[#This Row],[Emp. Code]],'[1]DLE EMP LIST'!$B:$B,'[1]DLE EMP LIST'!$N:$N)</f>
        <v>45509</v>
      </c>
      <c r="I57" s="51">
        <v>794695.93</v>
      </c>
      <c r="J57" s="51">
        <v>317878.37</v>
      </c>
      <c r="K57" s="51">
        <v>238408.78</v>
      </c>
      <c r="L57" s="2">
        <f t="shared" si="3"/>
        <v>1350983.08</v>
      </c>
      <c r="M57" s="9" t="s">
        <v>43</v>
      </c>
      <c r="N57" s="10">
        <f t="shared" si="4"/>
        <v>16211796.960000001</v>
      </c>
      <c r="O57" s="108">
        <f t="shared" si="5"/>
        <v>48635390.880000003</v>
      </c>
      <c r="P57" s="107">
        <f>6/1000*Table3[[#This Row],[Sum Assured]]</f>
        <v>291812.34528000001</v>
      </c>
      <c r="Q57" s="107">
        <v>50000</v>
      </c>
      <c r="R57" s="107">
        <f>0.09%*Table3[[#This Row],[Permenent Disability]]</f>
        <v>45</v>
      </c>
      <c r="S57" s="107">
        <v>250000</v>
      </c>
      <c r="T57" s="107">
        <v>50000</v>
      </c>
      <c r="U57" s="107">
        <v>92.307692307692307</v>
      </c>
      <c r="V57" s="107">
        <f>Table3[[#This Row],[Death Premium]]+Table3[[#This Row],[PD Premium]]+Table3[[#This Row],[Riders'' premium (Burial expenses &amp; Spousal cover)]]</f>
        <v>291949.6529723077</v>
      </c>
      <c r="W57" s="109" t="s">
        <v>1547</v>
      </c>
    </row>
    <row r="58" spans="1:23" x14ac:dyDescent="0.3">
      <c r="A58" s="49">
        <v>51</v>
      </c>
      <c r="B58" s="55" t="s">
        <v>232</v>
      </c>
      <c r="C58" s="4" t="s">
        <v>233</v>
      </c>
      <c r="D58" s="5" t="s">
        <v>78</v>
      </c>
      <c r="E58" s="5" t="s">
        <v>234</v>
      </c>
      <c r="F58" s="88">
        <v>32448</v>
      </c>
      <c r="G58" s="50" t="s">
        <v>1186</v>
      </c>
      <c r="H58" s="88">
        <f>_xlfn.XLOOKUP(Table3[[#This Row],[Emp. Code]],'[1]DLE EMP LIST'!$B:$B,'[1]DLE EMP LIST'!$N:$N)</f>
        <v>45530</v>
      </c>
      <c r="I58" s="51">
        <v>704629.07</v>
      </c>
      <c r="J58" s="51">
        <v>281851.63</v>
      </c>
      <c r="K58" s="51">
        <v>211388.72</v>
      </c>
      <c r="L58" s="2">
        <f t="shared" si="3"/>
        <v>1197869.42</v>
      </c>
      <c r="M58" s="9" t="s">
        <v>43</v>
      </c>
      <c r="N58" s="10">
        <f t="shared" si="4"/>
        <v>14374433.039999999</v>
      </c>
      <c r="O58" s="108">
        <f t="shared" si="5"/>
        <v>43123299.119999997</v>
      </c>
      <c r="P58" s="107">
        <f>6/1000*Table3[[#This Row],[Sum Assured]]</f>
        <v>258739.79471999998</v>
      </c>
      <c r="Q58" s="107">
        <v>50000</v>
      </c>
      <c r="R58" s="107">
        <f>0.09%*Table3[[#This Row],[Permenent Disability]]</f>
        <v>45</v>
      </c>
      <c r="S58" s="107">
        <v>250000</v>
      </c>
      <c r="T58" s="107">
        <v>50000</v>
      </c>
      <c r="U58" s="107">
        <v>92.307692307692307</v>
      </c>
      <c r="V58" s="107">
        <f>Table3[[#This Row],[Death Premium]]+Table3[[#This Row],[PD Premium]]+Table3[[#This Row],[Riders'' premium (Burial expenses &amp; Spousal cover)]]</f>
        <v>258877.10241230766</v>
      </c>
      <c r="W58" s="109" t="s">
        <v>1548</v>
      </c>
    </row>
    <row r="59" spans="1:23" x14ac:dyDescent="0.3">
      <c r="A59" s="49">
        <v>52</v>
      </c>
      <c r="B59" s="6" t="s">
        <v>235</v>
      </c>
      <c r="C59" s="6" t="s">
        <v>236</v>
      </c>
      <c r="D59" s="6" t="s">
        <v>237</v>
      </c>
      <c r="E59" s="6" t="s">
        <v>238</v>
      </c>
      <c r="F59" s="87">
        <v>34094</v>
      </c>
      <c r="G59" s="50" t="s">
        <v>1186</v>
      </c>
      <c r="H59" s="88">
        <f>_xlfn.XLOOKUP(Table3[[#This Row],[Emp. Code]],'[1]DLE EMP LIST'!$B:$B,'[1]DLE EMP LIST'!$N:$N)</f>
        <v>45670</v>
      </c>
      <c r="I59" s="7">
        <v>267656.78999999998</v>
      </c>
      <c r="J59" s="7">
        <v>72576.17</v>
      </c>
      <c r="K59" s="7">
        <v>26443.98</v>
      </c>
      <c r="L59" s="68">
        <f t="shared" si="3"/>
        <v>366676.93999999994</v>
      </c>
      <c r="M59" s="6" t="s">
        <v>43</v>
      </c>
      <c r="N59" s="83">
        <f t="shared" si="4"/>
        <v>4400123.2799999993</v>
      </c>
      <c r="O59" s="109">
        <f t="shared" si="5"/>
        <v>13200369.839999998</v>
      </c>
      <c r="P59" s="109">
        <f>6/1000*Table3[[#This Row],[Sum Assured]]</f>
        <v>79202.219039999996</v>
      </c>
      <c r="Q59" s="108">
        <v>50000</v>
      </c>
      <c r="R59" s="108">
        <f>0.09%*Table3[[#This Row],[Permenent Disability]]</f>
        <v>45</v>
      </c>
      <c r="S59" s="108">
        <v>250000</v>
      </c>
      <c r="T59" s="108">
        <v>50000</v>
      </c>
      <c r="U59" s="107">
        <v>92.307692307692307</v>
      </c>
      <c r="V59" s="107">
        <f>Table3[[#This Row],[Death Premium]]+Table3[[#This Row],[PD Premium]]+Table3[[#This Row],[Riders'' premium (Burial expenses &amp; Spousal cover)]]</f>
        <v>79339.526732307684</v>
      </c>
      <c r="W59" s="109" t="s">
        <v>1549</v>
      </c>
    </row>
    <row r="60" spans="1:23" x14ac:dyDescent="0.3">
      <c r="A60" s="49">
        <v>53</v>
      </c>
      <c r="B60" s="6" t="s">
        <v>239</v>
      </c>
      <c r="C60" s="6" t="s">
        <v>240</v>
      </c>
      <c r="D60" s="6" t="s">
        <v>227</v>
      </c>
      <c r="E60" s="6" t="s">
        <v>79</v>
      </c>
      <c r="F60" s="87">
        <v>31670</v>
      </c>
      <c r="G60" s="50" t="s">
        <v>1186</v>
      </c>
      <c r="H60" s="88">
        <f>_xlfn.XLOOKUP(Table3[[#This Row],[Emp. Code]],'[1]DLE EMP LIST'!$B:$B,'[1]DLE EMP LIST'!$N:$N)</f>
        <v>45691</v>
      </c>
      <c r="I60" s="7">
        <v>199500.46</v>
      </c>
      <c r="J60" s="7">
        <v>54095.32</v>
      </c>
      <c r="K60" s="7">
        <v>19710.259999999998</v>
      </c>
      <c r="L60" s="68">
        <f t="shared" si="3"/>
        <v>273306.03999999998</v>
      </c>
      <c r="M60" s="6" t="s">
        <v>34</v>
      </c>
      <c r="N60" s="83">
        <f t="shared" si="4"/>
        <v>3279672.4799999995</v>
      </c>
      <c r="O60" s="109">
        <f t="shared" si="5"/>
        <v>9839017.4399999976</v>
      </c>
      <c r="P60" s="109">
        <f>6/1000*Table3[[#This Row],[Sum Assured]]</f>
        <v>59034.10463999999</v>
      </c>
      <c r="Q60" s="108">
        <v>50000</v>
      </c>
      <c r="R60" s="108">
        <f>0.09%*Table3[[#This Row],[Permenent Disability]]</f>
        <v>45</v>
      </c>
      <c r="S60" s="108">
        <v>250000</v>
      </c>
      <c r="T60" s="108">
        <v>50000</v>
      </c>
      <c r="U60" s="107">
        <v>92.307692307692307</v>
      </c>
      <c r="V60" s="107">
        <f>Table3[[#This Row],[Death Premium]]+Table3[[#This Row],[PD Premium]]+Table3[[#This Row],[Riders'' premium (Burial expenses &amp; Spousal cover)]]</f>
        <v>59171.412332307686</v>
      </c>
      <c r="W60" s="109" t="s">
        <v>1550</v>
      </c>
    </row>
    <row r="61" spans="1:23" x14ac:dyDescent="0.3">
      <c r="A61" s="4">
        <v>54</v>
      </c>
      <c r="B61" s="6" t="s">
        <v>243</v>
      </c>
      <c r="C61" s="6" t="s">
        <v>244</v>
      </c>
      <c r="D61" s="6" t="s">
        <v>245</v>
      </c>
      <c r="E61" s="6" t="s">
        <v>246</v>
      </c>
      <c r="F61" s="87">
        <v>35578</v>
      </c>
      <c r="G61" s="50" t="s">
        <v>1186</v>
      </c>
      <c r="H61" s="88">
        <f>_xlfn.XLOOKUP(Table3[[#This Row],[Emp. Code]],'[1]DLE EMP LIST'!$B:$B,'[1]DLE EMP LIST'!$N:$N)</f>
        <v>45698</v>
      </c>
      <c r="I61" s="7">
        <v>272827.59999999998</v>
      </c>
      <c r="J61" s="7">
        <v>73978.25</v>
      </c>
      <c r="K61" s="7">
        <v>26954.84</v>
      </c>
      <c r="L61" s="68">
        <f t="shared" si="3"/>
        <v>373760.69</v>
      </c>
      <c r="M61" s="6" t="s">
        <v>43</v>
      </c>
      <c r="N61" s="83">
        <f t="shared" si="4"/>
        <v>4485128.28</v>
      </c>
      <c r="O61" s="109">
        <f t="shared" si="5"/>
        <v>13455384.84</v>
      </c>
      <c r="P61" s="109">
        <f>6/1000*Table3[[#This Row],[Sum Assured]]</f>
        <v>80732.309040000007</v>
      </c>
      <c r="Q61" s="108">
        <v>50000</v>
      </c>
      <c r="R61" s="108">
        <f>0.09%*Table3[[#This Row],[Permenent Disability]]</f>
        <v>45</v>
      </c>
      <c r="S61" s="108">
        <v>250000</v>
      </c>
      <c r="T61" s="108">
        <v>50000</v>
      </c>
      <c r="U61" s="107">
        <v>92.307692307692307</v>
      </c>
      <c r="V61" s="107">
        <f>Table3[[#This Row],[Death Premium]]+Table3[[#This Row],[PD Premium]]+Table3[[#This Row],[Riders'' premium (Burial expenses &amp; Spousal cover)]]</f>
        <v>80869.616732307695</v>
      </c>
      <c r="W61" s="109" t="s">
        <v>1551</v>
      </c>
    </row>
    <row r="62" spans="1:23" x14ac:dyDescent="0.3">
      <c r="A62" s="49">
        <v>55</v>
      </c>
      <c r="B62" s="6" t="s">
        <v>247</v>
      </c>
      <c r="C62" s="6" t="s">
        <v>248</v>
      </c>
      <c r="D62" s="6" t="s">
        <v>249</v>
      </c>
      <c r="E62" s="6" t="s">
        <v>250</v>
      </c>
      <c r="F62" s="87">
        <v>29578</v>
      </c>
      <c r="G62" s="50" t="s">
        <v>1186</v>
      </c>
      <c r="H62" s="88">
        <f>_xlfn.XLOOKUP(Table3[[#This Row],[Emp. Code]],'[1]DLE EMP LIST'!$B:$B,'[1]DLE EMP LIST'!$N:$N)</f>
        <v>45663</v>
      </c>
      <c r="I62" s="7">
        <v>1347700.76</v>
      </c>
      <c r="J62" s="7">
        <v>948996.69</v>
      </c>
      <c r="K62" s="7">
        <v>632664.46</v>
      </c>
      <c r="L62" s="68">
        <f t="shared" si="3"/>
        <v>2929361.91</v>
      </c>
      <c r="M62" s="6" t="s">
        <v>43</v>
      </c>
      <c r="N62" s="83">
        <f t="shared" si="4"/>
        <v>35152342.920000002</v>
      </c>
      <c r="O62" s="109">
        <f t="shared" si="5"/>
        <v>105457028.76000001</v>
      </c>
      <c r="P62" s="109">
        <f>6/1000*Table3[[#This Row],[Sum Assured]]</f>
        <v>632742.17256000009</v>
      </c>
      <c r="Q62" s="108">
        <v>50000</v>
      </c>
      <c r="R62" s="108">
        <f>0.09%*Table3[[#This Row],[Permenent Disability]]</f>
        <v>45</v>
      </c>
      <c r="S62" s="108">
        <v>250000</v>
      </c>
      <c r="T62" s="108">
        <v>50000</v>
      </c>
      <c r="U62" s="107">
        <v>92.307692307692307</v>
      </c>
      <c r="V62" s="107">
        <f>Table3[[#This Row],[Death Premium]]+Table3[[#This Row],[PD Premium]]+Table3[[#This Row],[Riders'' premium (Burial expenses &amp; Spousal cover)]]</f>
        <v>632879.48025230784</v>
      </c>
      <c r="W62" s="109">
        <v>0</v>
      </c>
    </row>
    <row r="63" spans="1:23" s="94" customFormat="1" x14ac:dyDescent="0.3">
      <c r="A63" s="49">
        <v>56</v>
      </c>
      <c r="B63" s="89" t="s">
        <v>251</v>
      </c>
      <c r="C63" s="89" t="s">
        <v>252</v>
      </c>
      <c r="D63" s="89" t="s">
        <v>253</v>
      </c>
      <c r="E63" s="89" t="s">
        <v>254</v>
      </c>
      <c r="F63" s="90">
        <v>33654</v>
      </c>
      <c r="G63" s="50" t="s">
        <v>1186</v>
      </c>
      <c r="H63" s="88">
        <f>_xlfn.XLOOKUP(Table3[[#This Row],[Emp. Code]],'[1]DLE EMP LIST'!$B:$B,'[1]DLE EMP LIST'!$N:$N)</f>
        <v>45755</v>
      </c>
      <c r="I63" s="91">
        <v>175390.34</v>
      </c>
      <c r="J63" s="91">
        <v>30517.919999999998</v>
      </c>
      <c r="K63" s="91">
        <v>26308.55</v>
      </c>
      <c r="L63" s="92">
        <f t="shared" si="3"/>
        <v>232216.81</v>
      </c>
      <c r="M63" s="89" t="s">
        <v>43</v>
      </c>
      <c r="N63" s="93">
        <f t="shared" si="4"/>
        <v>2786601.7199999997</v>
      </c>
      <c r="O63" s="110">
        <f t="shared" si="5"/>
        <v>8359805.1599999992</v>
      </c>
      <c r="P63" s="110">
        <f>6/1000*Table3[[#This Row],[Sum Assured]]</f>
        <v>50158.830959999999</v>
      </c>
      <c r="Q63" s="111">
        <v>50000</v>
      </c>
      <c r="R63" s="111">
        <f>0.09%*Table3[[#This Row],[Permenent Disability]]</f>
        <v>45</v>
      </c>
      <c r="S63" s="111">
        <v>250000</v>
      </c>
      <c r="T63" s="111">
        <v>50000</v>
      </c>
      <c r="U63" s="107">
        <v>92.307692307692307</v>
      </c>
      <c r="V63" s="107">
        <f>Table3[[#This Row],[Death Premium]]+Table3[[#This Row],[PD Premium]]+Table3[[#This Row],[Riders'' premium (Burial expenses &amp; Spousal cover)]]</f>
        <v>50296.138652307694</v>
      </c>
      <c r="W63" s="110">
        <v>0</v>
      </c>
    </row>
    <row r="64" spans="1:23" s="94" customFormat="1" x14ac:dyDescent="0.3">
      <c r="A64" s="49">
        <v>57</v>
      </c>
      <c r="B64" s="89" t="s">
        <v>255</v>
      </c>
      <c r="C64" s="89" t="s">
        <v>256</v>
      </c>
      <c r="D64" s="89" t="s">
        <v>257</v>
      </c>
      <c r="E64" s="89" t="s">
        <v>258</v>
      </c>
      <c r="F64" s="90">
        <v>28991</v>
      </c>
      <c r="G64" s="50" t="s">
        <v>1186</v>
      </c>
      <c r="H64" s="88">
        <f>_xlfn.XLOOKUP(Table3[[#This Row],[Emp. Code]],'[1]DLE EMP LIST'!$B:$B,'[1]DLE EMP LIST'!$N:$N)</f>
        <v>45769</v>
      </c>
      <c r="I64" s="91">
        <v>665001.82999999996</v>
      </c>
      <c r="J64" s="91">
        <v>532001.47</v>
      </c>
      <c r="K64" s="91">
        <v>399001.1</v>
      </c>
      <c r="L64" s="92">
        <f t="shared" si="3"/>
        <v>1596004.4</v>
      </c>
      <c r="M64" s="89" t="s">
        <v>43</v>
      </c>
      <c r="N64" s="93">
        <f t="shared" si="4"/>
        <v>19152052.799999997</v>
      </c>
      <c r="O64" s="110">
        <f t="shared" si="5"/>
        <v>57456158.399999991</v>
      </c>
      <c r="P64" s="110">
        <f>6/1000*Table3[[#This Row],[Sum Assured]]</f>
        <v>344736.95039999997</v>
      </c>
      <c r="Q64" s="111">
        <v>50000</v>
      </c>
      <c r="R64" s="111">
        <f>0.09%*Table3[[#This Row],[Permenent Disability]]</f>
        <v>45</v>
      </c>
      <c r="S64" s="111">
        <v>250000</v>
      </c>
      <c r="T64" s="111">
        <v>50000</v>
      </c>
      <c r="U64" s="107">
        <v>92.307692307692307</v>
      </c>
      <c r="V64" s="107">
        <f>Table3[[#This Row],[Death Premium]]+Table3[[#This Row],[PD Premium]]+Table3[[#This Row],[Riders'' premium (Burial expenses &amp; Spousal cover)]]</f>
        <v>344874.25809230766</v>
      </c>
      <c r="W64" s="110" t="s">
        <v>1552</v>
      </c>
    </row>
    <row r="65" spans="1:23" s="94" customFormat="1" x14ac:dyDescent="0.3">
      <c r="A65" s="4">
        <v>58</v>
      </c>
      <c r="B65" s="89" t="s">
        <v>259</v>
      </c>
      <c r="C65" s="89" t="s">
        <v>260</v>
      </c>
      <c r="D65" s="89" t="s">
        <v>261</v>
      </c>
      <c r="E65" s="89" t="s">
        <v>262</v>
      </c>
      <c r="F65" s="90">
        <v>30397</v>
      </c>
      <c r="G65" s="50" t="s">
        <v>1186</v>
      </c>
      <c r="H65" s="88">
        <f>_xlfn.XLOOKUP(Table3[[#This Row],[Emp. Code]],'[1]DLE EMP LIST'!$B:$B,'[1]DLE EMP LIST'!$N:$N)</f>
        <v>45769</v>
      </c>
      <c r="I65" s="91">
        <v>414691.78</v>
      </c>
      <c r="J65" s="91">
        <v>112445.27</v>
      </c>
      <c r="K65" s="91">
        <v>40970.75</v>
      </c>
      <c r="L65" s="92">
        <f t="shared" si="3"/>
        <v>568107.80000000005</v>
      </c>
      <c r="M65" s="89" t="s">
        <v>43</v>
      </c>
      <c r="N65" s="93">
        <f t="shared" si="4"/>
        <v>6817293.6000000006</v>
      </c>
      <c r="O65" s="110">
        <f t="shared" si="5"/>
        <v>20451880.800000001</v>
      </c>
      <c r="P65" s="110">
        <f>6/1000*Table3[[#This Row],[Sum Assured]]</f>
        <v>122711.28480000001</v>
      </c>
      <c r="Q65" s="111">
        <v>50000</v>
      </c>
      <c r="R65" s="111">
        <f>0.09%*Table3[[#This Row],[Permenent Disability]]</f>
        <v>45</v>
      </c>
      <c r="S65" s="111">
        <v>250000</v>
      </c>
      <c r="T65" s="111">
        <v>50000</v>
      </c>
      <c r="U65" s="107">
        <v>92.307692307692307</v>
      </c>
      <c r="V65" s="107">
        <f>Table3[[#This Row],[Death Premium]]+Table3[[#This Row],[PD Premium]]+Table3[[#This Row],[Riders'' premium (Burial expenses &amp; Spousal cover)]]</f>
        <v>122848.5924923077</v>
      </c>
      <c r="W65" s="110" t="s">
        <v>1553</v>
      </c>
    </row>
    <row r="66" spans="1:23" s="94" customFormat="1" x14ac:dyDescent="0.3">
      <c r="A66" s="49">
        <v>59</v>
      </c>
      <c r="B66" s="89" t="s">
        <v>263</v>
      </c>
      <c r="C66" s="89" t="s">
        <v>264</v>
      </c>
      <c r="D66" s="89" t="s">
        <v>265</v>
      </c>
      <c r="E66" s="89" t="s">
        <v>266</v>
      </c>
      <c r="F66" s="90">
        <v>34145</v>
      </c>
      <c r="G66" s="50" t="s">
        <v>1186</v>
      </c>
      <c r="H66" s="88">
        <f>_xlfn.XLOOKUP(Table3[[#This Row],[Emp. Code]],'[1]DLE EMP LIST'!$B:$B,'[1]DLE EMP LIST'!$N:$N)</f>
        <v>45789</v>
      </c>
      <c r="I66" s="91">
        <v>276763.03999999998</v>
      </c>
      <c r="J66" s="91">
        <v>221410.43</v>
      </c>
      <c r="K66" s="91">
        <v>166057.82999999999</v>
      </c>
      <c r="L66" s="92">
        <f t="shared" si="3"/>
        <v>664231.29999999993</v>
      </c>
      <c r="M66" s="89" t="s">
        <v>43</v>
      </c>
      <c r="N66" s="93">
        <f t="shared" si="4"/>
        <v>7970775.5999999996</v>
      </c>
      <c r="O66" s="110">
        <f t="shared" si="5"/>
        <v>23912326.799999997</v>
      </c>
      <c r="P66" s="110">
        <f>6/1000*Table3[[#This Row],[Sum Assured]]</f>
        <v>143473.96079999997</v>
      </c>
      <c r="Q66" s="111">
        <v>50000</v>
      </c>
      <c r="R66" s="111">
        <f>0.09%*Table3[[#This Row],[Permenent Disability]]</f>
        <v>45</v>
      </c>
      <c r="S66" s="111">
        <v>250000</v>
      </c>
      <c r="T66" s="111">
        <v>50000</v>
      </c>
      <c r="U66" s="107">
        <v>92.307692307692307</v>
      </c>
      <c r="V66" s="107">
        <f>Table3[[#This Row],[Death Premium]]+Table3[[#This Row],[PD Premium]]+Table3[[#This Row],[Riders'' premium (Burial expenses &amp; Spousal cover)]]</f>
        <v>143611.26849230766</v>
      </c>
      <c r="W66" s="110" t="s">
        <v>1554</v>
      </c>
    </row>
    <row r="67" spans="1:23" s="94" customFormat="1" x14ac:dyDescent="0.3">
      <c r="A67" s="49">
        <v>60</v>
      </c>
      <c r="B67" s="89" t="s">
        <v>267</v>
      </c>
      <c r="C67" s="89" t="s">
        <v>253</v>
      </c>
      <c r="D67" s="89" t="s">
        <v>268</v>
      </c>
      <c r="E67" s="89" t="s">
        <v>208</v>
      </c>
      <c r="F67" s="87">
        <v>35608</v>
      </c>
      <c r="G67" s="50" t="s">
        <v>1186</v>
      </c>
      <c r="H67" s="88">
        <f>_xlfn.XLOOKUP(Table3[[#This Row],[Emp. Code]],'[1]DLE EMP LIST'!$B:$B,'[1]DLE EMP LIST'!$N:$N)</f>
        <v>45839</v>
      </c>
      <c r="I67" s="92">
        <v>235755</v>
      </c>
      <c r="J67" s="92">
        <v>63925.88</v>
      </c>
      <c r="K67" s="92">
        <v>23292.14</v>
      </c>
      <c r="L67" s="92">
        <f t="shared" si="3"/>
        <v>322973.02</v>
      </c>
      <c r="M67" s="89" t="s">
        <v>43</v>
      </c>
      <c r="N67" s="93">
        <f t="shared" si="4"/>
        <v>3875676.24</v>
      </c>
      <c r="O67" s="110">
        <f t="shared" si="5"/>
        <v>11627028.720000001</v>
      </c>
      <c r="P67" s="110">
        <f>6/1000*Table3[[#This Row],[Sum Assured]]</f>
        <v>69762.172320000012</v>
      </c>
      <c r="Q67" s="111">
        <v>50000</v>
      </c>
      <c r="R67" s="111">
        <f>0.09%*Table3[[#This Row],[Permenent Disability]]</f>
        <v>45</v>
      </c>
      <c r="S67" s="111">
        <v>250000</v>
      </c>
      <c r="T67" s="111">
        <v>50000</v>
      </c>
      <c r="U67" s="107">
        <v>92.307692307692307</v>
      </c>
      <c r="V67" s="107">
        <f>Table3[[#This Row],[Death Premium]]+Table3[[#This Row],[PD Premium]]+Table3[[#This Row],[Riders'' premium (Burial expenses &amp; Spousal cover)]]</f>
        <v>69899.4800123077</v>
      </c>
      <c r="W67" s="110" t="s">
        <v>1555</v>
      </c>
    </row>
    <row r="68" spans="1:23" s="94" customFormat="1" x14ac:dyDescent="0.3">
      <c r="A68" s="49">
        <v>61</v>
      </c>
      <c r="B68" s="89" t="s">
        <v>269</v>
      </c>
      <c r="C68" s="116" t="s">
        <v>270</v>
      </c>
      <c r="D68" s="116" t="s">
        <v>271</v>
      </c>
      <c r="E68" s="116" t="s">
        <v>150</v>
      </c>
      <c r="F68" s="87">
        <v>31331</v>
      </c>
      <c r="G68" s="50" t="s">
        <v>1186</v>
      </c>
      <c r="H68" s="88">
        <f>_xlfn.XLOOKUP(Table3[[#This Row],[Emp. Code]],'[1]DLE EMP LIST'!$B:$B,'[1]DLE EMP LIST'!$N:$N)</f>
        <v>45870</v>
      </c>
      <c r="I68" s="92">
        <v>253345.23</v>
      </c>
      <c r="J68" s="92">
        <v>202676.19</v>
      </c>
      <c r="K68" s="92">
        <v>152007.14000000001</v>
      </c>
      <c r="L68" s="117">
        <f t="shared" si="3"/>
        <v>608028.56000000006</v>
      </c>
      <c r="M68" s="89" t="s">
        <v>43</v>
      </c>
      <c r="N68" s="111">
        <f t="shared" si="4"/>
        <v>7296342.7200000007</v>
      </c>
      <c r="O68" s="111">
        <f t="shared" si="5"/>
        <v>21889028.160000004</v>
      </c>
      <c r="P68" s="111">
        <f>6/1000*Table3[[#This Row],[Sum Assured]]</f>
        <v>131334.16896000004</v>
      </c>
      <c r="Q68" s="111">
        <v>50000</v>
      </c>
      <c r="R68" s="111">
        <f>0.09%*Table3[[#This Row],[Permenent Disability]]</f>
        <v>45</v>
      </c>
      <c r="S68" s="111">
        <v>250000</v>
      </c>
      <c r="T68" s="111">
        <v>50000</v>
      </c>
      <c r="U68" s="107">
        <v>92.307692307692307</v>
      </c>
      <c r="V68" s="107">
        <f>Table3[[#This Row],[Death Premium]]+Table3[[#This Row],[PD Premium]]+Table3[[#This Row],[Riders'' premium (Burial expenses &amp; Spousal cover)]]</f>
        <v>131471.47665230773</v>
      </c>
      <c r="W68" s="110" t="s">
        <v>1556</v>
      </c>
    </row>
    <row r="69" spans="1:23" s="94" customFormat="1" x14ac:dyDescent="0.3">
      <c r="A69" s="4">
        <v>62</v>
      </c>
      <c r="B69" s="89" t="s">
        <v>272</v>
      </c>
      <c r="C69" s="89" t="s">
        <v>273</v>
      </c>
      <c r="D69" s="89" t="s">
        <v>274</v>
      </c>
      <c r="E69" s="89" t="s">
        <v>275</v>
      </c>
      <c r="F69" s="87">
        <v>31849</v>
      </c>
      <c r="G69" s="50" t="s">
        <v>1186</v>
      </c>
      <c r="H69" s="88">
        <f>_xlfn.XLOOKUP(Table3[[#This Row],[Emp. Code]],'[1]DLE EMP LIST'!$B:$B,'[1]DLE EMP LIST'!$N:$N)</f>
        <v>45901</v>
      </c>
      <c r="I69" s="91">
        <v>665001.82999999996</v>
      </c>
      <c r="J69" s="91">
        <v>532001.47</v>
      </c>
      <c r="K69" s="91">
        <v>399001.1</v>
      </c>
      <c r="L69" s="92">
        <f t="shared" si="3"/>
        <v>1596004.4</v>
      </c>
      <c r="M69" s="89" t="s">
        <v>151</v>
      </c>
      <c r="N69" s="93">
        <f t="shared" si="4"/>
        <v>19152052.799999997</v>
      </c>
      <c r="O69" s="110">
        <f t="shared" si="5"/>
        <v>57456158.399999991</v>
      </c>
      <c r="P69" s="110">
        <f>6/1000*Table3[[#This Row],[Sum Assured]]</f>
        <v>344736.95039999997</v>
      </c>
      <c r="Q69" s="111">
        <v>50000</v>
      </c>
      <c r="R69" s="111">
        <f>0.09%*Table3[[#This Row],[Permenent Disability]]</f>
        <v>45</v>
      </c>
      <c r="S69" s="111">
        <v>250000</v>
      </c>
      <c r="T69" s="111">
        <v>50000</v>
      </c>
      <c r="U69" s="107">
        <v>92.307692307692307</v>
      </c>
      <c r="V69" s="107">
        <f>Table3[[#This Row],[Death Premium]]+Table3[[#This Row],[PD Premium]]+Table3[[#This Row],[Riders'' premium (Burial expenses &amp; Spousal cover)]]</f>
        <v>344874.25809230766</v>
      </c>
      <c r="W69" s="110">
        <v>0</v>
      </c>
    </row>
    <row r="70" spans="1:23" x14ac:dyDescent="0.3">
      <c r="A70" s="49">
        <v>63</v>
      </c>
      <c r="B70" s="89" t="s">
        <v>276</v>
      </c>
      <c r="C70" s="119" t="s">
        <v>277</v>
      </c>
      <c r="D70" s="120" t="s">
        <v>278</v>
      </c>
      <c r="E70" s="120" t="s">
        <v>279</v>
      </c>
      <c r="F70" s="124">
        <v>36011</v>
      </c>
      <c r="G70" s="50" t="s">
        <v>1186</v>
      </c>
      <c r="H70" s="88">
        <f>_xlfn.XLOOKUP(Table3[[#This Row],[Emp. Code]],'[1]DLE EMP LIST'!$B:$B,'[1]DLE EMP LIST'!$N:$N)</f>
        <v>45937</v>
      </c>
      <c r="I70" s="68">
        <v>640455.73</v>
      </c>
      <c r="J70" s="68">
        <v>512364.59</v>
      </c>
      <c r="K70" s="68">
        <v>384273.44</v>
      </c>
      <c r="L70" s="121">
        <f t="shared" si="3"/>
        <v>1537093.76</v>
      </c>
      <c r="M70" s="89" t="s">
        <v>43</v>
      </c>
      <c r="N70" s="122">
        <f t="shared" si="4"/>
        <v>18445125.120000001</v>
      </c>
      <c r="O70" s="122">
        <f t="shared" si="5"/>
        <v>55335375.359999999</v>
      </c>
      <c r="P70" s="122">
        <f>6/1000*Table3[[#This Row],[Sum Assured]]</f>
        <v>332012.25215999997</v>
      </c>
      <c r="Q70" s="111">
        <v>50000</v>
      </c>
      <c r="R70" s="111">
        <f>0.09%*Table3[[#This Row],[Permenent Disability]]</f>
        <v>45</v>
      </c>
      <c r="S70" s="111">
        <v>250000</v>
      </c>
      <c r="T70" s="111">
        <v>50000</v>
      </c>
      <c r="U70" s="107">
        <v>92.307692307692307</v>
      </c>
      <c r="V70" s="107">
        <f>Table3[[#This Row],[Death Premium]]+Table3[[#This Row],[PD Premium]]+Table3[[#This Row],[Riders'' premium (Burial expenses &amp; Spousal cover)]]</f>
        <v>332149.55985230766</v>
      </c>
      <c r="W70" s="109" t="s">
        <v>1557</v>
      </c>
    </row>
    <row r="71" spans="1:23" x14ac:dyDescent="0.3">
      <c r="A71" s="49">
        <v>64</v>
      </c>
      <c r="B71" s="128" t="s">
        <v>280</v>
      </c>
      <c r="C71" s="127" t="s">
        <v>281</v>
      </c>
      <c r="D71" s="127" t="s">
        <v>282</v>
      </c>
      <c r="E71" s="123" t="s">
        <v>283</v>
      </c>
      <c r="F71" s="124">
        <v>31382</v>
      </c>
      <c r="G71" s="89" t="s">
        <v>1186</v>
      </c>
      <c r="H71" s="88">
        <f>_xlfn.XLOOKUP(Table3[[#This Row],[Emp. Code]],'[1]DLE EMP LIST'!$B:$B,'[1]DLE EMP LIST'!$N:$N)</f>
        <v>45978</v>
      </c>
      <c r="I71" s="68">
        <v>1869307.5</v>
      </c>
      <c r="J71" s="68">
        <v>927362.13</v>
      </c>
      <c r="K71" s="68">
        <v>618241.42000000004</v>
      </c>
      <c r="L71" s="121">
        <f t="shared" si="3"/>
        <v>3414911.05</v>
      </c>
      <c r="M71" s="89" t="s">
        <v>43</v>
      </c>
      <c r="N71" s="122">
        <f t="shared" si="4"/>
        <v>40978932.599999994</v>
      </c>
      <c r="O71" s="122">
        <f t="shared" si="5"/>
        <v>122936797.79999998</v>
      </c>
      <c r="P71" s="138">
        <f>6/1000*Table3[[#This Row],[Sum Assured]]</f>
        <v>737620.78679999989</v>
      </c>
      <c r="Q71" s="110">
        <v>50000</v>
      </c>
      <c r="R71" s="110">
        <f>0.09%*Table3[[#This Row],[Permenent Disability]]</f>
        <v>45</v>
      </c>
      <c r="S71" s="110">
        <v>250000</v>
      </c>
      <c r="T71" s="110">
        <v>50000</v>
      </c>
      <c r="U71" s="107">
        <v>92.307692307692307</v>
      </c>
      <c r="V71" s="107">
        <f>Table3[[#This Row],[Death Premium]]+Table3[[#This Row],[PD Premium]]+Table3[[#This Row],[Riders'' premium (Burial expenses &amp; Spousal cover)]]</f>
        <v>737758.09449230763</v>
      </c>
      <c r="W71" s="109" t="s">
        <v>1558</v>
      </c>
    </row>
    <row r="72" spans="1:23" x14ac:dyDescent="0.3">
      <c r="A72" s="49">
        <v>65</v>
      </c>
      <c r="B72" s="129" t="s">
        <v>285</v>
      </c>
      <c r="C72" s="127" t="s">
        <v>129</v>
      </c>
      <c r="D72" s="127" t="s">
        <v>286</v>
      </c>
      <c r="E72" s="123" t="s">
        <v>287</v>
      </c>
      <c r="F72" s="124">
        <v>30806</v>
      </c>
      <c r="G72" s="89" t="s">
        <v>1186</v>
      </c>
      <c r="H72" s="88">
        <f>_xlfn.XLOOKUP(Table3[[#This Row],[Emp. Code]],'[1]DLE EMP LIST'!$B:$B,'[1]DLE EMP LIST'!$N:$N)</f>
        <v>45992</v>
      </c>
      <c r="I72" s="68">
        <v>386054.82</v>
      </c>
      <c r="J72" s="68">
        <v>308843.84999999998</v>
      </c>
      <c r="K72" s="68">
        <v>231632.89</v>
      </c>
      <c r="L72" s="121">
        <f t="shared" ref="L72:L103" si="6">I72+J72+K72</f>
        <v>926531.55999999994</v>
      </c>
      <c r="M72" s="89" t="s">
        <v>34</v>
      </c>
      <c r="N72" s="122">
        <f t="shared" ref="N72:N78" si="7">L72*12</f>
        <v>11118378.719999999</v>
      </c>
      <c r="O72" s="122">
        <f t="shared" ref="O72:O103" si="8">N72*3</f>
        <v>33355136.159999996</v>
      </c>
      <c r="P72" s="138">
        <f>6/1000*Table3[[#This Row],[Sum Assured]]</f>
        <v>200130.81696</v>
      </c>
      <c r="Q72" s="110">
        <v>50000</v>
      </c>
      <c r="R72" s="110">
        <f>0.09%*Table3[[#This Row],[Permenent Disability]]</f>
        <v>45</v>
      </c>
      <c r="S72" s="110">
        <v>250000</v>
      </c>
      <c r="T72" s="110">
        <v>50000</v>
      </c>
      <c r="U72" s="107">
        <v>92.307692307692307</v>
      </c>
      <c r="V72" s="107">
        <f>Table3[[#This Row],[Death Premium]]+Table3[[#This Row],[PD Premium]]+Table3[[#This Row],[Riders'' premium (Burial expenses &amp; Spousal cover)]]</f>
        <v>200268.12465230768</v>
      </c>
      <c r="W72" s="109" t="s">
        <v>1559</v>
      </c>
    </row>
    <row r="73" spans="1:23" x14ac:dyDescent="0.3">
      <c r="A73" s="4">
        <v>66</v>
      </c>
      <c r="B73" s="136" t="s">
        <v>1187</v>
      </c>
      <c r="C73" s="127" t="s">
        <v>932</v>
      </c>
      <c r="D73" s="127" t="s">
        <v>1192</v>
      </c>
      <c r="E73" s="123" t="s">
        <v>208</v>
      </c>
      <c r="F73" s="139">
        <v>36545</v>
      </c>
      <c r="G73" s="89" t="s">
        <v>284</v>
      </c>
      <c r="H73" s="137">
        <f>_xlfn.XLOOKUP(Table3[[#This Row],[Emp. Code]],'[1]DLE EMP LIST'!$B:$B,'[1]DLE EMP LIST'!$N:$N)</f>
        <v>46113</v>
      </c>
      <c r="I73" s="68">
        <v>204646.59</v>
      </c>
      <c r="J73" s="68">
        <v>55490.71</v>
      </c>
      <c r="K73" s="68">
        <v>20218.689999999999</v>
      </c>
      <c r="L73" s="7">
        <f t="shared" si="6"/>
        <v>280355.99</v>
      </c>
      <c r="M73" s="89" t="s">
        <v>34</v>
      </c>
      <c r="N73" s="138">
        <f t="shared" si="7"/>
        <v>3364271.88</v>
      </c>
      <c r="O73" s="138">
        <f t="shared" si="8"/>
        <v>10092815.640000001</v>
      </c>
      <c r="P73" s="138">
        <f>6/1000*Table3[[#This Row],[Sum Assured]]</f>
        <v>60556.893840000004</v>
      </c>
      <c r="Q73" s="110">
        <v>50000</v>
      </c>
      <c r="R73" s="110">
        <f>0.09%*Table3[[#This Row],[Permenent Disability]]</f>
        <v>45</v>
      </c>
      <c r="S73" s="110">
        <v>250000</v>
      </c>
      <c r="T73" s="110">
        <v>50000</v>
      </c>
      <c r="U73" s="107">
        <v>92.307692307692307</v>
      </c>
      <c r="V73" s="107">
        <f>Table3[[#This Row],[Death Premium]]+Table3[[#This Row],[PD Premium]]+Table3[[#This Row],[Riders'' premium (Burial expenses &amp; Spousal cover)]]</f>
        <v>60694.201532307699</v>
      </c>
      <c r="W73" s="109">
        <v>0</v>
      </c>
    </row>
    <row r="74" spans="1:23" x14ac:dyDescent="0.3">
      <c r="A74" s="49">
        <v>67</v>
      </c>
      <c r="B74" s="136" t="s">
        <v>1188</v>
      </c>
      <c r="C74" s="127" t="s">
        <v>935</v>
      </c>
      <c r="D74" s="127" t="s">
        <v>934</v>
      </c>
      <c r="E74" s="123" t="s">
        <v>936</v>
      </c>
      <c r="F74" s="139">
        <v>32620</v>
      </c>
      <c r="G74" s="89" t="s">
        <v>284</v>
      </c>
      <c r="H74" s="137">
        <f>_xlfn.XLOOKUP(Table3[[#This Row],[Emp. Code]],'[1]DLE EMP LIST'!$B:$B,'[1]DLE EMP LIST'!$N:$N)</f>
        <v>46113</v>
      </c>
      <c r="I74" s="68">
        <v>281632.69</v>
      </c>
      <c r="J74" s="68">
        <v>76365.789999999994</v>
      </c>
      <c r="K74" s="68">
        <v>27824.77</v>
      </c>
      <c r="L74" s="7">
        <f t="shared" si="6"/>
        <v>385823.25</v>
      </c>
      <c r="M74" s="89" t="s">
        <v>34</v>
      </c>
      <c r="N74" s="138">
        <f t="shared" si="7"/>
        <v>4629879</v>
      </c>
      <c r="O74" s="138">
        <f t="shared" si="8"/>
        <v>13889637</v>
      </c>
      <c r="P74" s="138">
        <f>6/1000*Table3[[#This Row],[Sum Assured]]</f>
        <v>83337.822</v>
      </c>
      <c r="Q74" s="110">
        <v>50000</v>
      </c>
      <c r="R74" s="110">
        <f>0.09%*Table3[[#This Row],[Permenent Disability]]</f>
        <v>45</v>
      </c>
      <c r="S74" s="110">
        <v>250000</v>
      </c>
      <c r="T74" s="110">
        <v>50000</v>
      </c>
      <c r="U74" s="107">
        <v>92.307692307692307</v>
      </c>
      <c r="V74" s="107">
        <f>Table3[[#This Row],[Death Premium]]+Table3[[#This Row],[PD Premium]]+Table3[[#This Row],[Riders'' premium (Burial expenses &amp; Spousal cover)]]</f>
        <v>83475.129692307688</v>
      </c>
      <c r="W74" s="109">
        <v>0</v>
      </c>
    </row>
    <row r="75" spans="1:23" x14ac:dyDescent="0.3">
      <c r="A75" s="49">
        <v>68</v>
      </c>
      <c r="B75" s="136" t="s">
        <v>1189</v>
      </c>
      <c r="C75" s="127" t="s">
        <v>1193</v>
      </c>
      <c r="D75" s="127" t="s">
        <v>202</v>
      </c>
      <c r="E75" s="123" t="s">
        <v>903</v>
      </c>
      <c r="F75" s="139">
        <v>33167</v>
      </c>
      <c r="G75" s="89" t="s">
        <v>284</v>
      </c>
      <c r="H75" s="137">
        <f>_xlfn.XLOOKUP(Table3[[#This Row],[Emp. Code]],'[1]DLE EMP LIST'!$B:$B,'[1]DLE EMP LIST'!$N:$N)</f>
        <v>46143</v>
      </c>
      <c r="I75" s="68">
        <v>237003.76</v>
      </c>
      <c r="J75" s="68">
        <v>64264.480000000003</v>
      </c>
      <c r="K75" s="68">
        <v>23415.52</v>
      </c>
      <c r="L75" s="7">
        <f t="shared" si="6"/>
        <v>324683.76</v>
      </c>
      <c r="M75" s="89" t="s">
        <v>43</v>
      </c>
      <c r="N75" s="138">
        <f t="shared" si="7"/>
        <v>3896205.12</v>
      </c>
      <c r="O75" s="138">
        <f t="shared" si="8"/>
        <v>11688615.359999999</v>
      </c>
      <c r="P75" s="138">
        <f>6/1000*Table3[[#This Row],[Sum Assured]]</f>
        <v>70131.692159999991</v>
      </c>
      <c r="Q75" s="110">
        <v>50000</v>
      </c>
      <c r="R75" s="110">
        <f>0.09%*Table3[[#This Row],[Permenent Disability]]</f>
        <v>45</v>
      </c>
      <c r="S75" s="110">
        <v>250000</v>
      </c>
      <c r="T75" s="110">
        <v>50000</v>
      </c>
      <c r="U75" s="107">
        <v>92.307692307692307</v>
      </c>
      <c r="V75" s="107">
        <f>Table3[[#This Row],[Death Premium]]+Table3[[#This Row],[PD Premium]]+Table3[[#This Row],[Riders'' premium (Burial expenses &amp; Spousal cover)]]</f>
        <v>70268.999852307679</v>
      </c>
      <c r="W75" s="109">
        <v>0</v>
      </c>
    </row>
    <row r="76" spans="1:23" x14ac:dyDescent="0.3">
      <c r="A76" s="49">
        <v>69</v>
      </c>
      <c r="B76" s="136" t="s">
        <v>1190</v>
      </c>
      <c r="C76" s="127" t="s">
        <v>1194</v>
      </c>
      <c r="D76" s="127" t="s">
        <v>1195</v>
      </c>
      <c r="E76" s="123" t="s">
        <v>1196</v>
      </c>
      <c r="F76" s="139">
        <v>31618</v>
      </c>
      <c r="G76" s="89" t="s">
        <v>284</v>
      </c>
      <c r="H76" s="137">
        <f>_xlfn.XLOOKUP(Table3[[#This Row],[Emp. Code]],'[1]DLE EMP LIST'!$B:$B,'[1]DLE EMP LIST'!$N:$N)</f>
        <v>46146</v>
      </c>
      <c r="I76" s="68">
        <v>1234355.08</v>
      </c>
      <c r="J76" s="68">
        <v>617177.54</v>
      </c>
      <c r="K76" s="68">
        <v>432024.28</v>
      </c>
      <c r="L76" s="7">
        <f t="shared" si="6"/>
        <v>2283556.9000000004</v>
      </c>
      <c r="M76" s="89" t="s">
        <v>43</v>
      </c>
      <c r="N76" s="138">
        <f t="shared" si="7"/>
        <v>27402682.800000004</v>
      </c>
      <c r="O76" s="138">
        <f t="shared" si="8"/>
        <v>82208048.400000006</v>
      </c>
      <c r="P76" s="138">
        <f>6/1000*Table3[[#This Row],[Sum Assured]]</f>
        <v>493248.29040000006</v>
      </c>
      <c r="Q76" s="110">
        <v>50000</v>
      </c>
      <c r="R76" s="110">
        <f>0.09%*Table3[[#This Row],[Permenent Disability]]</f>
        <v>45</v>
      </c>
      <c r="S76" s="110">
        <v>250000</v>
      </c>
      <c r="T76" s="110">
        <v>50000</v>
      </c>
      <c r="U76" s="107">
        <v>92.307692307692307</v>
      </c>
      <c r="V76" s="107">
        <f>Table3[[#This Row],[Death Premium]]+Table3[[#This Row],[PD Premium]]+Table3[[#This Row],[Riders'' premium (Burial expenses &amp; Spousal cover)]]</f>
        <v>493385.59809230774</v>
      </c>
      <c r="W76" s="109">
        <v>0</v>
      </c>
    </row>
    <row r="77" spans="1:23" x14ac:dyDescent="0.3">
      <c r="A77" s="4">
        <v>70</v>
      </c>
      <c r="B77" s="136" t="s">
        <v>1191</v>
      </c>
      <c r="C77" s="127" t="s">
        <v>566</v>
      </c>
      <c r="D77" s="127" t="s">
        <v>925</v>
      </c>
      <c r="E77" s="123" t="s">
        <v>1197</v>
      </c>
      <c r="F77" s="139">
        <v>35551</v>
      </c>
      <c r="G77" s="89" t="s">
        <v>284</v>
      </c>
      <c r="H77" s="137">
        <f>_xlfn.XLOOKUP(Table3[[#This Row],[Emp. Code]],'[1]DLE EMP LIST'!$B:$B,'[1]DLE EMP LIST'!$N:$N)</f>
        <v>46174</v>
      </c>
      <c r="I77" s="68">
        <v>196775.57</v>
      </c>
      <c r="J77" s="68">
        <v>34238.949999999997</v>
      </c>
      <c r="K77" s="68">
        <v>29516.34</v>
      </c>
      <c r="L77" s="7">
        <f t="shared" si="6"/>
        <v>260530.86000000002</v>
      </c>
      <c r="M77" s="89" t="s">
        <v>43</v>
      </c>
      <c r="N77" s="138">
        <f t="shared" si="7"/>
        <v>3126370.3200000003</v>
      </c>
      <c r="O77" s="138">
        <f t="shared" si="8"/>
        <v>9379110.9600000009</v>
      </c>
      <c r="P77" s="138">
        <f>6/1000*Table3[[#This Row],[Sum Assured]]</f>
        <v>56274.665760000004</v>
      </c>
      <c r="Q77" s="110">
        <v>50000</v>
      </c>
      <c r="R77" s="110">
        <f>0.09%*Table3[[#This Row],[Permenent Disability]]</f>
        <v>45</v>
      </c>
      <c r="S77" s="110">
        <v>250000</v>
      </c>
      <c r="T77" s="110">
        <v>50000</v>
      </c>
      <c r="U77" s="107">
        <v>92.307692307692307</v>
      </c>
      <c r="V77" s="107">
        <f>Table3[[#This Row],[Death Premium]]+Table3[[#This Row],[PD Premium]]+Table3[[#This Row],[Riders'' premium (Burial expenses &amp; Spousal cover)]]</f>
        <v>56411.973452307699</v>
      </c>
      <c r="W77" s="109">
        <v>0</v>
      </c>
    </row>
    <row r="78" spans="1:23" x14ac:dyDescent="0.3">
      <c r="A78" s="4">
        <v>70</v>
      </c>
      <c r="B78" s="136" t="s">
        <v>1317</v>
      </c>
      <c r="C78" s="127" t="s">
        <v>1157</v>
      </c>
      <c r="D78" s="127" t="s">
        <v>1156</v>
      </c>
      <c r="E78" s="123" t="s">
        <v>1369</v>
      </c>
      <c r="F78" s="142"/>
      <c r="G78" s="89"/>
      <c r="H78" s="137">
        <v>46235</v>
      </c>
      <c r="I78" s="68">
        <v>237003.76</v>
      </c>
      <c r="J78" s="68">
        <v>64264.480000000003</v>
      </c>
      <c r="K78" s="68">
        <v>23415.52</v>
      </c>
      <c r="L78" s="7">
        <f t="shared" si="6"/>
        <v>324683.76</v>
      </c>
      <c r="M78" s="89" t="s">
        <v>43</v>
      </c>
      <c r="N78" s="138">
        <f t="shared" si="7"/>
        <v>3896205.12</v>
      </c>
      <c r="O78" s="138">
        <f t="shared" si="8"/>
        <v>11688615.359999999</v>
      </c>
      <c r="P78" s="138">
        <f>6/1000*Table3[[#This Row],[Sum Assured]]</f>
        <v>70131.692159999991</v>
      </c>
      <c r="Q78" s="110">
        <v>50000</v>
      </c>
      <c r="R78" s="110">
        <f>0.09%*Table3[[#This Row],[Permenent Disability]]</f>
        <v>45</v>
      </c>
      <c r="S78" s="110">
        <v>250000</v>
      </c>
      <c r="T78" s="110">
        <v>50000</v>
      </c>
      <c r="U78" s="107">
        <v>92.307692307692307</v>
      </c>
      <c r="V78" s="107">
        <f>Table3[[#This Row],[Death Premium]]+Table3[[#This Row],[PD Premium]]+Table3[[#This Row],[Riders'' premium (Burial expenses &amp; Spousal cover)]]</f>
        <v>70268.999852307679</v>
      </c>
      <c r="W78" s="109" t="s">
        <v>1560</v>
      </c>
    </row>
    <row r="79" spans="1:23" x14ac:dyDescent="0.3">
      <c r="A79" s="79" t="s">
        <v>6</v>
      </c>
      <c r="B79" s="79">
        <f>SUBTOTAL(103,Table3[Emp. Code])</f>
        <v>71</v>
      </c>
      <c r="C79" s="79"/>
      <c r="D79" s="80"/>
      <c r="E79" s="80"/>
      <c r="F79" s="80"/>
      <c r="G79" s="80"/>
      <c r="H79" s="80"/>
      <c r="I79" s="68">
        <f>SUBTOTAL(109,Table3[Basic Salary])</f>
        <v>32400211.360000003</v>
      </c>
      <c r="J79" s="68">
        <f>SUBTOTAL(109,Table3[Housing Allowance])</f>
        <v>10716835.530000001</v>
      </c>
      <c r="K79" s="68">
        <f>SUBTOTAL(109,Table3[Transport Allowance])</f>
        <v>6932121.299999997</v>
      </c>
      <c r="L79" s="68">
        <f>SUBTOTAL(109,Table3[Total Monthly Salary])</f>
        <v>50049168.189999998</v>
      </c>
      <c r="M79" s="68"/>
      <c r="N79" s="68">
        <f>SUBTOTAL(109,Table3[Annual Emolument])</f>
        <v>600590018.28000033</v>
      </c>
      <c r="O79" s="118">
        <f>SUBTOTAL(109,Table3[Sum Assured])</f>
        <v>1801770054.8399999</v>
      </c>
      <c r="P79" s="118">
        <f>SUBTOTAL(109,Table3[Death Premium])</f>
        <v>10810620.329039996</v>
      </c>
      <c r="Q79" s="118">
        <f>SUBTOTAL(109,Table3[Permenent Disability])</f>
        <v>3550000</v>
      </c>
      <c r="R79" s="118">
        <f>SUBTOTAL(109,Table3[PD Premium])</f>
        <v>3195</v>
      </c>
      <c r="S79" s="118">
        <f>SUBTOTAL(109,Table3[Burial Expenses])</f>
        <v>17750000</v>
      </c>
      <c r="T79" s="118">
        <f>SUBTOTAL(109,Table3[Spouse Benefits])</f>
        <v>3550000</v>
      </c>
      <c r="U79" s="118">
        <f>SUBTOTAL(109,Table3[Riders'' premium (Burial expenses &amp; Spousal cover)])</f>
        <v>6553.846153846157</v>
      </c>
      <c r="V79" s="118">
        <f>SUBTOTAL(109,Table3[Total Premium])</f>
        <v>10820369.175193846</v>
      </c>
      <c r="W79" s="80"/>
    </row>
    <row r="80" spans="1:23" x14ac:dyDescent="0.3">
      <c r="E80" s="6"/>
      <c r="F80" s="6"/>
      <c r="G80" s="6"/>
      <c r="H80" s="6"/>
      <c r="I80" s="6"/>
      <c r="J80" s="6"/>
      <c r="K80" s="7"/>
      <c r="L80" s="7"/>
      <c r="M80" s="7"/>
      <c r="N80" s="7"/>
      <c r="O80" s="69"/>
      <c r="P80" s="69"/>
    </row>
    <row r="81" spans="5:16" x14ac:dyDescent="0.3">
      <c r="E81" s="6"/>
      <c r="F81" s="6"/>
      <c r="G81" s="6"/>
      <c r="H81" s="6"/>
      <c r="I81" s="6"/>
      <c r="J81" s="6"/>
      <c r="K81" s="7"/>
      <c r="L81" s="7"/>
      <c r="M81" s="7"/>
      <c r="N81" s="7"/>
      <c r="O81" s="69"/>
      <c r="P81" s="69"/>
    </row>
    <row r="82" spans="5:16" x14ac:dyDescent="0.3">
      <c r="E82" s="6"/>
      <c r="F82" s="6"/>
      <c r="G82" s="6"/>
      <c r="H82" s="6"/>
      <c r="I82" s="6"/>
      <c r="J82" s="6"/>
      <c r="K82" s="7"/>
      <c r="L82" s="7"/>
      <c r="M82" s="7"/>
      <c r="N82" s="7"/>
      <c r="O82" s="69"/>
      <c r="P82" s="69"/>
    </row>
    <row r="83" spans="5:16" x14ac:dyDescent="0.3">
      <c r="E83" s="6"/>
      <c r="F83" s="6"/>
      <c r="G83" s="6"/>
      <c r="H83" s="6"/>
      <c r="I83" s="6"/>
      <c r="J83" s="6"/>
      <c r="K83" s="7"/>
      <c r="L83" s="7"/>
      <c r="M83" s="7"/>
      <c r="N83" s="7"/>
      <c r="O83" s="69"/>
      <c r="P83" s="69"/>
    </row>
    <row r="84" spans="5:16" x14ac:dyDescent="0.3">
      <c r="E84" s="6"/>
      <c r="F84" s="6"/>
      <c r="G84" s="6"/>
      <c r="H84" s="6"/>
      <c r="I84" s="6"/>
      <c r="J84" s="6"/>
      <c r="K84" s="7"/>
      <c r="L84" s="7"/>
      <c r="M84" s="7"/>
      <c r="N84" s="7"/>
      <c r="O84" s="69"/>
      <c r="P84" s="69"/>
    </row>
    <row r="85" spans="5:16" x14ac:dyDescent="0.3">
      <c r="E85" s="6"/>
      <c r="F85" s="6"/>
      <c r="G85" s="6"/>
      <c r="H85" s="6"/>
      <c r="I85" s="6"/>
      <c r="J85" s="6"/>
      <c r="K85" s="7"/>
      <c r="L85" s="7"/>
      <c r="M85" s="7"/>
      <c r="N85" s="7"/>
      <c r="O85" s="69"/>
      <c r="P85" s="69"/>
    </row>
    <row r="86" spans="5:16" x14ac:dyDescent="0.3">
      <c r="E86" s="6"/>
      <c r="F86" s="6"/>
      <c r="G86" s="6"/>
      <c r="H86" s="6"/>
      <c r="I86" s="6"/>
      <c r="J86" s="6"/>
      <c r="K86" s="7"/>
      <c r="L86" s="7"/>
      <c r="M86" s="7"/>
      <c r="N86" s="7"/>
      <c r="O86" s="69"/>
      <c r="P86" s="69"/>
    </row>
    <row r="87" spans="5:16" x14ac:dyDescent="0.3">
      <c r="E87" s="6"/>
      <c r="F87" s="6"/>
      <c r="G87" s="6"/>
      <c r="H87" s="6"/>
      <c r="I87" s="6"/>
      <c r="J87" s="6"/>
      <c r="K87" s="7"/>
      <c r="L87" s="7"/>
      <c r="M87" s="7"/>
      <c r="N87" s="7"/>
      <c r="O87" s="69"/>
      <c r="P87" s="69"/>
    </row>
    <row r="88" spans="5:16" x14ac:dyDescent="0.3">
      <c r="E88" s="6"/>
      <c r="F88" s="6"/>
      <c r="G88" s="6"/>
      <c r="H88" s="6"/>
      <c r="I88" s="6"/>
      <c r="J88" s="6"/>
      <c r="K88" s="7"/>
      <c r="L88" s="7"/>
      <c r="M88" s="7"/>
      <c r="N88" s="7"/>
      <c r="O88" s="69"/>
      <c r="P88" s="69"/>
    </row>
    <row r="89" spans="5:16" x14ac:dyDescent="0.3">
      <c r="E89" s="6"/>
      <c r="F89" s="6"/>
      <c r="G89" s="6"/>
      <c r="H89" s="6"/>
      <c r="I89" s="6"/>
      <c r="J89" s="6"/>
      <c r="K89" s="7"/>
      <c r="L89" s="7"/>
      <c r="M89" s="7"/>
      <c r="N89" s="7"/>
      <c r="O89" s="69"/>
      <c r="P89" s="69"/>
    </row>
    <row r="90" spans="5:16" x14ac:dyDescent="0.3">
      <c r="E90" s="6"/>
      <c r="F90" s="6"/>
      <c r="G90" s="6"/>
      <c r="H90" s="6"/>
      <c r="I90" s="6"/>
      <c r="J90" s="6"/>
      <c r="K90" s="7"/>
      <c r="L90" s="7"/>
      <c r="M90" s="7"/>
      <c r="N90" s="7"/>
      <c r="O90" s="69"/>
      <c r="P90" s="69"/>
    </row>
    <row r="91" spans="5:16" x14ac:dyDescent="0.3">
      <c r="E91" s="6"/>
      <c r="F91" s="6"/>
      <c r="G91" s="6"/>
      <c r="H91" s="6"/>
      <c r="I91" s="6"/>
      <c r="J91" s="6"/>
      <c r="K91" s="7"/>
      <c r="L91" s="7"/>
      <c r="M91" s="7"/>
      <c r="N91" s="7"/>
      <c r="O91" s="69"/>
      <c r="P91" s="69"/>
    </row>
    <row r="92" spans="5:16" x14ac:dyDescent="0.3">
      <c r="E92" s="6"/>
      <c r="F92" s="6"/>
      <c r="G92" s="6"/>
      <c r="H92" s="6"/>
      <c r="I92" s="6"/>
      <c r="J92" s="6"/>
      <c r="K92" s="7"/>
      <c r="L92" s="7"/>
      <c r="M92" s="7"/>
      <c r="N92" s="7"/>
      <c r="O92" s="69"/>
      <c r="P92" s="69"/>
    </row>
    <row r="93" spans="5:16" x14ac:dyDescent="0.3">
      <c r="E93" s="6"/>
      <c r="F93" s="6"/>
      <c r="G93" s="6"/>
      <c r="H93" s="6"/>
      <c r="I93" s="6"/>
      <c r="J93" s="6"/>
      <c r="K93" s="7"/>
      <c r="L93" s="7"/>
      <c r="M93" s="7"/>
      <c r="N93" s="7"/>
      <c r="O93" s="69"/>
      <c r="P93" s="69"/>
    </row>
    <row r="94" spans="5:16" x14ac:dyDescent="0.3">
      <c r="E94" s="6"/>
      <c r="F94" s="6"/>
      <c r="G94" s="6"/>
      <c r="H94" s="6"/>
      <c r="I94" s="6"/>
      <c r="J94" s="6"/>
      <c r="K94" s="7"/>
      <c r="L94" s="7"/>
      <c r="M94" s="7"/>
      <c r="N94" s="7"/>
      <c r="O94" s="69"/>
      <c r="P94" s="69"/>
    </row>
    <row r="95" spans="5:16" x14ac:dyDescent="0.3">
      <c r="E95" s="6"/>
      <c r="F95" s="6"/>
      <c r="G95" s="6"/>
      <c r="H95" s="6"/>
      <c r="I95" s="6"/>
      <c r="J95" s="6"/>
      <c r="K95" s="7"/>
      <c r="L95" s="7"/>
      <c r="M95" s="7"/>
      <c r="N95" s="7"/>
      <c r="O95" s="69"/>
      <c r="P95" s="69"/>
    </row>
    <row r="96" spans="5:16" x14ac:dyDescent="0.3">
      <c r="E96" s="6"/>
      <c r="F96" s="6"/>
      <c r="G96" s="6"/>
      <c r="H96" s="6"/>
      <c r="I96" s="6"/>
      <c r="J96" s="6"/>
      <c r="K96" s="7"/>
      <c r="L96" s="7"/>
      <c r="M96" s="7"/>
      <c r="N96" s="7"/>
      <c r="O96" s="69"/>
      <c r="P96" s="69"/>
    </row>
    <row r="97" spans="5:16" x14ac:dyDescent="0.3">
      <c r="E97" s="6"/>
      <c r="F97" s="6"/>
      <c r="G97" s="6"/>
      <c r="H97" s="6"/>
      <c r="I97" s="6"/>
      <c r="J97" s="6"/>
      <c r="K97" s="7"/>
      <c r="L97" s="7"/>
      <c r="M97" s="7"/>
      <c r="N97" s="7"/>
      <c r="O97" s="69"/>
      <c r="P97" s="69"/>
    </row>
    <row r="98" spans="5:16" x14ac:dyDescent="0.3">
      <c r="E98" s="6"/>
      <c r="F98" s="6"/>
      <c r="G98" s="6"/>
      <c r="H98" s="6"/>
      <c r="I98" s="6"/>
      <c r="J98" s="6"/>
      <c r="K98" s="7"/>
      <c r="L98" s="7"/>
      <c r="M98" s="7"/>
      <c r="N98" s="7"/>
      <c r="O98" s="69"/>
      <c r="P98" s="69"/>
    </row>
    <row r="99" spans="5:16" x14ac:dyDescent="0.3">
      <c r="E99" s="6"/>
      <c r="F99" s="6"/>
      <c r="G99" s="6"/>
      <c r="H99" s="6"/>
      <c r="I99" s="6"/>
      <c r="J99" s="6"/>
      <c r="K99" s="7"/>
      <c r="L99" s="7"/>
      <c r="M99" s="7"/>
      <c r="N99" s="7"/>
      <c r="O99" s="69"/>
      <c r="P99" s="69"/>
    </row>
    <row r="100" spans="5:16" x14ac:dyDescent="0.3">
      <c r="E100" s="6"/>
      <c r="F100" s="6"/>
      <c r="G100" s="6"/>
      <c r="H100" s="6"/>
      <c r="I100" s="6"/>
      <c r="J100" s="6"/>
      <c r="K100" s="7"/>
      <c r="L100" s="7"/>
      <c r="M100" s="7"/>
      <c r="N100" s="7"/>
      <c r="O100" s="69"/>
      <c r="P100" s="69"/>
    </row>
    <row r="101" spans="5:16" x14ac:dyDescent="0.3">
      <c r="E101" s="6"/>
      <c r="F101" s="6"/>
      <c r="G101" s="6"/>
      <c r="H101" s="6"/>
      <c r="I101" s="6"/>
      <c r="J101" s="6"/>
      <c r="K101" s="7"/>
      <c r="L101" s="7"/>
      <c r="M101" s="7"/>
      <c r="N101" s="7"/>
      <c r="O101" s="69"/>
      <c r="P101" s="69"/>
    </row>
    <row r="102" spans="5:16" x14ac:dyDescent="0.3">
      <c r="E102" s="6"/>
      <c r="F102" s="6"/>
      <c r="G102" s="6"/>
      <c r="H102" s="6"/>
      <c r="I102" s="6"/>
      <c r="J102" s="6"/>
      <c r="K102" s="7"/>
      <c r="L102" s="7"/>
      <c r="M102" s="7"/>
      <c r="N102" s="7"/>
      <c r="O102" s="69"/>
      <c r="P102" s="69"/>
    </row>
    <row r="103" spans="5:16" x14ac:dyDescent="0.3">
      <c r="E103" s="6"/>
      <c r="F103" s="6"/>
      <c r="G103" s="6"/>
      <c r="H103" s="6"/>
      <c r="I103" s="6"/>
      <c r="J103" s="6"/>
      <c r="K103" s="7"/>
      <c r="L103" s="7"/>
      <c r="M103" s="7"/>
      <c r="N103" s="7"/>
      <c r="O103" s="69"/>
      <c r="P103" s="69"/>
    </row>
    <row r="104" spans="5:16" x14ac:dyDescent="0.3">
      <c r="E104" s="6"/>
      <c r="F104" s="6"/>
      <c r="G104" s="6"/>
      <c r="H104" s="6"/>
      <c r="I104" s="6"/>
      <c r="J104" s="6"/>
      <c r="K104" s="7"/>
      <c r="L104" s="7"/>
      <c r="M104" s="7"/>
      <c r="N104" s="7"/>
      <c r="O104" s="69"/>
      <c r="P104" s="69"/>
    </row>
    <row r="105" spans="5:16" x14ac:dyDescent="0.3">
      <c r="E105" s="6"/>
      <c r="F105" s="6"/>
      <c r="G105" s="6"/>
      <c r="H105" s="6"/>
      <c r="I105" s="6"/>
      <c r="J105" s="6"/>
      <c r="K105" s="7"/>
      <c r="L105" s="7"/>
      <c r="M105" s="7"/>
      <c r="N105" s="7"/>
      <c r="O105" s="69"/>
      <c r="P105" s="69"/>
    </row>
    <row r="106" spans="5:16" x14ac:dyDescent="0.3">
      <c r="E106" s="6"/>
      <c r="F106" s="6"/>
      <c r="G106" s="6"/>
      <c r="H106" s="6"/>
      <c r="I106" s="6"/>
      <c r="J106" s="6"/>
      <c r="K106" s="7"/>
      <c r="L106" s="7"/>
      <c r="M106" s="7"/>
      <c r="N106" s="7"/>
      <c r="O106" s="69"/>
      <c r="P106" s="69"/>
    </row>
    <row r="107" spans="5:16" x14ac:dyDescent="0.3">
      <c r="E107" s="6"/>
      <c r="F107" s="6"/>
      <c r="G107" s="6"/>
      <c r="H107" s="6"/>
      <c r="I107" s="6"/>
      <c r="J107" s="6"/>
      <c r="K107" s="7"/>
      <c r="L107" s="7"/>
      <c r="M107" s="7"/>
      <c r="N107" s="7"/>
      <c r="O107" s="69"/>
      <c r="P107" s="69"/>
    </row>
    <row r="108" spans="5:16" x14ac:dyDescent="0.3">
      <c r="E108" s="6"/>
      <c r="F108" s="6"/>
      <c r="G108" s="6"/>
      <c r="H108" s="6"/>
      <c r="I108" s="6"/>
      <c r="J108" s="6"/>
      <c r="K108" s="7"/>
      <c r="L108" s="7"/>
      <c r="M108" s="7"/>
      <c r="N108" s="7"/>
      <c r="O108" s="69"/>
      <c r="P108" s="69"/>
    </row>
    <row r="109" spans="5:16" x14ac:dyDescent="0.3">
      <c r="E109" s="6"/>
      <c r="F109" s="6"/>
      <c r="G109" s="6"/>
      <c r="H109" s="6"/>
      <c r="I109" s="6"/>
      <c r="J109" s="6"/>
      <c r="K109" s="7"/>
      <c r="L109" s="7"/>
      <c r="M109" s="7"/>
      <c r="N109" s="7"/>
      <c r="O109" s="69"/>
      <c r="P109" s="69"/>
    </row>
    <row r="110" spans="5:16" x14ac:dyDescent="0.3">
      <c r="E110" s="6"/>
      <c r="F110" s="6"/>
      <c r="G110" s="6"/>
      <c r="H110" s="6"/>
      <c r="I110" s="6"/>
      <c r="J110" s="6"/>
      <c r="K110" s="7"/>
      <c r="L110" s="7"/>
      <c r="M110" s="7"/>
      <c r="N110" s="7"/>
      <c r="O110" s="69"/>
      <c r="P110" s="69"/>
    </row>
    <row r="111" spans="5:16" x14ac:dyDescent="0.3">
      <c r="E111" s="6"/>
      <c r="F111" s="6"/>
      <c r="G111" s="6"/>
      <c r="H111" s="6"/>
      <c r="I111" s="6"/>
      <c r="J111" s="6"/>
      <c r="K111" s="7"/>
      <c r="L111" s="7"/>
      <c r="M111" s="7"/>
      <c r="N111" s="7"/>
      <c r="O111" s="69"/>
      <c r="P111" s="69"/>
    </row>
    <row r="112" spans="5:16" x14ac:dyDescent="0.3">
      <c r="E112" s="6"/>
      <c r="F112" s="6"/>
      <c r="G112" s="6"/>
      <c r="H112" s="6"/>
      <c r="I112" s="6"/>
      <c r="J112" s="6"/>
      <c r="K112" s="7"/>
      <c r="L112" s="7"/>
      <c r="M112" s="7"/>
      <c r="N112" s="7"/>
      <c r="O112" s="69"/>
      <c r="P112" s="69"/>
    </row>
    <row r="113" spans="5:16" x14ac:dyDescent="0.3">
      <c r="E113" s="6"/>
      <c r="F113" s="6"/>
      <c r="G113" s="6"/>
      <c r="H113" s="6"/>
      <c r="I113" s="6"/>
      <c r="J113" s="6"/>
      <c r="K113" s="7"/>
      <c r="L113" s="7"/>
      <c r="M113" s="7"/>
      <c r="N113" s="7"/>
      <c r="O113" s="69"/>
      <c r="P113" s="69"/>
    </row>
    <row r="114" spans="5:16" x14ac:dyDescent="0.3">
      <c r="E114" s="6"/>
      <c r="F114" s="6"/>
      <c r="G114" s="6"/>
      <c r="H114" s="6"/>
      <c r="I114" s="6"/>
      <c r="J114" s="6"/>
      <c r="K114" s="7"/>
      <c r="L114" s="7"/>
      <c r="M114" s="7"/>
      <c r="N114" s="7"/>
      <c r="O114" s="69"/>
      <c r="P114" s="69"/>
    </row>
    <row r="115" spans="5:16" x14ac:dyDescent="0.3">
      <c r="E115" s="6"/>
      <c r="F115" s="6"/>
      <c r="G115" s="6"/>
      <c r="H115" s="6"/>
      <c r="I115" s="6"/>
      <c r="J115" s="6"/>
      <c r="K115" s="7"/>
      <c r="L115" s="7"/>
      <c r="M115" s="7"/>
      <c r="N115" s="7"/>
      <c r="O115" s="69"/>
      <c r="P115" s="69"/>
    </row>
    <row r="116" spans="5:16" x14ac:dyDescent="0.3"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69"/>
      <c r="P116" s="69"/>
    </row>
    <row r="117" spans="5:16" x14ac:dyDescent="0.3">
      <c r="E117" s="6"/>
      <c r="F117" s="6"/>
      <c r="G117" s="6"/>
      <c r="H117" s="6"/>
      <c r="I117" s="6"/>
      <c r="J117" s="6"/>
      <c r="K117" s="7"/>
      <c r="L117" s="7"/>
      <c r="M117" s="7"/>
      <c r="N117" s="7"/>
      <c r="O117" s="69"/>
      <c r="P117" s="69"/>
    </row>
    <row r="118" spans="5:16" x14ac:dyDescent="0.3"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69"/>
      <c r="P118" s="69"/>
    </row>
    <row r="119" spans="5:16" x14ac:dyDescent="0.3">
      <c r="E119" s="6"/>
      <c r="F119" s="6"/>
      <c r="G119" s="6"/>
      <c r="H119" s="6"/>
      <c r="I119" s="6"/>
      <c r="J119" s="6"/>
      <c r="K119" s="7"/>
      <c r="L119" s="7"/>
      <c r="M119" s="7"/>
      <c r="N119" s="7"/>
      <c r="O119" s="69"/>
      <c r="P119" s="69"/>
    </row>
    <row r="120" spans="5:16" x14ac:dyDescent="0.3">
      <c r="E120" s="6"/>
      <c r="F120" s="6"/>
      <c r="G120" s="6"/>
      <c r="H120" s="6"/>
      <c r="I120" s="6"/>
      <c r="J120" s="6"/>
      <c r="K120" s="7"/>
      <c r="L120" s="7"/>
      <c r="M120" s="7"/>
      <c r="N120" s="7"/>
      <c r="O120" s="69"/>
      <c r="P120" s="69"/>
    </row>
    <row r="121" spans="5:16" x14ac:dyDescent="0.3">
      <c r="E121" s="6"/>
      <c r="F121" s="6"/>
      <c r="G121" s="6"/>
      <c r="H121" s="6"/>
      <c r="I121" s="6"/>
      <c r="J121" s="6"/>
      <c r="K121" s="7"/>
      <c r="L121" s="7"/>
      <c r="M121" s="7"/>
      <c r="N121" s="7"/>
      <c r="O121" s="69"/>
      <c r="P121" s="69"/>
    </row>
    <row r="122" spans="5:16" x14ac:dyDescent="0.3">
      <c r="E122" s="6"/>
      <c r="F122" s="6"/>
      <c r="G122" s="6"/>
      <c r="H122" s="6"/>
      <c r="I122" s="6"/>
      <c r="J122" s="6"/>
      <c r="K122" s="7"/>
      <c r="L122" s="7"/>
      <c r="M122" s="7"/>
      <c r="N122" s="7"/>
      <c r="O122" s="69"/>
      <c r="P122" s="69"/>
    </row>
    <row r="123" spans="5:16" x14ac:dyDescent="0.3">
      <c r="E123" s="6"/>
      <c r="F123" s="6"/>
      <c r="G123" s="6"/>
      <c r="H123" s="6"/>
      <c r="I123" s="6"/>
      <c r="J123" s="6"/>
      <c r="K123" s="7"/>
      <c r="L123" s="7"/>
      <c r="M123" s="7"/>
      <c r="N123" s="7"/>
      <c r="O123" s="69"/>
      <c r="P123" s="69"/>
    </row>
    <row r="124" spans="5:16" x14ac:dyDescent="0.3">
      <c r="E124" s="6"/>
      <c r="F124" s="6"/>
      <c r="G124" s="6"/>
      <c r="H124" s="6"/>
      <c r="I124" s="6"/>
      <c r="J124" s="6"/>
      <c r="K124" s="7"/>
      <c r="L124" s="7"/>
      <c r="M124" s="7"/>
      <c r="N124" s="7"/>
      <c r="O124" s="69"/>
      <c r="P124" s="69"/>
    </row>
    <row r="125" spans="5:16" x14ac:dyDescent="0.3"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69"/>
      <c r="P125" s="69"/>
    </row>
    <row r="126" spans="5:16" x14ac:dyDescent="0.3">
      <c r="E126" s="6"/>
      <c r="F126" s="6"/>
      <c r="G126" s="6"/>
      <c r="H126" s="6"/>
      <c r="I126" s="6"/>
      <c r="J126" s="6"/>
      <c r="K126" s="7"/>
      <c r="L126" s="7"/>
      <c r="M126" s="7"/>
      <c r="N126" s="7"/>
      <c r="O126" s="69"/>
      <c r="P126" s="69"/>
    </row>
    <row r="127" spans="5:16" x14ac:dyDescent="0.3">
      <c r="E127" s="6"/>
      <c r="F127" s="6"/>
      <c r="G127" s="6"/>
      <c r="H127" s="6"/>
      <c r="I127" s="6"/>
      <c r="J127" s="6"/>
      <c r="K127" s="7"/>
      <c r="L127" s="7"/>
      <c r="M127" s="7"/>
      <c r="N127" s="7"/>
      <c r="O127" s="69"/>
      <c r="P127" s="69"/>
    </row>
    <row r="128" spans="5:16" x14ac:dyDescent="0.3">
      <c r="E128" s="6"/>
      <c r="F128" s="6"/>
      <c r="G128" s="6"/>
      <c r="H128" s="6"/>
      <c r="I128" s="6"/>
      <c r="J128" s="6"/>
      <c r="K128" s="7"/>
      <c r="L128" s="7"/>
      <c r="M128" s="7"/>
      <c r="N128" s="7"/>
      <c r="O128" s="69"/>
      <c r="P128" s="69"/>
    </row>
    <row r="129" spans="5:16" x14ac:dyDescent="0.3">
      <c r="E129" s="6"/>
      <c r="F129" s="6"/>
      <c r="G129" s="6"/>
      <c r="H129" s="6"/>
      <c r="I129" s="6"/>
      <c r="J129" s="6"/>
      <c r="K129" s="7"/>
      <c r="L129" s="7"/>
      <c r="M129" s="7"/>
      <c r="N129" s="7"/>
      <c r="O129" s="69"/>
      <c r="P129" s="69"/>
    </row>
    <row r="130" spans="5:16" x14ac:dyDescent="0.3">
      <c r="E130" s="6"/>
      <c r="F130" s="6"/>
      <c r="G130" s="6"/>
      <c r="H130" s="6"/>
      <c r="I130" s="6"/>
      <c r="J130" s="6"/>
      <c r="K130" s="7"/>
      <c r="L130" s="7"/>
      <c r="M130" s="7"/>
      <c r="N130" s="7"/>
      <c r="O130" s="69"/>
      <c r="P130" s="69"/>
    </row>
    <row r="131" spans="5:16" x14ac:dyDescent="0.3">
      <c r="E131" s="6"/>
      <c r="F131" s="6"/>
      <c r="G131" s="6"/>
      <c r="H131" s="6"/>
      <c r="I131" s="6"/>
      <c r="J131" s="6"/>
      <c r="K131" s="7"/>
      <c r="L131" s="7"/>
      <c r="M131" s="7"/>
      <c r="N131" s="7"/>
      <c r="O131" s="69"/>
      <c r="P131" s="69"/>
    </row>
    <row r="132" spans="5:16" x14ac:dyDescent="0.3">
      <c r="E132" s="6"/>
      <c r="F132" s="6"/>
      <c r="G132" s="6"/>
      <c r="H132" s="6"/>
      <c r="I132" s="6"/>
      <c r="J132" s="6"/>
      <c r="K132" s="7"/>
      <c r="L132" s="7"/>
      <c r="M132" s="7"/>
      <c r="N132" s="7"/>
      <c r="O132" s="69"/>
      <c r="P132" s="69"/>
    </row>
    <row r="133" spans="5:16" x14ac:dyDescent="0.3">
      <c r="E133" s="6"/>
      <c r="F133" s="6"/>
      <c r="G133" s="6"/>
      <c r="H133" s="6"/>
      <c r="I133" s="6"/>
      <c r="J133" s="6"/>
      <c r="K133" s="7"/>
      <c r="L133" s="7"/>
      <c r="M133" s="7"/>
      <c r="N133" s="7"/>
      <c r="O133" s="69"/>
      <c r="P133" s="69"/>
    </row>
    <row r="134" spans="5:16" x14ac:dyDescent="0.3">
      <c r="E134" s="6"/>
      <c r="F134" s="6"/>
      <c r="G134" s="6"/>
      <c r="H134" s="6"/>
      <c r="I134" s="6"/>
      <c r="J134" s="6"/>
      <c r="K134" s="7"/>
      <c r="L134" s="7"/>
      <c r="M134" s="7"/>
      <c r="N134" s="7"/>
      <c r="O134" s="69"/>
      <c r="P134" s="69"/>
    </row>
    <row r="135" spans="5:16" x14ac:dyDescent="0.3">
      <c r="E135" s="6"/>
      <c r="F135" s="6"/>
      <c r="G135" s="6"/>
      <c r="H135" s="6"/>
      <c r="I135" s="6"/>
      <c r="J135" s="6"/>
      <c r="K135" s="7"/>
      <c r="L135" s="7"/>
      <c r="M135" s="7"/>
      <c r="N135" s="7"/>
      <c r="O135" s="69"/>
      <c r="P135" s="69"/>
    </row>
    <row r="136" spans="5:16" x14ac:dyDescent="0.3">
      <c r="E136" s="6"/>
      <c r="F136" s="6"/>
      <c r="G136" s="6"/>
      <c r="H136" s="6"/>
      <c r="I136" s="6"/>
      <c r="J136" s="6"/>
      <c r="K136" s="7"/>
      <c r="L136" s="7"/>
      <c r="M136" s="7"/>
      <c r="N136" s="7"/>
      <c r="O136" s="69"/>
      <c r="P136" s="69"/>
    </row>
    <row r="137" spans="5:16" x14ac:dyDescent="0.3">
      <c r="E137" s="6"/>
      <c r="F137" s="6"/>
      <c r="G137" s="6"/>
      <c r="H137" s="6"/>
      <c r="I137" s="6"/>
      <c r="J137" s="6"/>
      <c r="K137" s="7"/>
      <c r="L137" s="7"/>
      <c r="M137" s="7"/>
      <c r="N137" s="7"/>
      <c r="O137" s="69"/>
      <c r="P137" s="69"/>
    </row>
    <row r="138" spans="5:16" x14ac:dyDescent="0.3">
      <c r="E138" s="6"/>
      <c r="F138" s="6"/>
      <c r="G138" s="6"/>
      <c r="H138" s="6"/>
      <c r="I138" s="6"/>
      <c r="J138" s="6"/>
      <c r="K138" s="7"/>
      <c r="L138" s="7"/>
      <c r="M138" s="7"/>
      <c r="N138" s="7"/>
      <c r="O138" s="69"/>
      <c r="P138" s="69"/>
    </row>
    <row r="139" spans="5:16" x14ac:dyDescent="0.3">
      <c r="E139" s="6"/>
      <c r="F139" s="6"/>
      <c r="G139" s="6"/>
      <c r="H139" s="6"/>
      <c r="I139" s="6"/>
      <c r="J139" s="6"/>
      <c r="K139" s="7"/>
      <c r="L139" s="7"/>
      <c r="M139" s="7"/>
      <c r="N139" s="7"/>
      <c r="O139" s="69"/>
      <c r="P139" s="69"/>
    </row>
    <row r="140" spans="5:16" x14ac:dyDescent="0.3">
      <c r="E140" s="6"/>
      <c r="F140" s="6"/>
      <c r="G140" s="6"/>
      <c r="H140" s="6"/>
      <c r="I140" s="6"/>
      <c r="J140" s="6"/>
      <c r="K140" s="7"/>
      <c r="L140" s="7"/>
      <c r="M140" s="7"/>
      <c r="N140" s="7"/>
      <c r="O140" s="69"/>
      <c r="P140" s="69"/>
    </row>
    <row r="141" spans="5:16" x14ac:dyDescent="0.3">
      <c r="E141" s="6"/>
      <c r="F141" s="6"/>
      <c r="G141" s="6"/>
      <c r="H141" s="6"/>
      <c r="I141" s="6"/>
      <c r="J141" s="6"/>
      <c r="K141" s="7"/>
      <c r="L141" s="7"/>
      <c r="M141" s="7"/>
      <c r="N141" s="7"/>
      <c r="O141" s="69"/>
      <c r="P141" s="69"/>
    </row>
    <row r="142" spans="5:16" x14ac:dyDescent="0.3">
      <c r="E142" s="6"/>
      <c r="F142" s="6"/>
      <c r="G142" s="6"/>
      <c r="H142" s="6"/>
      <c r="I142" s="6"/>
      <c r="J142" s="6"/>
      <c r="K142" s="7"/>
      <c r="L142" s="7"/>
      <c r="M142" s="7"/>
      <c r="N142" s="7"/>
      <c r="O142" s="69"/>
      <c r="P142" s="69"/>
    </row>
    <row r="143" spans="5:16" x14ac:dyDescent="0.3">
      <c r="E143" s="6"/>
      <c r="F143" s="6"/>
      <c r="G143" s="6"/>
      <c r="H143" s="6"/>
      <c r="I143" s="6"/>
      <c r="J143" s="6"/>
      <c r="K143" s="7"/>
      <c r="L143" s="7"/>
      <c r="M143" s="7"/>
      <c r="N143" s="7"/>
      <c r="O143" s="69"/>
      <c r="P143" s="69"/>
    </row>
    <row r="144" spans="5:16" x14ac:dyDescent="0.3">
      <c r="E144" s="6"/>
      <c r="F144" s="6"/>
      <c r="G144" s="6"/>
      <c r="H144" s="6"/>
      <c r="I144" s="6"/>
      <c r="J144" s="6"/>
      <c r="K144" s="7"/>
      <c r="L144" s="7"/>
      <c r="M144" s="7"/>
      <c r="N144" s="7"/>
      <c r="O144" s="69"/>
      <c r="P144" s="69"/>
    </row>
    <row r="145" spans="5:16" x14ac:dyDescent="0.3">
      <c r="E145" s="6"/>
      <c r="F145" s="6"/>
      <c r="G145" s="6"/>
      <c r="H145" s="6"/>
      <c r="I145" s="6"/>
      <c r="J145" s="6"/>
      <c r="K145" s="7"/>
      <c r="L145" s="7"/>
      <c r="M145" s="7"/>
      <c r="N145" s="7"/>
      <c r="O145" s="69"/>
      <c r="P145" s="69"/>
    </row>
    <row r="146" spans="5:16" x14ac:dyDescent="0.3">
      <c r="E146" s="6"/>
      <c r="F146" s="6"/>
      <c r="G146" s="6"/>
      <c r="H146" s="6"/>
      <c r="I146" s="6"/>
      <c r="J146" s="6"/>
      <c r="K146" s="7"/>
      <c r="L146" s="7"/>
      <c r="M146" s="7"/>
      <c r="N146" s="7"/>
      <c r="O146" s="69"/>
      <c r="P146" s="69"/>
    </row>
    <row r="147" spans="5:16" x14ac:dyDescent="0.3">
      <c r="E147" s="6"/>
      <c r="F147" s="6"/>
      <c r="G147" s="6"/>
      <c r="H147" s="6"/>
      <c r="I147" s="6"/>
      <c r="J147" s="6"/>
      <c r="K147" s="7"/>
      <c r="L147" s="7"/>
      <c r="M147" s="7"/>
      <c r="N147" s="7"/>
      <c r="O147" s="69"/>
      <c r="P147" s="69"/>
    </row>
    <row r="148" spans="5:16" x14ac:dyDescent="0.3">
      <c r="E148" s="6"/>
      <c r="F148" s="6"/>
      <c r="G148" s="6"/>
      <c r="H148" s="6"/>
      <c r="I148" s="6"/>
      <c r="J148" s="6"/>
      <c r="K148" s="7"/>
      <c r="L148" s="7"/>
      <c r="M148" s="7"/>
      <c r="N148" s="7"/>
      <c r="O148" s="69"/>
      <c r="P148" s="69"/>
    </row>
    <row r="149" spans="5:16" x14ac:dyDescent="0.3">
      <c r="E149" s="6"/>
      <c r="F149" s="6"/>
      <c r="G149" s="6"/>
      <c r="H149" s="6"/>
      <c r="I149" s="6"/>
      <c r="J149" s="6"/>
      <c r="K149" s="7"/>
      <c r="L149" s="7"/>
      <c r="M149" s="7"/>
      <c r="N149" s="7"/>
      <c r="O149" s="69"/>
      <c r="P149" s="69"/>
    </row>
    <row r="150" spans="5:16" x14ac:dyDescent="0.3">
      <c r="E150" s="6"/>
      <c r="F150" s="6"/>
      <c r="G150" s="6"/>
      <c r="H150" s="6"/>
      <c r="I150" s="6"/>
      <c r="J150" s="6"/>
      <c r="K150" s="7"/>
      <c r="L150" s="7"/>
      <c r="M150" s="7"/>
      <c r="N150" s="7"/>
      <c r="O150" s="69"/>
      <c r="P150" s="69"/>
    </row>
    <row r="151" spans="5:16" x14ac:dyDescent="0.3">
      <c r="E151" s="6"/>
      <c r="F151" s="6"/>
      <c r="G151" s="6"/>
      <c r="H151" s="6"/>
      <c r="I151" s="6"/>
      <c r="J151" s="6"/>
      <c r="K151" s="7"/>
      <c r="L151" s="7"/>
      <c r="M151" s="7"/>
      <c r="N151" s="7"/>
      <c r="O151" s="69"/>
      <c r="P151" s="69"/>
    </row>
    <row r="152" spans="5:16" x14ac:dyDescent="0.3">
      <c r="E152" s="6"/>
      <c r="F152" s="6"/>
      <c r="G152" s="6"/>
      <c r="H152" s="6"/>
      <c r="I152" s="6"/>
      <c r="J152" s="6"/>
      <c r="K152" s="7"/>
      <c r="L152" s="7"/>
      <c r="M152" s="7"/>
      <c r="N152" s="7"/>
      <c r="O152" s="69"/>
      <c r="P152" s="69"/>
    </row>
    <row r="153" spans="5:16" x14ac:dyDescent="0.3">
      <c r="E153" s="6"/>
      <c r="F153" s="6"/>
      <c r="G153" s="6"/>
      <c r="H153" s="6"/>
      <c r="I153" s="6"/>
      <c r="J153" s="6"/>
      <c r="K153" s="7"/>
      <c r="L153" s="7"/>
      <c r="M153" s="7"/>
      <c r="N153" s="7"/>
      <c r="O153" s="69"/>
      <c r="P153" s="69"/>
    </row>
    <row r="154" spans="5:16" x14ac:dyDescent="0.3">
      <c r="E154" s="6"/>
      <c r="F154" s="6"/>
      <c r="G154" s="6"/>
      <c r="H154" s="6"/>
      <c r="I154" s="6"/>
      <c r="J154" s="6"/>
      <c r="K154" s="7"/>
      <c r="L154" s="7"/>
      <c r="M154" s="7"/>
      <c r="N154" s="7"/>
      <c r="O154" s="69"/>
      <c r="P154" s="69"/>
    </row>
    <row r="155" spans="5:16" x14ac:dyDescent="0.3">
      <c r="E155" s="6"/>
      <c r="F155" s="6"/>
      <c r="G155" s="6"/>
      <c r="H155" s="6"/>
      <c r="I155" s="6"/>
      <c r="J155" s="6"/>
      <c r="K155" s="7"/>
      <c r="L155" s="7"/>
      <c r="M155" s="7"/>
      <c r="N155" s="7"/>
      <c r="O155" s="69"/>
      <c r="P155" s="69"/>
    </row>
    <row r="156" spans="5:16" x14ac:dyDescent="0.3">
      <c r="E156" s="6"/>
      <c r="F156" s="6"/>
      <c r="G156" s="6"/>
      <c r="H156" s="6"/>
      <c r="I156" s="6"/>
      <c r="J156" s="6"/>
      <c r="K156" s="7"/>
      <c r="L156" s="7"/>
      <c r="M156" s="7"/>
      <c r="N156" s="7"/>
      <c r="O156" s="69"/>
      <c r="P156" s="69"/>
    </row>
    <row r="157" spans="5:16" x14ac:dyDescent="0.3">
      <c r="E157" s="6"/>
      <c r="F157" s="6"/>
      <c r="G157" s="6"/>
      <c r="H157" s="6"/>
      <c r="I157" s="6"/>
      <c r="J157" s="6"/>
      <c r="K157" s="7"/>
      <c r="L157" s="7"/>
      <c r="M157" s="7"/>
      <c r="N157" s="7"/>
      <c r="O157" s="69"/>
      <c r="P157" s="69"/>
    </row>
    <row r="158" spans="5:16" x14ac:dyDescent="0.3">
      <c r="E158" s="6"/>
      <c r="F158" s="6"/>
      <c r="G158" s="6"/>
      <c r="H158" s="6"/>
      <c r="I158" s="6"/>
      <c r="J158" s="6"/>
      <c r="K158" s="7"/>
      <c r="L158" s="7"/>
      <c r="M158" s="7"/>
      <c r="N158" s="7"/>
      <c r="O158" s="69"/>
      <c r="P158" s="69"/>
    </row>
    <row r="159" spans="5:16" x14ac:dyDescent="0.3">
      <c r="E159" s="6"/>
      <c r="F159" s="6"/>
      <c r="G159" s="6"/>
      <c r="H159" s="6"/>
      <c r="I159" s="6"/>
      <c r="J159" s="6"/>
      <c r="K159" s="7"/>
      <c r="L159" s="7"/>
      <c r="M159" s="7"/>
      <c r="N159" s="7"/>
      <c r="O159" s="69"/>
      <c r="P159" s="69"/>
    </row>
    <row r="160" spans="5:16" x14ac:dyDescent="0.3">
      <c r="E160" s="6"/>
      <c r="F160" s="6"/>
      <c r="G160" s="6"/>
      <c r="H160" s="6"/>
      <c r="I160" s="6"/>
      <c r="J160" s="6"/>
      <c r="K160" s="7"/>
      <c r="L160" s="7"/>
      <c r="M160" s="7"/>
      <c r="N160" s="7"/>
      <c r="O160" s="69"/>
      <c r="P160" s="69"/>
    </row>
    <row r="161" spans="5:16" x14ac:dyDescent="0.3">
      <c r="E161" s="6"/>
      <c r="F161" s="6"/>
      <c r="G161" s="6"/>
      <c r="H161" s="6"/>
      <c r="I161" s="6"/>
      <c r="J161" s="6"/>
      <c r="K161" s="7"/>
      <c r="L161" s="7"/>
      <c r="M161" s="7"/>
      <c r="N161" s="7"/>
      <c r="O161" s="69"/>
      <c r="P161" s="69"/>
    </row>
    <row r="162" spans="5:16" x14ac:dyDescent="0.3">
      <c r="E162" s="6"/>
      <c r="F162" s="6"/>
      <c r="G162" s="6"/>
      <c r="H162" s="6"/>
      <c r="I162" s="6"/>
      <c r="J162" s="6"/>
      <c r="K162" s="7"/>
      <c r="L162" s="7"/>
      <c r="M162" s="7"/>
      <c r="N162" s="7"/>
      <c r="O162" s="69"/>
      <c r="P162" s="69"/>
    </row>
    <row r="163" spans="5:16" x14ac:dyDescent="0.3">
      <c r="E163" s="6"/>
      <c r="F163" s="6"/>
      <c r="G163" s="6"/>
      <c r="H163" s="6"/>
      <c r="I163" s="6"/>
      <c r="J163" s="6"/>
      <c r="K163" s="7"/>
      <c r="L163" s="7"/>
      <c r="M163" s="7"/>
      <c r="N163" s="7"/>
      <c r="O163" s="69"/>
      <c r="P163" s="69"/>
    </row>
    <row r="164" spans="5:16" x14ac:dyDescent="0.3">
      <c r="E164" s="6"/>
      <c r="F164" s="6"/>
      <c r="G164" s="6"/>
      <c r="H164" s="6"/>
      <c r="I164" s="6"/>
      <c r="J164" s="6"/>
      <c r="K164" s="7"/>
      <c r="L164" s="7"/>
      <c r="M164" s="7"/>
      <c r="N164" s="7"/>
      <c r="O164" s="69"/>
      <c r="P164" s="69"/>
    </row>
    <row r="165" spans="5:16" x14ac:dyDescent="0.3">
      <c r="E165" s="6"/>
      <c r="F165" s="6"/>
      <c r="G165" s="6"/>
      <c r="H165" s="6"/>
      <c r="I165" s="6"/>
      <c r="J165" s="6"/>
      <c r="K165" s="7"/>
      <c r="L165" s="7"/>
      <c r="M165" s="7"/>
      <c r="N165" s="7"/>
      <c r="O165" s="69"/>
      <c r="P165" s="69"/>
    </row>
    <row r="166" spans="5:16" x14ac:dyDescent="0.3">
      <c r="E166" s="6"/>
      <c r="F166" s="6"/>
      <c r="G166" s="6"/>
      <c r="H166" s="6"/>
      <c r="I166" s="6"/>
      <c r="J166" s="6"/>
      <c r="K166" s="7"/>
      <c r="L166" s="7"/>
      <c r="M166" s="7"/>
      <c r="N166" s="7"/>
      <c r="O166" s="69"/>
      <c r="P166" s="69"/>
    </row>
    <row r="167" spans="5:16" x14ac:dyDescent="0.3">
      <c r="E167" s="6"/>
      <c r="F167" s="6"/>
      <c r="G167" s="6"/>
      <c r="H167" s="6"/>
      <c r="I167" s="6"/>
      <c r="J167" s="6"/>
      <c r="K167" s="7"/>
      <c r="L167" s="7"/>
      <c r="M167" s="7"/>
      <c r="N167" s="7"/>
      <c r="O167" s="69"/>
      <c r="P167" s="69"/>
    </row>
    <row r="168" spans="5:16" x14ac:dyDescent="0.3">
      <c r="E168" s="6"/>
      <c r="F168" s="6"/>
      <c r="G168" s="6"/>
      <c r="H168" s="6"/>
      <c r="I168" s="6"/>
      <c r="J168" s="6"/>
      <c r="K168" s="7"/>
      <c r="L168" s="7"/>
      <c r="M168" s="7"/>
      <c r="N168" s="7"/>
      <c r="O168" s="69"/>
      <c r="P168" s="69"/>
    </row>
    <row r="169" spans="5:16" x14ac:dyDescent="0.3">
      <c r="E169" s="6"/>
      <c r="F169" s="6"/>
      <c r="G169" s="6"/>
      <c r="H169" s="6"/>
      <c r="I169" s="6"/>
      <c r="J169" s="6"/>
      <c r="K169" s="7"/>
      <c r="L169" s="7"/>
      <c r="M169" s="7"/>
      <c r="N169" s="7"/>
      <c r="O169" s="69"/>
      <c r="P169" s="69"/>
    </row>
    <row r="170" spans="5:16" x14ac:dyDescent="0.3">
      <c r="E170" s="6"/>
      <c r="F170" s="6"/>
      <c r="G170" s="6"/>
      <c r="H170" s="6"/>
      <c r="I170" s="6"/>
      <c r="J170" s="6"/>
      <c r="K170" s="7"/>
      <c r="L170" s="7"/>
      <c r="M170" s="7"/>
      <c r="N170" s="7"/>
      <c r="O170" s="69"/>
      <c r="P170" s="69"/>
    </row>
    <row r="171" spans="5:16" x14ac:dyDescent="0.3">
      <c r="E171" s="6"/>
      <c r="F171" s="6"/>
      <c r="G171" s="6"/>
      <c r="H171" s="6"/>
      <c r="I171" s="6"/>
      <c r="J171" s="6"/>
      <c r="K171" s="7"/>
      <c r="L171" s="7"/>
      <c r="M171" s="7"/>
      <c r="N171" s="7"/>
      <c r="O171" s="69"/>
      <c r="P171" s="69"/>
    </row>
    <row r="172" spans="5:16" x14ac:dyDescent="0.3">
      <c r="E172" s="6"/>
      <c r="F172" s="6"/>
      <c r="G172" s="6"/>
      <c r="H172" s="6"/>
      <c r="I172" s="6"/>
      <c r="J172" s="6"/>
      <c r="K172" s="7"/>
      <c r="L172" s="7"/>
      <c r="M172" s="7"/>
      <c r="N172" s="7"/>
      <c r="O172" s="69"/>
      <c r="P172" s="69"/>
    </row>
    <row r="173" spans="5:16" x14ac:dyDescent="0.3">
      <c r="E173" s="6"/>
      <c r="F173" s="6"/>
      <c r="G173" s="6"/>
      <c r="H173" s="6"/>
      <c r="I173" s="6"/>
      <c r="J173" s="6"/>
      <c r="K173" s="7"/>
      <c r="L173" s="7"/>
      <c r="M173" s="7"/>
      <c r="N173" s="7"/>
      <c r="O173" s="69"/>
      <c r="P173" s="69"/>
    </row>
    <row r="174" spans="5:16" x14ac:dyDescent="0.3">
      <c r="E174" s="6"/>
      <c r="F174" s="6"/>
      <c r="G174" s="6"/>
      <c r="H174" s="6"/>
      <c r="I174" s="6"/>
      <c r="J174" s="6"/>
      <c r="K174" s="7"/>
      <c r="L174" s="7"/>
      <c r="M174" s="7"/>
      <c r="N174" s="7"/>
      <c r="O174" s="69"/>
      <c r="P174" s="69"/>
    </row>
    <row r="175" spans="5:16" x14ac:dyDescent="0.3">
      <c r="E175" s="6"/>
      <c r="F175" s="6"/>
      <c r="G175" s="6"/>
      <c r="H175" s="6"/>
      <c r="I175" s="6"/>
      <c r="J175" s="6"/>
      <c r="K175" s="7"/>
      <c r="L175" s="7"/>
      <c r="M175" s="7"/>
      <c r="N175" s="7"/>
      <c r="O175" s="69"/>
      <c r="P175" s="69"/>
    </row>
    <row r="176" spans="5:16" x14ac:dyDescent="0.3">
      <c r="E176" s="6"/>
      <c r="F176" s="6"/>
      <c r="G176" s="6"/>
      <c r="H176" s="6"/>
      <c r="I176" s="6"/>
      <c r="J176" s="6"/>
      <c r="K176" s="7"/>
      <c r="L176" s="7"/>
      <c r="M176" s="7"/>
      <c r="N176" s="7"/>
      <c r="O176" s="69"/>
      <c r="P176" s="69"/>
    </row>
    <row r="177" spans="5:16" x14ac:dyDescent="0.3">
      <c r="E177" s="6"/>
      <c r="F177" s="6"/>
      <c r="G177" s="6"/>
      <c r="H177" s="6"/>
      <c r="I177" s="6"/>
      <c r="J177" s="6"/>
      <c r="K177" s="7"/>
      <c r="L177" s="7"/>
      <c r="M177" s="7"/>
      <c r="N177" s="7"/>
      <c r="O177" s="69"/>
      <c r="P177" s="69"/>
    </row>
    <row r="178" spans="5:16" x14ac:dyDescent="0.3">
      <c r="E178" s="6"/>
      <c r="F178" s="6"/>
      <c r="G178" s="6"/>
      <c r="H178" s="6"/>
      <c r="I178" s="6"/>
      <c r="J178" s="6"/>
      <c r="K178" s="7"/>
      <c r="L178" s="7"/>
      <c r="M178" s="7"/>
      <c r="N178" s="7"/>
      <c r="O178" s="69"/>
      <c r="P178" s="69"/>
    </row>
    <row r="179" spans="5:16" x14ac:dyDescent="0.3">
      <c r="E179" s="6"/>
      <c r="F179" s="6"/>
      <c r="G179" s="6"/>
      <c r="H179" s="6"/>
      <c r="I179" s="6"/>
      <c r="J179" s="6"/>
      <c r="K179" s="7"/>
      <c r="L179" s="7"/>
      <c r="M179" s="7"/>
      <c r="N179" s="7"/>
      <c r="O179" s="69"/>
      <c r="P179" s="69"/>
    </row>
    <row r="180" spans="5:16" x14ac:dyDescent="0.3">
      <c r="E180" s="6"/>
      <c r="F180" s="6"/>
      <c r="G180" s="6"/>
      <c r="H180" s="6"/>
      <c r="I180" s="6"/>
      <c r="J180" s="6"/>
      <c r="K180" s="7"/>
      <c r="L180" s="7"/>
      <c r="M180" s="7"/>
      <c r="N180" s="7"/>
      <c r="O180" s="69"/>
      <c r="P180" s="69"/>
    </row>
    <row r="181" spans="5:16" x14ac:dyDescent="0.3">
      <c r="E181" s="6"/>
      <c r="F181" s="6"/>
      <c r="G181" s="6"/>
      <c r="H181" s="6"/>
      <c r="I181" s="6"/>
      <c r="J181" s="6"/>
      <c r="K181" s="7"/>
      <c r="L181" s="7"/>
      <c r="M181" s="7"/>
      <c r="N181" s="7"/>
      <c r="O181" s="69"/>
      <c r="P181" s="69"/>
    </row>
    <row r="182" spans="5:16" x14ac:dyDescent="0.3">
      <c r="E182" s="6"/>
      <c r="F182" s="6"/>
      <c r="G182" s="6"/>
      <c r="H182" s="6"/>
      <c r="I182" s="6"/>
      <c r="J182" s="6"/>
      <c r="K182" s="7"/>
      <c r="L182" s="7"/>
      <c r="M182" s="7"/>
      <c r="N182" s="7"/>
      <c r="O182" s="69"/>
      <c r="P182" s="69"/>
    </row>
    <row r="183" spans="5:16" x14ac:dyDescent="0.3">
      <c r="E183" s="6"/>
      <c r="F183" s="6"/>
      <c r="G183" s="6"/>
      <c r="H183" s="6"/>
      <c r="I183" s="6"/>
      <c r="J183" s="6"/>
      <c r="K183" s="7"/>
      <c r="L183" s="7"/>
      <c r="M183" s="7"/>
      <c r="N183" s="7"/>
      <c r="O183" s="69"/>
      <c r="P183" s="69"/>
    </row>
    <row r="184" spans="5:16" x14ac:dyDescent="0.3">
      <c r="E184" s="6"/>
      <c r="F184" s="6"/>
      <c r="G184" s="6"/>
      <c r="H184" s="6"/>
      <c r="I184" s="6"/>
      <c r="J184" s="6"/>
      <c r="K184" s="7"/>
      <c r="L184" s="7"/>
      <c r="M184" s="7"/>
      <c r="N184" s="7"/>
      <c r="O184" s="69"/>
      <c r="P184" s="69"/>
    </row>
    <row r="185" spans="5:16" x14ac:dyDescent="0.3">
      <c r="E185" s="6"/>
      <c r="F185" s="6"/>
      <c r="G185" s="6"/>
      <c r="H185" s="6"/>
      <c r="I185" s="6"/>
      <c r="J185" s="6"/>
      <c r="K185" s="7"/>
      <c r="L185" s="7"/>
      <c r="M185" s="7"/>
      <c r="N185" s="7"/>
      <c r="O185" s="69"/>
      <c r="P185" s="69"/>
    </row>
    <row r="186" spans="5:16" x14ac:dyDescent="0.3">
      <c r="E186" s="6"/>
      <c r="F186" s="6"/>
      <c r="G186" s="6"/>
      <c r="H186" s="6"/>
      <c r="I186" s="6"/>
      <c r="J186" s="6"/>
      <c r="K186" s="7"/>
      <c r="L186" s="7"/>
      <c r="M186" s="7"/>
      <c r="N186" s="7"/>
      <c r="O186" s="69"/>
      <c r="P186" s="69"/>
    </row>
    <row r="187" spans="5:16" x14ac:dyDescent="0.3">
      <c r="E187" s="6"/>
      <c r="F187" s="6"/>
      <c r="G187" s="6"/>
      <c r="H187" s="6"/>
      <c r="I187" s="6"/>
      <c r="J187" s="6"/>
      <c r="K187" s="7"/>
      <c r="L187" s="7"/>
      <c r="M187" s="7"/>
      <c r="N187" s="7"/>
      <c r="O187" s="69"/>
      <c r="P187" s="69"/>
    </row>
    <row r="188" spans="5:16" x14ac:dyDescent="0.3">
      <c r="E188" s="6"/>
      <c r="F188" s="6"/>
      <c r="G188" s="6"/>
      <c r="H188" s="6"/>
      <c r="I188" s="6"/>
      <c r="J188" s="6"/>
      <c r="K188" s="7"/>
      <c r="L188" s="7"/>
      <c r="M188" s="7"/>
      <c r="N188" s="7"/>
      <c r="O188" s="69"/>
      <c r="P188" s="69"/>
    </row>
    <row r="189" spans="5:16" x14ac:dyDescent="0.3">
      <c r="E189" s="6"/>
      <c r="F189" s="6"/>
      <c r="G189" s="6"/>
      <c r="H189" s="6"/>
      <c r="I189" s="6"/>
      <c r="J189" s="6"/>
      <c r="K189" s="7"/>
      <c r="L189" s="7"/>
      <c r="M189" s="7"/>
      <c r="N189" s="7"/>
      <c r="O189" s="69"/>
      <c r="P189" s="69"/>
    </row>
    <row r="190" spans="5:16" x14ac:dyDescent="0.3">
      <c r="E190" s="6"/>
      <c r="F190" s="6"/>
      <c r="G190" s="6"/>
      <c r="H190" s="6"/>
      <c r="I190" s="6"/>
      <c r="J190" s="6"/>
      <c r="K190" s="7"/>
      <c r="L190" s="7"/>
      <c r="M190" s="7"/>
      <c r="N190" s="7"/>
      <c r="O190" s="69"/>
      <c r="P190" s="69"/>
    </row>
    <row r="191" spans="5:16" x14ac:dyDescent="0.3">
      <c r="E191" s="6"/>
      <c r="F191" s="6"/>
      <c r="G191" s="6"/>
      <c r="H191" s="6"/>
      <c r="I191" s="6"/>
      <c r="J191" s="6"/>
      <c r="K191" s="7"/>
      <c r="L191" s="7"/>
      <c r="M191" s="7"/>
      <c r="N191" s="7"/>
      <c r="O191" s="69"/>
      <c r="P191" s="69"/>
    </row>
    <row r="192" spans="5:16" x14ac:dyDescent="0.3">
      <c r="E192" s="6"/>
      <c r="F192" s="6"/>
      <c r="G192" s="6"/>
      <c r="H192" s="6"/>
      <c r="I192" s="6"/>
      <c r="J192" s="6"/>
      <c r="K192" s="7"/>
      <c r="L192" s="7"/>
      <c r="M192" s="7"/>
      <c r="N192" s="7"/>
      <c r="O192" s="69"/>
      <c r="P192" s="69"/>
    </row>
    <row r="193" spans="5:16" x14ac:dyDescent="0.3">
      <c r="E193" s="6"/>
      <c r="F193" s="6"/>
      <c r="G193" s="6"/>
      <c r="H193" s="6"/>
      <c r="I193" s="6"/>
      <c r="J193" s="6"/>
      <c r="K193" s="7"/>
      <c r="L193" s="7"/>
      <c r="M193" s="7"/>
      <c r="N193" s="7"/>
      <c r="O193" s="69"/>
      <c r="P193" s="69"/>
    </row>
    <row r="194" spans="5:16" x14ac:dyDescent="0.3">
      <c r="E194" s="6"/>
      <c r="F194" s="6"/>
      <c r="G194" s="6"/>
      <c r="H194" s="6"/>
      <c r="I194" s="6"/>
      <c r="J194" s="6"/>
      <c r="K194" s="7"/>
      <c r="L194" s="7"/>
      <c r="M194" s="7"/>
      <c r="N194" s="7"/>
      <c r="O194" s="69"/>
      <c r="P194" s="69"/>
    </row>
    <row r="195" spans="5:16" x14ac:dyDescent="0.3">
      <c r="E195" s="6"/>
      <c r="F195" s="6"/>
      <c r="G195" s="6"/>
      <c r="H195" s="6"/>
      <c r="I195" s="6"/>
      <c r="J195" s="6"/>
      <c r="K195" s="7"/>
      <c r="L195" s="7"/>
      <c r="M195" s="7"/>
      <c r="N195" s="7"/>
      <c r="O195" s="69"/>
      <c r="P195" s="69"/>
    </row>
    <row r="196" spans="5:16" x14ac:dyDescent="0.3">
      <c r="E196" s="6"/>
      <c r="F196" s="6"/>
      <c r="G196" s="6"/>
      <c r="H196" s="6"/>
      <c r="I196" s="6"/>
      <c r="J196" s="6"/>
      <c r="K196" s="7"/>
      <c r="L196" s="7"/>
      <c r="M196" s="7"/>
      <c r="N196" s="7"/>
      <c r="O196" s="69"/>
      <c r="P196" s="69"/>
    </row>
    <row r="197" spans="5:16" x14ac:dyDescent="0.3">
      <c r="E197" s="6"/>
      <c r="F197" s="6"/>
      <c r="G197" s="6"/>
      <c r="H197" s="6"/>
      <c r="I197" s="6"/>
      <c r="J197" s="6"/>
      <c r="K197" s="7"/>
      <c r="L197" s="7"/>
      <c r="M197" s="7"/>
      <c r="N197" s="7"/>
      <c r="O197" s="69"/>
      <c r="P197" s="69"/>
    </row>
    <row r="198" spans="5:16" x14ac:dyDescent="0.3">
      <c r="E198" s="6"/>
      <c r="F198" s="6"/>
      <c r="G198" s="6"/>
      <c r="H198" s="6"/>
      <c r="I198" s="6"/>
      <c r="J198" s="6"/>
      <c r="K198" s="7"/>
      <c r="L198" s="7"/>
      <c r="M198" s="7"/>
      <c r="N198" s="7"/>
      <c r="O198" s="69"/>
      <c r="P198" s="69"/>
    </row>
    <row r="199" spans="5:16" x14ac:dyDescent="0.3">
      <c r="E199" s="6"/>
      <c r="F199" s="6"/>
      <c r="G199" s="6"/>
      <c r="H199" s="6"/>
      <c r="I199" s="6"/>
      <c r="J199" s="6"/>
      <c r="K199" s="7"/>
      <c r="L199" s="7"/>
      <c r="M199" s="7"/>
      <c r="N199" s="7"/>
      <c r="O199" s="69"/>
      <c r="P199" s="69"/>
    </row>
    <row r="200" spans="5:16" x14ac:dyDescent="0.3">
      <c r="E200" s="6"/>
      <c r="F200" s="6"/>
      <c r="G200" s="6"/>
      <c r="H200" s="6"/>
      <c r="I200" s="6"/>
      <c r="J200" s="6"/>
      <c r="K200" s="7"/>
      <c r="L200" s="7"/>
      <c r="M200" s="7"/>
      <c r="N200" s="7"/>
      <c r="O200" s="69"/>
      <c r="P200" s="69"/>
    </row>
    <row r="201" spans="5:16" x14ac:dyDescent="0.3">
      <c r="E201" s="6"/>
      <c r="F201" s="6"/>
      <c r="G201" s="6"/>
      <c r="H201" s="6"/>
      <c r="I201" s="6"/>
      <c r="J201" s="6"/>
      <c r="K201" s="7"/>
      <c r="L201" s="7"/>
      <c r="M201" s="7"/>
      <c r="N201" s="7"/>
      <c r="O201" s="69"/>
      <c r="P201" s="69"/>
    </row>
    <row r="202" spans="5:16" x14ac:dyDescent="0.3">
      <c r="E202" s="6"/>
      <c r="F202" s="6"/>
      <c r="G202" s="6"/>
      <c r="H202" s="6"/>
      <c r="I202" s="6"/>
      <c r="J202" s="6"/>
      <c r="K202" s="7"/>
      <c r="L202" s="7"/>
      <c r="M202" s="7"/>
      <c r="N202" s="7"/>
      <c r="O202" s="69"/>
      <c r="P202" s="69"/>
    </row>
    <row r="203" spans="5:16" x14ac:dyDescent="0.3">
      <c r="E203" s="6"/>
      <c r="F203" s="6"/>
      <c r="G203" s="6"/>
      <c r="H203" s="6"/>
      <c r="I203" s="6"/>
      <c r="J203" s="6"/>
      <c r="K203" s="7"/>
      <c r="L203" s="7"/>
      <c r="M203" s="7"/>
      <c r="N203" s="7"/>
      <c r="O203" s="69"/>
      <c r="P203" s="69"/>
    </row>
    <row r="204" spans="5:16" x14ac:dyDescent="0.3">
      <c r="E204" s="6"/>
      <c r="F204" s="6"/>
      <c r="G204" s="6"/>
      <c r="H204" s="6"/>
      <c r="I204" s="6"/>
      <c r="J204" s="6"/>
      <c r="K204" s="7"/>
      <c r="L204" s="7"/>
      <c r="M204" s="7"/>
      <c r="N204" s="7"/>
      <c r="O204" s="69"/>
      <c r="P204" s="69"/>
    </row>
    <row r="205" spans="5:16" x14ac:dyDescent="0.3">
      <c r="E205" s="6"/>
      <c r="F205" s="6"/>
      <c r="G205" s="6"/>
      <c r="H205" s="6"/>
      <c r="I205" s="6"/>
      <c r="J205" s="6"/>
      <c r="K205" s="7"/>
      <c r="L205" s="7"/>
      <c r="M205" s="7"/>
      <c r="N205" s="7"/>
      <c r="O205" s="69"/>
      <c r="P205" s="69"/>
    </row>
    <row r="206" spans="5:16" x14ac:dyDescent="0.3">
      <c r="E206" s="6"/>
      <c r="F206" s="6"/>
      <c r="G206" s="6"/>
      <c r="H206" s="6"/>
      <c r="I206" s="6"/>
      <c r="J206" s="6"/>
      <c r="K206" s="7"/>
      <c r="L206" s="7"/>
      <c r="M206" s="7"/>
      <c r="N206" s="7"/>
      <c r="O206" s="69"/>
      <c r="P206" s="69"/>
    </row>
    <row r="207" spans="5:16" x14ac:dyDescent="0.3">
      <c r="E207" s="6"/>
      <c r="F207" s="6"/>
      <c r="G207" s="6"/>
      <c r="H207" s="6"/>
      <c r="I207" s="6"/>
      <c r="J207" s="6"/>
      <c r="K207" s="7"/>
      <c r="L207" s="7"/>
      <c r="M207" s="7"/>
      <c r="N207" s="7"/>
      <c r="O207" s="69"/>
      <c r="P207" s="69"/>
    </row>
    <row r="208" spans="5:16" x14ac:dyDescent="0.3">
      <c r="E208" s="6"/>
      <c r="F208" s="6"/>
      <c r="G208" s="6"/>
      <c r="H208" s="6"/>
      <c r="I208" s="6"/>
      <c r="J208" s="6"/>
      <c r="K208" s="7"/>
      <c r="L208" s="7"/>
      <c r="M208" s="7"/>
      <c r="N208" s="7"/>
      <c r="O208" s="69"/>
      <c r="P208" s="69"/>
    </row>
    <row r="209" spans="5:16" x14ac:dyDescent="0.3">
      <c r="E209" s="6"/>
      <c r="F209" s="6"/>
      <c r="G209" s="6"/>
      <c r="H209" s="6"/>
      <c r="I209" s="6"/>
      <c r="J209" s="6"/>
      <c r="K209" s="7"/>
      <c r="L209" s="7"/>
      <c r="M209" s="7"/>
      <c r="N209" s="7"/>
      <c r="O209" s="69"/>
      <c r="P209" s="69"/>
    </row>
    <row r="210" spans="5:16" x14ac:dyDescent="0.3">
      <c r="E210" s="6"/>
      <c r="F210" s="6"/>
      <c r="G210" s="6"/>
      <c r="H210" s="6"/>
      <c r="I210" s="6"/>
      <c r="J210" s="6"/>
      <c r="K210" s="7"/>
      <c r="L210" s="7"/>
      <c r="M210" s="7"/>
      <c r="N210" s="7"/>
      <c r="O210" s="69"/>
      <c r="P210" s="69"/>
    </row>
    <row r="211" spans="5:16" x14ac:dyDescent="0.3">
      <c r="E211" s="6"/>
      <c r="F211" s="6"/>
      <c r="G211" s="6"/>
      <c r="H211" s="6"/>
      <c r="I211" s="6"/>
      <c r="J211" s="6"/>
      <c r="K211" s="7"/>
      <c r="L211" s="7"/>
      <c r="M211" s="7"/>
      <c r="N211" s="7"/>
      <c r="O211" s="69"/>
      <c r="P211" s="69"/>
    </row>
    <row r="212" spans="5:16" x14ac:dyDescent="0.3">
      <c r="E212" s="6"/>
      <c r="F212" s="6"/>
      <c r="G212" s="6"/>
      <c r="H212" s="6"/>
      <c r="I212" s="6"/>
      <c r="J212" s="6"/>
      <c r="K212" s="7"/>
      <c r="L212" s="7"/>
      <c r="M212" s="7"/>
      <c r="N212" s="7"/>
      <c r="O212" s="69"/>
      <c r="P212" s="69"/>
    </row>
    <row r="213" spans="5:16" x14ac:dyDescent="0.3">
      <c r="E213" s="6"/>
      <c r="F213" s="6"/>
      <c r="G213" s="6"/>
      <c r="H213" s="6"/>
      <c r="I213" s="6"/>
      <c r="J213" s="6"/>
      <c r="K213" s="7"/>
      <c r="L213" s="7"/>
      <c r="M213" s="7"/>
      <c r="N213" s="7"/>
      <c r="O213" s="69"/>
      <c r="P213" s="69"/>
    </row>
    <row r="214" spans="5:16" x14ac:dyDescent="0.3">
      <c r="E214" s="6"/>
      <c r="F214" s="6"/>
      <c r="G214" s="6"/>
      <c r="H214" s="6"/>
      <c r="I214" s="6"/>
      <c r="J214" s="6"/>
      <c r="K214" s="7"/>
      <c r="L214" s="7"/>
      <c r="M214" s="7"/>
      <c r="N214" s="7"/>
      <c r="O214" s="69"/>
      <c r="P214" s="69"/>
    </row>
    <row r="215" spans="5:16" x14ac:dyDescent="0.3">
      <c r="E215" s="6"/>
      <c r="F215" s="6"/>
      <c r="G215" s="6"/>
      <c r="H215" s="6"/>
      <c r="I215" s="6"/>
      <c r="J215" s="6"/>
      <c r="K215" s="7"/>
      <c r="L215" s="7"/>
      <c r="M215" s="7"/>
      <c r="N215" s="7"/>
      <c r="O215" s="69"/>
      <c r="P215" s="69"/>
    </row>
    <row r="216" spans="5:16" x14ac:dyDescent="0.3">
      <c r="E216" s="6"/>
      <c r="F216" s="6"/>
      <c r="G216" s="6"/>
      <c r="H216" s="6"/>
      <c r="I216" s="6"/>
      <c r="J216" s="6"/>
      <c r="K216" s="7"/>
      <c r="L216" s="7"/>
      <c r="M216" s="7"/>
      <c r="N216" s="7"/>
      <c r="O216" s="69"/>
      <c r="P216" s="69"/>
    </row>
    <row r="217" spans="5:16" x14ac:dyDescent="0.3">
      <c r="E217" s="6"/>
      <c r="F217" s="6"/>
      <c r="G217" s="6"/>
      <c r="H217" s="6"/>
      <c r="I217" s="6"/>
      <c r="J217" s="6"/>
      <c r="K217" s="7"/>
      <c r="L217" s="7"/>
      <c r="M217" s="7"/>
      <c r="N217" s="7"/>
      <c r="O217" s="69"/>
      <c r="P217" s="69"/>
    </row>
    <row r="218" spans="5:16" x14ac:dyDescent="0.3">
      <c r="E218" s="6"/>
      <c r="F218" s="6"/>
      <c r="G218" s="6"/>
      <c r="H218" s="6"/>
      <c r="I218" s="6"/>
      <c r="J218" s="6"/>
      <c r="K218" s="7"/>
      <c r="L218" s="7"/>
      <c r="M218" s="7"/>
      <c r="N218" s="7"/>
      <c r="O218" s="69"/>
      <c r="P218" s="69"/>
    </row>
    <row r="219" spans="5:16" x14ac:dyDescent="0.3">
      <c r="E219" s="6"/>
      <c r="F219" s="6"/>
      <c r="G219" s="6"/>
      <c r="H219" s="6"/>
      <c r="I219" s="6"/>
      <c r="J219" s="6"/>
      <c r="K219" s="7"/>
      <c r="L219" s="7"/>
      <c r="M219" s="7"/>
      <c r="N219" s="7"/>
      <c r="O219" s="69"/>
      <c r="P219" s="69"/>
    </row>
    <row r="220" spans="5:16" x14ac:dyDescent="0.3">
      <c r="E220" s="6"/>
      <c r="F220" s="6"/>
      <c r="G220" s="6"/>
      <c r="H220" s="6"/>
      <c r="I220" s="6"/>
      <c r="J220" s="6"/>
      <c r="K220" s="7"/>
      <c r="L220" s="7"/>
      <c r="M220" s="7"/>
      <c r="N220" s="7"/>
      <c r="O220" s="69"/>
      <c r="P220" s="69"/>
    </row>
    <row r="221" spans="5:16" x14ac:dyDescent="0.3">
      <c r="E221" s="6"/>
      <c r="F221" s="6"/>
      <c r="G221" s="6"/>
      <c r="H221" s="6"/>
      <c r="I221" s="6"/>
      <c r="J221" s="6"/>
      <c r="K221" s="7"/>
      <c r="L221" s="7"/>
      <c r="M221" s="7"/>
      <c r="N221" s="7"/>
      <c r="O221" s="69"/>
      <c r="P221" s="69"/>
    </row>
    <row r="222" spans="5:16" x14ac:dyDescent="0.3">
      <c r="E222" s="6"/>
      <c r="F222" s="6"/>
      <c r="G222" s="6"/>
      <c r="H222" s="6"/>
      <c r="I222" s="6"/>
      <c r="J222" s="6"/>
      <c r="K222" s="7"/>
      <c r="L222" s="7"/>
      <c r="M222" s="7"/>
      <c r="N222" s="7"/>
      <c r="O222" s="69"/>
      <c r="P222" s="69"/>
    </row>
    <row r="223" spans="5:16" x14ac:dyDescent="0.3">
      <c r="E223" s="6"/>
      <c r="F223" s="6"/>
      <c r="G223" s="6"/>
      <c r="H223" s="6"/>
      <c r="I223" s="6"/>
      <c r="J223" s="6"/>
      <c r="K223" s="7"/>
      <c r="L223" s="7"/>
      <c r="M223" s="7"/>
      <c r="N223" s="7"/>
      <c r="O223" s="69"/>
      <c r="P223" s="69"/>
    </row>
    <row r="224" spans="5:16" x14ac:dyDescent="0.3">
      <c r="E224" s="6"/>
      <c r="F224" s="6"/>
      <c r="G224" s="6"/>
      <c r="H224" s="6"/>
      <c r="I224" s="6"/>
      <c r="J224" s="6"/>
      <c r="K224" s="7"/>
      <c r="L224" s="7"/>
      <c r="M224" s="7"/>
      <c r="N224" s="7"/>
      <c r="O224" s="69"/>
      <c r="P224" s="69"/>
    </row>
    <row r="225" spans="5:16" x14ac:dyDescent="0.3">
      <c r="E225" s="6"/>
      <c r="F225" s="6"/>
      <c r="G225" s="6"/>
      <c r="H225" s="6"/>
      <c r="I225" s="6"/>
      <c r="J225" s="6"/>
      <c r="K225" s="7"/>
      <c r="L225" s="7"/>
      <c r="M225" s="7"/>
      <c r="N225" s="7"/>
      <c r="O225" s="69"/>
      <c r="P225" s="69"/>
    </row>
    <row r="226" spans="5:16" x14ac:dyDescent="0.3">
      <c r="E226" s="6"/>
      <c r="F226" s="6"/>
      <c r="G226" s="6"/>
      <c r="H226" s="6"/>
      <c r="I226" s="6"/>
      <c r="J226" s="6"/>
      <c r="K226" s="7"/>
      <c r="L226" s="7"/>
      <c r="M226" s="7"/>
      <c r="N226" s="7"/>
      <c r="O226" s="69"/>
      <c r="P226" s="69"/>
    </row>
    <row r="227" spans="5:16" x14ac:dyDescent="0.3">
      <c r="E227" s="6"/>
      <c r="F227" s="6"/>
      <c r="G227" s="6"/>
      <c r="H227" s="6"/>
      <c r="I227" s="6"/>
      <c r="J227" s="6"/>
      <c r="K227" s="7"/>
      <c r="L227" s="7"/>
      <c r="M227" s="7"/>
      <c r="N227" s="7"/>
      <c r="O227" s="69"/>
      <c r="P227" s="69"/>
    </row>
    <row r="228" spans="5:16" x14ac:dyDescent="0.3">
      <c r="E228" s="6"/>
      <c r="F228" s="6"/>
      <c r="G228" s="6"/>
      <c r="H228" s="6"/>
      <c r="I228" s="6"/>
      <c r="J228" s="6"/>
      <c r="K228" s="7"/>
      <c r="L228" s="7"/>
      <c r="M228" s="7"/>
      <c r="N228" s="7"/>
      <c r="O228" s="69"/>
      <c r="P228" s="69"/>
    </row>
    <row r="229" spans="5:16" x14ac:dyDescent="0.3">
      <c r="E229" s="6"/>
      <c r="F229" s="6"/>
      <c r="G229" s="6"/>
      <c r="H229" s="6"/>
      <c r="I229" s="6"/>
      <c r="J229" s="6"/>
      <c r="K229" s="7"/>
      <c r="L229" s="7"/>
      <c r="M229" s="7"/>
      <c r="N229" s="7"/>
      <c r="O229" s="69"/>
      <c r="P229" s="69"/>
    </row>
    <row r="230" spans="5:16" x14ac:dyDescent="0.3">
      <c r="E230" s="6"/>
      <c r="F230" s="6"/>
      <c r="G230" s="6"/>
      <c r="H230" s="6"/>
      <c r="I230" s="6"/>
      <c r="J230" s="6"/>
      <c r="K230" s="7"/>
      <c r="L230" s="7"/>
      <c r="M230" s="7"/>
      <c r="N230" s="7"/>
      <c r="O230" s="69"/>
      <c r="P230" s="69"/>
    </row>
    <row r="231" spans="5:16" x14ac:dyDescent="0.3">
      <c r="E231" s="6"/>
      <c r="F231" s="6"/>
      <c r="G231" s="6"/>
      <c r="H231" s="6"/>
      <c r="I231" s="6"/>
      <c r="J231" s="6"/>
      <c r="K231" s="7"/>
      <c r="L231" s="7"/>
      <c r="M231" s="7"/>
      <c r="N231" s="7"/>
      <c r="O231" s="69"/>
      <c r="P231" s="69"/>
    </row>
    <row r="232" spans="5:16" x14ac:dyDescent="0.3">
      <c r="E232" s="6"/>
      <c r="F232" s="6"/>
      <c r="G232" s="6"/>
      <c r="H232" s="6"/>
      <c r="I232" s="6"/>
      <c r="J232" s="6"/>
      <c r="K232" s="7"/>
      <c r="L232" s="7"/>
      <c r="M232" s="7"/>
      <c r="N232" s="7"/>
      <c r="O232" s="69"/>
      <c r="P232" s="69"/>
    </row>
    <row r="233" spans="5:16" x14ac:dyDescent="0.3">
      <c r="E233" s="6"/>
      <c r="F233" s="6"/>
      <c r="G233" s="6"/>
      <c r="H233" s="6"/>
      <c r="I233" s="6"/>
      <c r="J233" s="6"/>
      <c r="K233" s="7"/>
      <c r="L233" s="7"/>
      <c r="M233" s="7"/>
      <c r="N233" s="7"/>
      <c r="O233" s="69"/>
      <c r="P233" s="69"/>
    </row>
    <row r="234" spans="5:16" x14ac:dyDescent="0.3">
      <c r="E234" s="6"/>
      <c r="F234" s="6"/>
      <c r="G234" s="6"/>
      <c r="H234" s="6"/>
      <c r="I234" s="6"/>
      <c r="J234" s="6"/>
      <c r="K234" s="7"/>
      <c r="L234" s="7"/>
      <c r="M234" s="7"/>
      <c r="N234" s="7"/>
      <c r="O234" s="69"/>
      <c r="P234" s="69"/>
    </row>
    <row r="235" spans="5:16" x14ac:dyDescent="0.3">
      <c r="E235" s="6"/>
      <c r="F235" s="6"/>
      <c r="G235" s="6"/>
      <c r="H235" s="6"/>
      <c r="I235" s="6"/>
      <c r="J235" s="6"/>
      <c r="K235" s="7"/>
      <c r="L235" s="7"/>
      <c r="M235" s="7"/>
      <c r="N235" s="7"/>
      <c r="O235" s="69"/>
      <c r="P235" s="69"/>
    </row>
    <row r="236" spans="5:16" x14ac:dyDescent="0.3">
      <c r="E236" s="6"/>
      <c r="F236" s="6"/>
      <c r="G236" s="6"/>
      <c r="H236" s="6"/>
      <c r="I236" s="6"/>
      <c r="J236" s="6"/>
      <c r="K236" s="7"/>
      <c r="L236" s="7"/>
      <c r="M236" s="7"/>
      <c r="N236" s="7"/>
      <c r="O236" s="69"/>
      <c r="P236" s="69"/>
    </row>
    <row r="237" spans="5:16" x14ac:dyDescent="0.3">
      <c r="E237" s="6"/>
      <c r="F237" s="6"/>
      <c r="G237" s="6"/>
      <c r="H237" s="6"/>
      <c r="I237" s="6"/>
      <c r="J237" s="6"/>
      <c r="K237" s="7"/>
      <c r="L237" s="7"/>
      <c r="M237" s="7"/>
      <c r="N237" s="7"/>
      <c r="O237" s="69"/>
      <c r="P237" s="69"/>
    </row>
    <row r="238" spans="5:16" x14ac:dyDescent="0.3">
      <c r="E238" s="6"/>
      <c r="F238" s="6"/>
      <c r="G238" s="6"/>
      <c r="H238" s="6"/>
      <c r="I238" s="6"/>
      <c r="J238" s="6"/>
      <c r="K238" s="7"/>
      <c r="L238" s="7"/>
      <c r="M238" s="7"/>
      <c r="N238" s="7"/>
      <c r="O238" s="69"/>
      <c r="P238" s="69"/>
    </row>
    <row r="239" spans="5:16" x14ac:dyDescent="0.3">
      <c r="E239" s="6"/>
      <c r="F239" s="6"/>
      <c r="G239" s="6"/>
      <c r="H239" s="6"/>
      <c r="I239" s="6"/>
      <c r="J239" s="6"/>
      <c r="K239" s="7"/>
      <c r="L239" s="7"/>
      <c r="M239" s="7"/>
      <c r="N239" s="7"/>
      <c r="O239" s="69"/>
      <c r="P239" s="69"/>
    </row>
    <row r="240" spans="5:16" x14ac:dyDescent="0.3">
      <c r="E240" s="6"/>
      <c r="F240" s="6"/>
      <c r="G240" s="6"/>
      <c r="H240" s="6"/>
      <c r="I240" s="6"/>
      <c r="J240" s="6"/>
      <c r="K240" s="7"/>
      <c r="L240" s="7"/>
      <c r="M240" s="7"/>
      <c r="N240" s="7"/>
      <c r="O240" s="69"/>
      <c r="P240" s="69"/>
    </row>
    <row r="241" spans="5:16" x14ac:dyDescent="0.3">
      <c r="E241" s="6"/>
      <c r="F241" s="6"/>
      <c r="G241" s="6"/>
      <c r="H241" s="6"/>
      <c r="I241" s="6"/>
      <c r="J241" s="6"/>
      <c r="K241" s="7"/>
      <c r="L241" s="7"/>
      <c r="M241" s="7"/>
      <c r="N241" s="7"/>
      <c r="O241" s="69"/>
      <c r="P241" s="69"/>
    </row>
    <row r="242" spans="5:16" x14ac:dyDescent="0.3">
      <c r="E242" s="6"/>
      <c r="F242" s="6"/>
      <c r="G242" s="6"/>
      <c r="H242" s="6"/>
      <c r="I242" s="6"/>
      <c r="J242" s="6"/>
      <c r="K242" s="7"/>
      <c r="L242" s="7"/>
      <c r="M242" s="7"/>
      <c r="N242" s="7"/>
      <c r="O242" s="69"/>
      <c r="P242" s="69"/>
    </row>
    <row r="243" spans="5:16" x14ac:dyDescent="0.3">
      <c r="E243" s="6"/>
      <c r="F243" s="6"/>
      <c r="G243" s="6"/>
      <c r="H243" s="6"/>
      <c r="I243" s="6"/>
      <c r="J243" s="6"/>
      <c r="K243" s="7"/>
      <c r="L243" s="7"/>
      <c r="M243" s="7"/>
      <c r="N243" s="7"/>
      <c r="O243" s="69"/>
      <c r="P243" s="69"/>
    </row>
    <row r="244" spans="5:16" x14ac:dyDescent="0.3">
      <c r="E244" s="6"/>
      <c r="F244" s="6"/>
      <c r="G244" s="6"/>
      <c r="H244" s="6"/>
      <c r="I244" s="6"/>
      <c r="J244" s="6"/>
      <c r="K244" s="7"/>
      <c r="L244" s="7"/>
      <c r="M244" s="7"/>
      <c r="N244" s="7"/>
      <c r="O244" s="69"/>
      <c r="P244" s="69"/>
    </row>
    <row r="245" spans="5:16" x14ac:dyDescent="0.3">
      <c r="E245" s="6"/>
      <c r="F245" s="6"/>
      <c r="G245" s="6"/>
      <c r="H245" s="6"/>
      <c r="I245" s="6"/>
      <c r="J245" s="6"/>
      <c r="K245" s="7"/>
      <c r="L245" s="7"/>
      <c r="M245" s="7"/>
      <c r="N245" s="7"/>
      <c r="O245" s="69"/>
      <c r="P245" s="69"/>
    </row>
    <row r="246" spans="5:16" x14ac:dyDescent="0.3">
      <c r="E246" s="6"/>
      <c r="F246" s="6"/>
      <c r="G246" s="6"/>
      <c r="H246" s="6"/>
      <c r="I246" s="6"/>
      <c r="J246" s="6"/>
      <c r="K246" s="7"/>
      <c r="L246" s="7"/>
      <c r="M246" s="7"/>
      <c r="N246" s="7"/>
      <c r="O246" s="69"/>
      <c r="P246" s="69"/>
    </row>
    <row r="247" spans="5:16" x14ac:dyDescent="0.3">
      <c r="E247" s="6"/>
      <c r="F247" s="6"/>
      <c r="G247" s="6"/>
      <c r="H247" s="6"/>
      <c r="I247" s="6"/>
      <c r="J247" s="6"/>
      <c r="K247" s="7"/>
      <c r="L247" s="7"/>
      <c r="M247" s="7"/>
      <c r="N247" s="7"/>
      <c r="O247" s="69"/>
      <c r="P247" s="69"/>
    </row>
    <row r="248" spans="5:16" x14ac:dyDescent="0.3">
      <c r="E248" s="6"/>
      <c r="F248" s="6"/>
      <c r="G248" s="6"/>
      <c r="H248" s="6"/>
      <c r="I248" s="6"/>
      <c r="J248" s="6"/>
      <c r="K248" s="7"/>
      <c r="L248" s="7"/>
      <c r="M248" s="7"/>
      <c r="N248" s="7"/>
      <c r="O248" s="69"/>
      <c r="P248" s="69"/>
    </row>
    <row r="249" spans="5:16" x14ac:dyDescent="0.3">
      <c r="E249" s="6"/>
      <c r="F249" s="6"/>
      <c r="G249" s="6"/>
      <c r="H249" s="6"/>
      <c r="I249" s="6"/>
      <c r="J249" s="6"/>
      <c r="K249" s="7"/>
      <c r="L249" s="7"/>
      <c r="M249" s="7"/>
      <c r="N249" s="7"/>
      <c r="O249" s="69"/>
      <c r="P249" s="69"/>
    </row>
    <row r="250" spans="5:16" x14ac:dyDescent="0.3">
      <c r="E250" s="6"/>
      <c r="F250" s="6"/>
      <c r="G250" s="6"/>
      <c r="H250" s="6"/>
      <c r="I250" s="6"/>
      <c r="J250" s="6"/>
      <c r="K250" s="7"/>
      <c r="L250" s="7"/>
      <c r="M250" s="7"/>
      <c r="N250" s="7"/>
      <c r="O250" s="69"/>
      <c r="P250" s="69"/>
    </row>
    <row r="251" spans="5:16" x14ac:dyDescent="0.3">
      <c r="E251" s="6"/>
      <c r="F251" s="6"/>
      <c r="G251" s="6"/>
      <c r="H251" s="6"/>
      <c r="I251" s="6"/>
      <c r="J251" s="6"/>
      <c r="K251" s="7"/>
      <c r="L251" s="7"/>
      <c r="M251" s="7"/>
      <c r="N251" s="7"/>
      <c r="O251" s="69"/>
      <c r="P251" s="69"/>
    </row>
    <row r="252" spans="5:16" x14ac:dyDescent="0.3">
      <c r="E252" s="6"/>
      <c r="F252" s="6"/>
      <c r="G252" s="6"/>
      <c r="H252" s="6"/>
      <c r="I252" s="6"/>
      <c r="J252" s="6"/>
      <c r="K252" s="7"/>
      <c r="L252" s="7"/>
      <c r="M252" s="7"/>
      <c r="N252" s="7"/>
      <c r="O252" s="69"/>
      <c r="P252" s="69"/>
    </row>
    <row r="253" spans="5:16" x14ac:dyDescent="0.3">
      <c r="E253" s="6"/>
      <c r="F253" s="6"/>
      <c r="G253" s="6"/>
      <c r="H253" s="6"/>
      <c r="I253" s="6"/>
      <c r="J253" s="6"/>
      <c r="K253" s="7"/>
      <c r="L253" s="7"/>
      <c r="M253" s="7"/>
      <c r="N253" s="7"/>
      <c r="O253" s="69"/>
      <c r="P253" s="69"/>
    </row>
    <row r="254" spans="5:16" x14ac:dyDescent="0.3">
      <c r="E254" s="6"/>
      <c r="F254" s="6"/>
      <c r="G254" s="6"/>
      <c r="H254" s="6"/>
      <c r="I254" s="6"/>
      <c r="J254" s="6"/>
      <c r="K254" s="7"/>
      <c r="L254" s="7"/>
      <c r="M254" s="7"/>
      <c r="N254" s="7"/>
      <c r="O254" s="69"/>
      <c r="P254" s="69"/>
    </row>
    <row r="255" spans="5:16" x14ac:dyDescent="0.3">
      <c r="E255" s="6"/>
      <c r="F255" s="6"/>
      <c r="G255" s="6"/>
      <c r="H255" s="6"/>
      <c r="I255" s="6"/>
      <c r="J255" s="6"/>
      <c r="K255" s="7"/>
      <c r="L255" s="7"/>
      <c r="M255" s="7"/>
      <c r="N255" s="7"/>
      <c r="O255" s="69"/>
      <c r="P255" s="69"/>
    </row>
    <row r="256" spans="5:16" x14ac:dyDescent="0.3">
      <c r="E256" s="6"/>
      <c r="F256" s="6"/>
      <c r="G256" s="6"/>
      <c r="H256" s="6"/>
      <c r="I256" s="6"/>
      <c r="J256" s="6"/>
      <c r="K256" s="7"/>
      <c r="L256" s="7"/>
      <c r="M256" s="7"/>
      <c r="N256" s="7"/>
      <c r="O256" s="69"/>
      <c r="P256" s="69"/>
    </row>
    <row r="257" spans="5:16" x14ac:dyDescent="0.3">
      <c r="E257" s="6"/>
      <c r="F257" s="6"/>
      <c r="G257" s="6"/>
      <c r="H257" s="6"/>
      <c r="I257" s="6"/>
      <c r="J257" s="6"/>
      <c r="K257" s="7"/>
      <c r="L257" s="7"/>
      <c r="M257" s="7"/>
      <c r="N257" s="7"/>
      <c r="O257" s="69"/>
      <c r="P257" s="69"/>
    </row>
    <row r="258" spans="5:16" x14ac:dyDescent="0.3">
      <c r="E258" s="6"/>
      <c r="F258" s="6"/>
      <c r="G258" s="6"/>
      <c r="H258" s="6"/>
      <c r="I258" s="6"/>
      <c r="J258" s="6"/>
      <c r="K258" s="7"/>
      <c r="L258" s="7"/>
      <c r="M258" s="7"/>
      <c r="N258" s="7"/>
      <c r="O258" s="69"/>
      <c r="P258" s="69"/>
    </row>
    <row r="259" spans="5:16" x14ac:dyDescent="0.3">
      <c r="E259" s="6"/>
      <c r="F259" s="6"/>
      <c r="G259" s="6"/>
      <c r="H259" s="6"/>
      <c r="I259" s="6"/>
      <c r="J259" s="6"/>
      <c r="K259" s="7"/>
      <c r="L259" s="7"/>
      <c r="M259" s="7"/>
      <c r="N259" s="7"/>
      <c r="O259" s="69"/>
      <c r="P259" s="69"/>
    </row>
    <row r="260" spans="5:16" x14ac:dyDescent="0.3">
      <c r="E260" s="6"/>
      <c r="F260" s="6"/>
      <c r="G260" s="6"/>
      <c r="H260" s="6"/>
      <c r="I260" s="6"/>
      <c r="J260" s="6"/>
      <c r="K260" s="7"/>
      <c r="L260" s="7"/>
      <c r="M260" s="7"/>
      <c r="N260" s="7"/>
      <c r="O260" s="69"/>
      <c r="P260" s="69"/>
    </row>
    <row r="261" spans="5:16" x14ac:dyDescent="0.3">
      <c r="E261" s="6"/>
      <c r="F261" s="6"/>
      <c r="G261" s="6"/>
      <c r="H261" s="6"/>
      <c r="I261" s="6"/>
      <c r="J261" s="6"/>
      <c r="K261" s="7"/>
      <c r="L261" s="7"/>
      <c r="M261" s="7"/>
      <c r="N261" s="7"/>
      <c r="O261" s="69"/>
      <c r="P261" s="69"/>
    </row>
    <row r="262" spans="5:16" x14ac:dyDescent="0.3">
      <c r="E262" s="6"/>
      <c r="F262" s="6"/>
      <c r="G262" s="6"/>
      <c r="H262" s="6"/>
      <c r="I262" s="6"/>
      <c r="J262" s="6"/>
      <c r="K262" s="7"/>
      <c r="L262" s="7"/>
      <c r="M262" s="7"/>
      <c r="N262" s="7"/>
      <c r="O262" s="69"/>
      <c r="P262" s="69"/>
    </row>
    <row r="263" spans="5:16" x14ac:dyDescent="0.3">
      <c r="E263" s="6"/>
      <c r="F263" s="6"/>
      <c r="G263" s="6"/>
      <c r="H263" s="6"/>
      <c r="I263" s="6"/>
      <c r="J263" s="6"/>
      <c r="K263" s="7"/>
      <c r="L263" s="7"/>
      <c r="M263" s="7"/>
      <c r="N263" s="7"/>
      <c r="O263" s="69"/>
      <c r="P263" s="69"/>
    </row>
    <row r="264" spans="5:16" x14ac:dyDescent="0.3">
      <c r="E264" s="6"/>
      <c r="F264" s="6"/>
      <c r="G264" s="6"/>
      <c r="H264" s="6"/>
      <c r="I264" s="6"/>
      <c r="J264" s="6"/>
      <c r="K264" s="7"/>
      <c r="L264" s="7"/>
      <c r="M264" s="7"/>
      <c r="N264" s="7"/>
      <c r="O264" s="69"/>
      <c r="P264" s="69"/>
    </row>
    <row r="265" spans="5:16" x14ac:dyDescent="0.3">
      <c r="E265" s="6"/>
      <c r="F265" s="6"/>
      <c r="G265" s="6"/>
      <c r="H265" s="6"/>
      <c r="I265" s="6"/>
      <c r="J265" s="6"/>
      <c r="K265" s="7"/>
      <c r="L265" s="7"/>
      <c r="M265" s="7"/>
      <c r="N265" s="7"/>
      <c r="O265" s="69"/>
      <c r="P265" s="69"/>
    </row>
    <row r="266" spans="5:16" x14ac:dyDescent="0.3">
      <c r="E266" s="6"/>
      <c r="F266" s="6"/>
      <c r="G266" s="6"/>
      <c r="H266" s="6"/>
      <c r="I266" s="6"/>
      <c r="J266" s="6"/>
      <c r="K266" s="7"/>
      <c r="L266" s="7"/>
      <c r="M266" s="7"/>
      <c r="N266" s="7"/>
      <c r="O266" s="69"/>
      <c r="P266" s="69"/>
    </row>
    <row r="267" spans="5:16" x14ac:dyDescent="0.3">
      <c r="E267" s="6"/>
      <c r="F267" s="6"/>
      <c r="G267" s="6"/>
      <c r="H267" s="6"/>
      <c r="I267" s="6"/>
      <c r="J267" s="6"/>
      <c r="K267" s="7"/>
      <c r="L267" s="7"/>
      <c r="M267" s="7"/>
      <c r="N267" s="7"/>
      <c r="O267" s="69"/>
      <c r="P267" s="69"/>
    </row>
    <row r="268" spans="5:16" x14ac:dyDescent="0.3">
      <c r="E268" s="6"/>
      <c r="F268" s="6"/>
      <c r="G268" s="6"/>
      <c r="H268" s="6"/>
      <c r="I268" s="6"/>
      <c r="J268" s="6"/>
      <c r="K268" s="7"/>
      <c r="L268" s="7"/>
      <c r="M268" s="7"/>
      <c r="N268" s="7"/>
      <c r="O268" s="69"/>
      <c r="P268" s="69"/>
    </row>
    <row r="269" spans="5:16" x14ac:dyDescent="0.3">
      <c r="E269" s="6"/>
      <c r="F269" s="6"/>
      <c r="G269" s="6"/>
      <c r="H269" s="6"/>
      <c r="I269" s="6"/>
      <c r="J269" s="6"/>
      <c r="K269" s="7"/>
      <c r="L269" s="7"/>
      <c r="M269" s="7"/>
      <c r="N269" s="7"/>
      <c r="O269" s="69"/>
      <c r="P269" s="69"/>
    </row>
    <row r="270" spans="5:16" x14ac:dyDescent="0.3">
      <c r="E270" s="6"/>
      <c r="F270" s="6"/>
      <c r="G270" s="6"/>
      <c r="H270" s="6"/>
      <c r="I270" s="6"/>
      <c r="J270" s="6"/>
      <c r="K270" s="7"/>
      <c r="L270" s="7"/>
      <c r="M270" s="7"/>
      <c r="N270" s="7"/>
      <c r="O270" s="69"/>
      <c r="P270" s="69"/>
    </row>
    <row r="271" spans="5:16" x14ac:dyDescent="0.3">
      <c r="E271" s="6"/>
      <c r="F271" s="6"/>
      <c r="G271" s="6"/>
      <c r="H271" s="6"/>
      <c r="I271" s="6"/>
      <c r="J271" s="6"/>
      <c r="K271" s="7"/>
      <c r="L271" s="7"/>
      <c r="M271" s="7"/>
      <c r="N271" s="7"/>
      <c r="O271" s="69"/>
      <c r="P271" s="69"/>
    </row>
    <row r="272" spans="5:16" x14ac:dyDescent="0.3">
      <c r="E272" s="6"/>
      <c r="F272" s="6"/>
      <c r="G272" s="6"/>
      <c r="H272" s="6"/>
      <c r="I272" s="6"/>
      <c r="J272" s="6"/>
      <c r="K272" s="7"/>
      <c r="L272" s="7"/>
      <c r="M272" s="7"/>
      <c r="N272" s="7"/>
      <c r="O272" s="69"/>
      <c r="P272" s="69"/>
    </row>
    <row r="273" spans="5:16" x14ac:dyDescent="0.3">
      <c r="E273" s="6"/>
      <c r="F273" s="6"/>
      <c r="G273" s="6"/>
      <c r="H273" s="6"/>
      <c r="I273" s="6"/>
      <c r="J273" s="6"/>
      <c r="K273" s="7"/>
      <c r="L273" s="7"/>
      <c r="M273" s="7"/>
      <c r="N273" s="7"/>
      <c r="O273" s="69"/>
      <c r="P273" s="69"/>
    </row>
    <row r="274" spans="5:16" x14ac:dyDescent="0.3">
      <c r="E274" s="6"/>
      <c r="F274" s="6"/>
      <c r="G274" s="6"/>
      <c r="H274" s="6"/>
      <c r="I274" s="6"/>
      <c r="J274" s="6"/>
      <c r="K274" s="7"/>
      <c r="L274" s="7"/>
      <c r="M274" s="7"/>
      <c r="N274" s="7"/>
      <c r="O274" s="69"/>
      <c r="P274" s="69"/>
    </row>
    <row r="275" spans="5:16" x14ac:dyDescent="0.3">
      <c r="E275" s="6"/>
      <c r="F275" s="6"/>
      <c r="G275" s="6"/>
      <c r="H275" s="6"/>
      <c r="I275" s="6"/>
      <c r="J275" s="6"/>
      <c r="K275" s="7"/>
      <c r="L275" s="7"/>
      <c r="M275" s="7"/>
      <c r="N275" s="7"/>
      <c r="O275" s="69"/>
      <c r="P275" s="69"/>
    </row>
    <row r="276" spans="5:16" x14ac:dyDescent="0.3">
      <c r="E276" s="6"/>
      <c r="F276" s="6"/>
      <c r="G276" s="6"/>
      <c r="H276" s="6"/>
      <c r="I276" s="6"/>
      <c r="J276" s="6"/>
      <c r="K276" s="7"/>
      <c r="L276" s="7"/>
      <c r="M276" s="7"/>
      <c r="N276" s="7"/>
      <c r="O276" s="69"/>
      <c r="P276" s="69"/>
    </row>
    <row r="277" spans="5:16" x14ac:dyDescent="0.3">
      <c r="E277" s="6"/>
      <c r="F277" s="6"/>
      <c r="G277" s="6"/>
      <c r="H277" s="6"/>
      <c r="I277" s="6"/>
      <c r="J277" s="6"/>
      <c r="K277" s="7"/>
      <c r="L277" s="7"/>
      <c r="M277" s="7"/>
      <c r="N277" s="7"/>
      <c r="O277" s="69"/>
      <c r="P277" s="69"/>
    </row>
    <row r="278" spans="5:16" x14ac:dyDescent="0.3">
      <c r="E278" s="6"/>
      <c r="F278" s="6"/>
      <c r="G278" s="6"/>
      <c r="H278" s="6"/>
      <c r="I278" s="6"/>
      <c r="J278" s="6"/>
      <c r="K278" s="7"/>
      <c r="L278" s="7"/>
      <c r="M278" s="7"/>
      <c r="N278" s="7"/>
      <c r="O278" s="69"/>
      <c r="P278" s="69"/>
    </row>
    <row r="279" spans="5:16" x14ac:dyDescent="0.3">
      <c r="E279" s="6"/>
      <c r="F279" s="6"/>
      <c r="G279" s="6"/>
      <c r="H279" s="6"/>
      <c r="I279" s="6"/>
      <c r="J279" s="6"/>
      <c r="K279" s="7"/>
      <c r="L279" s="7"/>
      <c r="M279" s="7"/>
      <c r="N279" s="7"/>
      <c r="O279" s="69"/>
      <c r="P279" s="69"/>
    </row>
    <row r="280" spans="5:16" x14ac:dyDescent="0.3">
      <c r="E280" s="6"/>
      <c r="F280" s="6"/>
      <c r="G280" s="6"/>
      <c r="H280" s="6"/>
      <c r="I280" s="6"/>
      <c r="J280" s="6"/>
      <c r="K280" s="7"/>
      <c r="L280" s="7"/>
      <c r="M280" s="7"/>
      <c r="N280" s="7"/>
      <c r="O280" s="69"/>
      <c r="P280" s="69"/>
    </row>
    <row r="281" spans="5:16" x14ac:dyDescent="0.3">
      <c r="E281" s="6"/>
      <c r="F281" s="6"/>
      <c r="G281" s="6"/>
      <c r="H281" s="6"/>
      <c r="I281" s="6"/>
      <c r="J281" s="6"/>
      <c r="K281" s="7"/>
      <c r="L281" s="7"/>
      <c r="M281" s="7"/>
      <c r="N281" s="7"/>
      <c r="O281" s="69"/>
      <c r="P281" s="69"/>
    </row>
    <row r="282" spans="5:16" x14ac:dyDescent="0.3">
      <c r="E282" s="6"/>
      <c r="F282" s="6"/>
      <c r="G282" s="6"/>
      <c r="H282" s="6"/>
      <c r="I282" s="6"/>
      <c r="J282" s="6"/>
      <c r="K282" s="7"/>
      <c r="L282" s="7"/>
      <c r="M282" s="7"/>
      <c r="N282" s="7"/>
      <c r="O282" s="69"/>
      <c r="P282" s="69"/>
    </row>
    <row r="283" spans="5:16" x14ac:dyDescent="0.3">
      <c r="E283" s="6"/>
      <c r="F283" s="6"/>
      <c r="G283" s="6"/>
      <c r="H283" s="6"/>
      <c r="I283" s="6"/>
      <c r="J283" s="6"/>
      <c r="K283" s="7"/>
      <c r="L283" s="7"/>
      <c r="M283" s="7"/>
      <c r="N283" s="7"/>
      <c r="O283" s="69"/>
      <c r="P283" s="69"/>
    </row>
    <row r="284" spans="5:16" x14ac:dyDescent="0.3">
      <c r="E284" s="6"/>
      <c r="F284" s="6"/>
      <c r="G284" s="6"/>
      <c r="H284" s="6"/>
      <c r="I284" s="6"/>
      <c r="J284" s="6"/>
      <c r="K284" s="7"/>
      <c r="L284" s="7"/>
      <c r="M284" s="7"/>
      <c r="N284" s="7"/>
      <c r="O284" s="69"/>
      <c r="P284" s="69"/>
    </row>
    <row r="285" spans="5:16" x14ac:dyDescent="0.3">
      <c r="E285" s="6"/>
      <c r="F285" s="6"/>
      <c r="G285" s="6"/>
      <c r="H285" s="6"/>
      <c r="I285" s="6"/>
      <c r="J285" s="6"/>
      <c r="K285" s="7"/>
      <c r="L285" s="7"/>
      <c r="M285" s="7"/>
      <c r="N285" s="7"/>
      <c r="O285" s="69"/>
      <c r="P285" s="69"/>
    </row>
    <row r="286" spans="5:16" x14ac:dyDescent="0.3">
      <c r="E286" s="6"/>
      <c r="F286" s="6"/>
      <c r="G286" s="6"/>
      <c r="H286" s="6"/>
      <c r="I286" s="6"/>
      <c r="J286" s="6"/>
      <c r="K286" s="7"/>
      <c r="L286" s="7"/>
      <c r="M286" s="7"/>
      <c r="N286" s="7"/>
      <c r="O286" s="69"/>
      <c r="P286" s="69"/>
    </row>
    <row r="287" spans="5:16" x14ac:dyDescent="0.3">
      <c r="E287" s="6"/>
      <c r="F287" s="6"/>
      <c r="G287" s="6"/>
      <c r="H287" s="6"/>
      <c r="I287" s="6"/>
      <c r="J287" s="6"/>
      <c r="K287" s="7"/>
      <c r="L287" s="7"/>
      <c r="M287" s="7"/>
      <c r="N287" s="7"/>
      <c r="O287" s="69"/>
      <c r="P287" s="69"/>
    </row>
    <row r="288" spans="5:16" x14ac:dyDescent="0.3">
      <c r="E288" s="6"/>
      <c r="F288" s="6"/>
      <c r="G288" s="6"/>
      <c r="H288" s="6"/>
      <c r="I288" s="6"/>
      <c r="J288" s="6"/>
      <c r="K288" s="7"/>
      <c r="L288" s="7"/>
      <c r="M288" s="7"/>
      <c r="N288" s="7"/>
      <c r="O288" s="69"/>
      <c r="P288" s="69"/>
    </row>
    <row r="289" spans="5:16" x14ac:dyDescent="0.3">
      <c r="E289" s="6"/>
      <c r="F289" s="6"/>
      <c r="G289" s="6"/>
      <c r="H289" s="6"/>
      <c r="I289" s="6"/>
      <c r="J289" s="6"/>
      <c r="K289" s="7"/>
      <c r="L289" s="7"/>
      <c r="M289" s="7"/>
      <c r="N289" s="7"/>
      <c r="O289" s="69"/>
      <c r="P289" s="69"/>
    </row>
    <row r="290" spans="5:16" x14ac:dyDescent="0.3">
      <c r="E290" s="6"/>
      <c r="F290" s="6"/>
      <c r="G290" s="6"/>
      <c r="H290" s="6"/>
      <c r="I290" s="6"/>
      <c r="J290" s="6"/>
      <c r="K290" s="7"/>
      <c r="L290" s="7"/>
      <c r="M290" s="7"/>
      <c r="N290" s="7"/>
      <c r="O290" s="69"/>
      <c r="P290" s="69"/>
    </row>
    <row r="291" spans="5:16" x14ac:dyDescent="0.3">
      <c r="E291" s="6"/>
      <c r="F291" s="6"/>
      <c r="G291" s="6"/>
      <c r="H291" s="6"/>
      <c r="I291" s="6"/>
      <c r="J291" s="6"/>
      <c r="K291" s="7"/>
      <c r="L291" s="7"/>
      <c r="M291" s="7"/>
      <c r="N291" s="7"/>
      <c r="O291" s="69"/>
      <c r="P291" s="69"/>
    </row>
    <row r="292" spans="5:16" x14ac:dyDescent="0.3">
      <c r="E292" s="6"/>
      <c r="F292" s="6"/>
      <c r="G292" s="6"/>
      <c r="H292" s="6"/>
      <c r="I292" s="6"/>
      <c r="J292" s="6"/>
      <c r="K292" s="7"/>
      <c r="L292" s="7"/>
      <c r="M292" s="7"/>
      <c r="N292" s="7"/>
      <c r="O292" s="69"/>
      <c r="P292" s="69"/>
    </row>
    <row r="293" spans="5:16" x14ac:dyDescent="0.3">
      <c r="E293" s="6"/>
      <c r="F293" s="6"/>
      <c r="G293" s="6"/>
      <c r="H293" s="6"/>
      <c r="I293" s="6"/>
      <c r="J293" s="6"/>
      <c r="K293" s="7"/>
      <c r="L293" s="7"/>
      <c r="M293" s="7"/>
      <c r="N293" s="7"/>
      <c r="O293" s="69"/>
      <c r="P293" s="69"/>
    </row>
    <row r="294" spans="5:16" x14ac:dyDescent="0.3">
      <c r="E294" s="6"/>
      <c r="F294" s="6"/>
      <c r="G294" s="6"/>
      <c r="H294" s="6"/>
      <c r="I294" s="6"/>
      <c r="J294" s="6"/>
      <c r="K294" s="7"/>
      <c r="L294" s="7"/>
      <c r="M294" s="7"/>
      <c r="N294" s="7"/>
      <c r="O294" s="69"/>
      <c r="P294" s="69"/>
    </row>
    <row r="295" spans="5:16" x14ac:dyDescent="0.3">
      <c r="E295" s="6"/>
      <c r="F295" s="6"/>
      <c r="G295" s="6"/>
      <c r="H295" s="6"/>
      <c r="I295" s="6"/>
      <c r="J295" s="6"/>
      <c r="K295" s="7"/>
      <c r="L295" s="7"/>
      <c r="M295" s="7"/>
      <c r="N295" s="7"/>
      <c r="O295" s="69"/>
      <c r="P295" s="69"/>
    </row>
    <row r="296" spans="5:16" x14ac:dyDescent="0.3">
      <c r="E296" s="6"/>
      <c r="F296" s="6"/>
      <c r="G296" s="6"/>
      <c r="H296" s="6"/>
      <c r="I296" s="6"/>
      <c r="J296" s="6"/>
      <c r="K296" s="7"/>
      <c r="L296" s="7"/>
      <c r="M296" s="7"/>
      <c r="N296" s="7"/>
      <c r="O296" s="69"/>
      <c r="P296" s="69"/>
    </row>
    <row r="297" spans="5:16" x14ac:dyDescent="0.3">
      <c r="E297" s="6"/>
      <c r="F297" s="6"/>
      <c r="G297" s="6"/>
      <c r="H297" s="6"/>
      <c r="I297" s="6"/>
      <c r="J297" s="6"/>
      <c r="K297" s="7"/>
      <c r="L297" s="7"/>
      <c r="M297" s="7"/>
      <c r="N297" s="7"/>
      <c r="O297" s="69"/>
      <c r="P297" s="69"/>
    </row>
    <row r="298" spans="5:16" x14ac:dyDescent="0.3">
      <c r="E298" s="6"/>
      <c r="F298" s="6"/>
      <c r="G298" s="6"/>
      <c r="H298" s="6"/>
      <c r="I298" s="6"/>
      <c r="J298" s="6"/>
      <c r="K298" s="7"/>
      <c r="L298" s="7"/>
      <c r="M298" s="7"/>
      <c r="N298" s="7"/>
      <c r="O298" s="69"/>
      <c r="P298" s="69"/>
    </row>
    <row r="299" spans="5:16" x14ac:dyDescent="0.3">
      <c r="E299" s="6"/>
      <c r="F299" s="6"/>
      <c r="G299" s="6"/>
      <c r="H299" s="6"/>
      <c r="I299" s="6"/>
      <c r="J299" s="6"/>
      <c r="K299" s="7"/>
      <c r="L299" s="7"/>
      <c r="M299" s="7"/>
      <c r="N299" s="7"/>
      <c r="O299" s="69"/>
      <c r="P299" s="69"/>
    </row>
    <row r="300" spans="5:16" x14ac:dyDescent="0.3">
      <c r="E300" s="6"/>
      <c r="F300" s="6"/>
      <c r="G300" s="6"/>
      <c r="H300" s="6"/>
      <c r="I300" s="6"/>
      <c r="J300" s="6"/>
      <c r="K300" s="7"/>
      <c r="L300" s="7"/>
      <c r="M300" s="7"/>
      <c r="N300" s="7"/>
      <c r="O300" s="69"/>
      <c r="P300" s="69"/>
    </row>
    <row r="301" spans="5:16" x14ac:dyDescent="0.3">
      <c r="E301" s="6"/>
      <c r="F301" s="6"/>
      <c r="G301" s="6"/>
      <c r="H301" s="6"/>
      <c r="I301" s="6"/>
      <c r="J301" s="6"/>
      <c r="K301" s="7"/>
      <c r="L301" s="7"/>
      <c r="M301" s="7"/>
      <c r="N301" s="7"/>
      <c r="O301" s="69"/>
      <c r="P301" s="69"/>
    </row>
    <row r="302" spans="5:16" x14ac:dyDescent="0.3">
      <c r="E302" s="6"/>
      <c r="F302" s="6"/>
      <c r="G302" s="6"/>
      <c r="H302" s="6"/>
      <c r="I302" s="6"/>
      <c r="J302" s="6"/>
      <c r="K302" s="7"/>
      <c r="L302" s="7"/>
      <c r="M302" s="7"/>
      <c r="N302" s="7"/>
      <c r="O302" s="69"/>
      <c r="P302" s="69"/>
    </row>
    <row r="303" spans="5:16" x14ac:dyDescent="0.3">
      <c r="E303" s="6"/>
      <c r="F303" s="6"/>
      <c r="G303" s="6"/>
      <c r="H303" s="6"/>
      <c r="I303" s="6"/>
      <c r="J303" s="6"/>
      <c r="K303" s="7"/>
      <c r="L303" s="7"/>
      <c r="M303" s="7"/>
      <c r="N303" s="7"/>
      <c r="O303" s="69"/>
      <c r="P303" s="69"/>
    </row>
    <row r="304" spans="5:16" x14ac:dyDescent="0.3">
      <c r="E304" s="6"/>
      <c r="F304" s="6"/>
      <c r="G304" s="6"/>
      <c r="H304" s="6"/>
      <c r="I304" s="6"/>
      <c r="J304" s="6"/>
      <c r="K304" s="7"/>
      <c r="L304" s="7"/>
      <c r="M304" s="7"/>
      <c r="N304" s="7"/>
      <c r="O304" s="69"/>
      <c r="P304" s="69"/>
    </row>
    <row r="305" spans="5:16" x14ac:dyDescent="0.3">
      <c r="E305" s="6"/>
      <c r="F305" s="6"/>
      <c r="G305" s="6"/>
      <c r="H305" s="6"/>
      <c r="I305" s="6"/>
      <c r="J305" s="6"/>
      <c r="K305" s="7"/>
      <c r="L305" s="7"/>
      <c r="M305" s="7"/>
      <c r="N305" s="7"/>
      <c r="O305" s="69"/>
      <c r="P305" s="69"/>
    </row>
    <row r="306" spans="5:16" x14ac:dyDescent="0.3">
      <c r="E306" s="6"/>
      <c r="F306" s="6"/>
      <c r="G306" s="6"/>
      <c r="H306" s="6"/>
      <c r="I306" s="6"/>
      <c r="J306" s="6"/>
      <c r="K306" s="7"/>
      <c r="L306" s="7"/>
      <c r="M306" s="7"/>
      <c r="N306" s="7"/>
      <c r="O306" s="69"/>
      <c r="P306" s="69"/>
    </row>
    <row r="307" spans="5:16" x14ac:dyDescent="0.3">
      <c r="E307" s="6"/>
      <c r="F307" s="6"/>
      <c r="G307" s="6"/>
      <c r="H307" s="6"/>
      <c r="I307" s="6"/>
      <c r="J307" s="6"/>
      <c r="K307" s="7"/>
      <c r="L307" s="7"/>
      <c r="M307" s="7"/>
      <c r="N307" s="7"/>
      <c r="O307" s="69"/>
      <c r="P307" s="69"/>
    </row>
    <row r="308" spans="5:16" x14ac:dyDescent="0.3">
      <c r="E308" s="6"/>
      <c r="F308" s="6"/>
      <c r="G308" s="6"/>
      <c r="H308" s="6"/>
      <c r="I308" s="6"/>
      <c r="J308" s="6"/>
      <c r="K308" s="7"/>
      <c r="L308" s="7"/>
      <c r="M308" s="7"/>
      <c r="N308" s="7"/>
      <c r="O308" s="69"/>
      <c r="P308" s="69"/>
    </row>
    <row r="309" spans="5:16" x14ac:dyDescent="0.3">
      <c r="E309" s="6"/>
      <c r="F309" s="6"/>
      <c r="G309" s="6"/>
      <c r="H309" s="6"/>
      <c r="I309" s="6"/>
      <c r="J309" s="6"/>
      <c r="K309" s="7"/>
      <c r="L309" s="7"/>
      <c r="M309" s="7"/>
      <c r="N309" s="7"/>
      <c r="O309" s="69"/>
      <c r="P309" s="69"/>
    </row>
    <row r="310" spans="5:16" x14ac:dyDescent="0.3">
      <c r="E310" s="6"/>
      <c r="F310" s="6"/>
      <c r="G310" s="6"/>
      <c r="H310" s="6"/>
      <c r="I310" s="6"/>
      <c r="J310" s="6"/>
      <c r="K310" s="7"/>
      <c r="L310" s="7"/>
      <c r="M310" s="7"/>
      <c r="N310" s="7"/>
      <c r="O310" s="69"/>
      <c r="P310" s="69"/>
    </row>
    <row r="311" spans="5:16" x14ac:dyDescent="0.3">
      <c r="E311" s="6"/>
      <c r="F311" s="6"/>
      <c r="G311" s="6"/>
      <c r="H311" s="6"/>
      <c r="I311" s="6"/>
      <c r="J311" s="6"/>
      <c r="K311" s="7"/>
      <c r="L311" s="7"/>
      <c r="M311" s="7"/>
      <c r="N311" s="7"/>
      <c r="O311" s="69"/>
      <c r="P311" s="69"/>
    </row>
    <row r="312" spans="5:16" x14ac:dyDescent="0.3">
      <c r="E312" s="6"/>
      <c r="F312" s="6"/>
      <c r="G312" s="6"/>
      <c r="H312" s="6"/>
      <c r="I312" s="6"/>
      <c r="J312" s="6"/>
      <c r="K312" s="7"/>
      <c r="L312" s="7"/>
      <c r="M312" s="7"/>
      <c r="N312" s="7"/>
      <c r="O312" s="69"/>
      <c r="P312" s="69"/>
    </row>
    <row r="313" spans="5:16" x14ac:dyDescent="0.3">
      <c r="E313" s="6"/>
      <c r="F313" s="6"/>
      <c r="G313" s="6"/>
      <c r="H313" s="6"/>
      <c r="I313" s="6"/>
      <c r="J313" s="6"/>
      <c r="K313" s="7"/>
      <c r="L313" s="7"/>
      <c r="M313" s="7"/>
      <c r="N313" s="7"/>
      <c r="O313" s="69"/>
      <c r="P313" s="69"/>
    </row>
    <row r="314" spans="5:16" x14ac:dyDescent="0.3">
      <c r="E314" s="6"/>
      <c r="F314" s="6"/>
      <c r="G314" s="6"/>
      <c r="H314" s="6"/>
      <c r="I314" s="6"/>
      <c r="J314" s="6"/>
      <c r="K314" s="7"/>
      <c r="L314" s="7"/>
      <c r="M314" s="7"/>
      <c r="N314" s="7"/>
      <c r="O314" s="69"/>
      <c r="P314" s="69"/>
    </row>
    <row r="315" spans="5:16" x14ac:dyDescent="0.3">
      <c r="E315" s="6"/>
      <c r="F315" s="6"/>
      <c r="G315" s="6"/>
      <c r="H315" s="6"/>
      <c r="I315" s="6"/>
      <c r="J315" s="6"/>
      <c r="K315" s="7"/>
      <c r="L315" s="7"/>
      <c r="M315" s="7"/>
      <c r="N315" s="7"/>
      <c r="O315" s="69"/>
      <c r="P315" s="69"/>
    </row>
    <row r="316" spans="5:16" x14ac:dyDescent="0.3">
      <c r="E316" s="6"/>
      <c r="F316" s="6"/>
      <c r="G316" s="6"/>
      <c r="H316" s="6"/>
      <c r="I316" s="6"/>
      <c r="J316" s="6"/>
      <c r="K316" s="7"/>
      <c r="L316" s="7"/>
      <c r="M316" s="7"/>
      <c r="N316" s="7"/>
      <c r="O316" s="69"/>
      <c r="P316" s="69"/>
    </row>
    <row r="317" spans="5:16" x14ac:dyDescent="0.3">
      <c r="E317" s="6"/>
      <c r="F317" s="6"/>
      <c r="G317" s="6"/>
      <c r="H317" s="6"/>
      <c r="I317" s="6"/>
      <c r="J317" s="6"/>
      <c r="K317" s="7"/>
      <c r="L317" s="7"/>
      <c r="M317" s="7"/>
      <c r="N317" s="7"/>
      <c r="O317" s="69"/>
      <c r="P317" s="69"/>
    </row>
    <row r="318" spans="5:16" x14ac:dyDescent="0.3">
      <c r="E318" s="6"/>
      <c r="F318" s="6"/>
      <c r="G318" s="6"/>
      <c r="H318" s="6"/>
      <c r="I318" s="6"/>
      <c r="J318" s="6"/>
      <c r="K318" s="7"/>
      <c r="L318" s="7"/>
      <c r="M318" s="7"/>
      <c r="N318" s="7"/>
      <c r="O318" s="69"/>
      <c r="P318" s="69"/>
    </row>
    <row r="319" spans="5:16" x14ac:dyDescent="0.3">
      <c r="E319" s="6"/>
      <c r="F319" s="6"/>
      <c r="G319" s="6"/>
      <c r="H319" s="6"/>
      <c r="I319" s="6"/>
      <c r="J319" s="6"/>
      <c r="K319" s="7"/>
      <c r="L319" s="7"/>
      <c r="M319" s="7"/>
      <c r="N319" s="7"/>
      <c r="O319" s="69"/>
      <c r="P319" s="69"/>
    </row>
    <row r="320" spans="5:16" x14ac:dyDescent="0.3">
      <c r="E320" s="6"/>
      <c r="F320" s="6"/>
      <c r="G320" s="6"/>
      <c r="H320" s="6"/>
      <c r="I320" s="6"/>
      <c r="J320" s="6"/>
      <c r="K320" s="7"/>
      <c r="L320" s="7"/>
      <c r="M320" s="7"/>
      <c r="N320" s="7"/>
      <c r="O320" s="69"/>
      <c r="P320" s="69"/>
    </row>
    <row r="321" spans="5:16" x14ac:dyDescent="0.3">
      <c r="E321" s="6"/>
      <c r="F321" s="6"/>
      <c r="G321" s="6"/>
      <c r="H321" s="6"/>
      <c r="I321" s="6"/>
      <c r="J321" s="6"/>
      <c r="K321" s="7"/>
      <c r="L321" s="7"/>
      <c r="M321" s="7"/>
      <c r="N321" s="7"/>
      <c r="O321" s="69"/>
      <c r="P321" s="69"/>
    </row>
    <row r="322" spans="5:16" x14ac:dyDescent="0.3">
      <c r="E322" s="6"/>
      <c r="F322" s="6"/>
      <c r="G322" s="6"/>
      <c r="H322" s="6"/>
      <c r="I322" s="6"/>
      <c r="J322" s="6"/>
      <c r="K322" s="7"/>
      <c r="L322" s="7"/>
      <c r="M322" s="7"/>
      <c r="N322" s="7"/>
      <c r="O322" s="69"/>
      <c r="P322" s="69"/>
    </row>
    <row r="323" spans="5:16" x14ac:dyDescent="0.3">
      <c r="E323" s="6"/>
      <c r="F323" s="6"/>
      <c r="G323" s="6"/>
      <c r="H323" s="6"/>
      <c r="I323" s="6"/>
      <c r="J323" s="6"/>
      <c r="K323" s="7"/>
      <c r="L323" s="7"/>
      <c r="M323" s="7"/>
      <c r="N323" s="7"/>
      <c r="O323" s="69"/>
      <c r="P323" s="69"/>
    </row>
    <row r="324" spans="5:16" x14ac:dyDescent="0.3">
      <c r="E324" s="6"/>
      <c r="F324" s="6"/>
      <c r="G324" s="6"/>
      <c r="H324" s="6"/>
      <c r="I324" s="6"/>
      <c r="J324" s="6"/>
      <c r="K324" s="7"/>
      <c r="L324" s="7"/>
      <c r="M324" s="7"/>
      <c r="N324" s="7"/>
      <c r="O324" s="69"/>
      <c r="P324" s="69"/>
    </row>
    <row r="325" spans="5:16" x14ac:dyDescent="0.3">
      <c r="E325" s="6"/>
      <c r="F325" s="6"/>
      <c r="G325" s="6"/>
      <c r="H325" s="6"/>
      <c r="I325" s="6"/>
      <c r="J325" s="6"/>
      <c r="K325" s="7"/>
      <c r="L325" s="7"/>
      <c r="M325" s="7"/>
      <c r="N325" s="7"/>
      <c r="O325" s="69"/>
      <c r="P325" s="69"/>
    </row>
    <row r="326" spans="5:16" x14ac:dyDescent="0.3">
      <c r="E326" s="6"/>
      <c r="F326" s="6"/>
      <c r="G326" s="6"/>
      <c r="H326" s="6"/>
      <c r="I326" s="6"/>
      <c r="J326" s="6"/>
      <c r="K326" s="7"/>
      <c r="L326" s="7"/>
      <c r="M326" s="7"/>
      <c r="N326" s="7"/>
      <c r="O326" s="69"/>
      <c r="P326" s="69"/>
    </row>
    <row r="327" spans="5:16" x14ac:dyDescent="0.3">
      <c r="E327" s="6"/>
      <c r="F327" s="6"/>
      <c r="G327" s="6"/>
      <c r="H327" s="6"/>
      <c r="I327" s="6"/>
      <c r="J327" s="6"/>
      <c r="K327" s="7"/>
      <c r="L327" s="7"/>
      <c r="M327" s="7"/>
      <c r="N327" s="7"/>
      <c r="O327" s="69"/>
      <c r="P327" s="69"/>
    </row>
    <row r="328" spans="5:16" x14ac:dyDescent="0.3">
      <c r="E328" s="6"/>
      <c r="F328" s="6"/>
      <c r="G328" s="6"/>
      <c r="H328" s="6"/>
      <c r="I328" s="6"/>
      <c r="J328" s="6"/>
      <c r="K328" s="7"/>
      <c r="L328" s="7"/>
      <c r="M328" s="7"/>
      <c r="N328" s="7"/>
      <c r="O328" s="69"/>
      <c r="P328" s="69"/>
    </row>
    <row r="329" spans="5:16" x14ac:dyDescent="0.3">
      <c r="E329" s="6"/>
      <c r="F329" s="6"/>
      <c r="G329" s="6"/>
      <c r="H329" s="6"/>
      <c r="I329" s="6"/>
      <c r="J329" s="6"/>
      <c r="K329" s="7"/>
      <c r="L329" s="7"/>
      <c r="M329" s="7"/>
      <c r="N329" s="7"/>
      <c r="O329" s="69"/>
      <c r="P329" s="69"/>
    </row>
    <row r="330" spans="5:16" x14ac:dyDescent="0.3">
      <c r="E330" s="6"/>
      <c r="F330" s="6"/>
      <c r="G330" s="6"/>
      <c r="H330" s="6"/>
      <c r="I330" s="6"/>
      <c r="J330" s="6"/>
      <c r="K330" s="7"/>
      <c r="L330" s="7"/>
      <c r="M330" s="7"/>
      <c r="N330" s="7"/>
      <c r="O330" s="69"/>
      <c r="P330" s="69"/>
    </row>
    <row r="331" spans="5:16" x14ac:dyDescent="0.3">
      <c r="E331" s="6"/>
      <c r="F331" s="6"/>
      <c r="G331" s="6"/>
      <c r="H331" s="6"/>
      <c r="I331" s="6"/>
      <c r="J331" s="6"/>
      <c r="K331" s="7"/>
      <c r="L331" s="7"/>
      <c r="M331" s="7"/>
      <c r="N331" s="7"/>
      <c r="O331" s="69"/>
      <c r="P331" s="69"/>
    </row>
    <row r="332" spans="5:16" x14ac:dyDescent="0.3">
      <c r="E332" s="6"/>
      <c r="F332" s="6"/>
      <c r="G332" s="6"/>
      <c r="H332" s="6"/>
      <c r="I332" s="6"/>
      <c r="J332" s="6"/>
      <c r="K332" s="7"/>
      <c r="L332" s="7"/>
      <c r="M332" s="7"/>
      <c r="N332" s="7"/>
      <c r="O332" s="69"/>
      <c r="P332" s="69"/>
    </row>
    <row r="333" spans="5:16" x14ac:dyDescent="0.3">
      <c r="E333" s="6"/>
      <c r="F333" s="6"/>
      <c r="G333" s="6"/>
      <c r="H333" s="6"/>
      <c r="I333" s="6"/>
      <c r="J333" s="6"/>
      <c r="K333" s="7"/>
      <c r="L333" s="7"/>
      <c r="M333" s="7"/>
      <c r="N333" s="7"/>
      <c r="O333" s="69"/>
      <c r="P333" s="69"/>
    </row>
    <row r="334" spans="5:16" x14ac:dyDescent="0.3">
      <c r="E334" s="6"/>
      <c r="F334" s="6"/>
      <c r="G334" s="6"/>
      <c r="H334" s="6"/>
      <c r="I334" s="6"/>
      <c r="J334" s="6"/>
      <c r="K334" s="7"/>
      <c r="L334" s="7"/>
      <c r="M334" s="7"/>
      <c r="N334" s="7"/>
      <c r="O334" s="69"/>
      <c r="P334" s="69"/>
    </row>
    <row r="335" spans="5:16" x14ac:dyDescent="0.3">
      <c r="E335" s="6"/>
      <c r="F335" s="6"/>
      <c r="G335" s="6"/>
      <c r="H335" s="6"/>
      <c r="I335" s="6"/>
      <c r="J335" s="6"/>
      <c r="K335" s="7"/>
      <c r="L335" s="7"/>
      <c r="M335" s="7"/>
      <c r="N335" s="7"/>
      <c r="O335" s="69"/>
      <c r="P335" s="69"/>
    </row>
    <row r="336" spans="5:16" x14ac:dyDescent="0.3">
      <c r="E336" s="6"/>
      <c r="F336" s="6"/>
      <c r="G336" s="6"/>
      <c r="H336" s="6"/>
      <c r="I336" s="6"/>
      <c r="J336" s="6"/>
      <c r="K336" s="7"/>
      <c r="L336" s="7"/>
      <c r="M336" s="7"/>
      <c r="N336" s="7"/>
      <c r="O336" s="69"/>
      <c r="P336" s="69"/>
    </row>
    <row r="337" spans="5:16" x14ac:dyDescent="0.3">
      <c r="E337" s="6"/>
      <c r="F337" s="6"/>
      <c r="G337" s="6"/>
      <c r="H337" s="6"/>
      <c r="I337" s="6"/>
      <c r="J337" s="6"/>
      <c r="K337" s="7"/>
      <c r="L337" s="7"/>
      <c r="M337" s="7"/>
      <c r="N337" s="7"/>
      <c r="O337" s="69"/>
      <c r="P337" s="69"/>
    </row>
    <row r="338" spans="5:16" x14ac:dyDescent="0.3">
      <c r="E338" s="6"/>
      <c r="F338" s="6"/>
      <c r="G338" s="6"/>
      <c r="H338" s="6"/>
      <c r="I338" s="6"/>
      <c r="J338" s="6"/>
      <c r="K338" s="7"/>
      <c r="L338" s="7"/>
      <c r="M338" s="7"/>
      <c r="N338" s="7"/>
      <c r="O338" s="69"/>
      <c r="P338" s="69"/>
    </row>
    <row r="339" spans="5:16" x14ac:dyDescent="0.3">
      <c r="E339" s="6"/>
      <c r="F339" s="6"/>
      <c r="G339" s="6"/>
      <c r="H339" s="6"/>
      <c r="I339" s="6"/>
      <c r="J339" s="6"/>
      <c r="K339" s="7"/>
      <c r="L339" s="7"/>
      <c r="M339" s="7"/>
      <c r="N339" s="7"/>
      <c r="O339" s="69"/>
      <c r="P339" s="69"/>
    </row>
    <row r="340" spans="5:16" x14ac:dyDescent="0.3">
      <c r="E340" s="6"/>
      <c r="F340" s="6"/>
      <c r="G340" s="6"/>
      <c r="H340" s="6"/>
      <c r="I340" s="6"/>
      <c r="J340" s="6"/>
      <c r="K340" s="7"/>
      <c r="L340" s="7"/>
      <c r="M340" s="7"/>
      <c r="N340" s="7"/>
      <c r="O340" s="69"/>
      <c r="P340" s="69"/>
    </row>
    <row r="341" spans="5:16" x14ac:dyDescent="0.3">
      <c r="E341" s="6"/>
      <c r="F341" s="6"/>
      <c r="G341" s="6"/>
      <c r="H341" s="6"/>
      <c r="I341" s="6"/>
      <c r="J341" s="6"/>
      <c r="K341" s="7"/>
      <c r="L341" s="7"/>
      <c r="M341" s="7"/>
      <c r="N341" s="7"/>
      <c r="O341" s="69"/>
      <c r="P341" s="69"/>
    </row>
    <row r="342" spans="5:16" x14ac:dyDescent="0.3">
      <c r="E342" s="6"/>
      <c r="F342" s="6"/>
      <c r="G342" s="6"/>
      <c r="H342" s="6"/>
      <c r="I342" s="6"/>
      <c r="J342" s="6"/>
      <c r="K342" s="7"/>
      <c r="L342" s="7"/>
      <c r="M342" s="7"/>
      <c r="N342" s="7"/>
      <c r="O342" s="69"/>
      <c r="P342" s="69"/>
    </row>
    <row r="343" spans="5:16" x14ac:dyDescent="0.3">
      <c r="E343" s="6"/>
      <c r="F343" s="6"/>
      <c r="G343" s="6"/>
      <c r="H343" s="6"/>
      <c r="I343" s="6"/>
      <c r="J343" s="6"/>
      <c r="K343" s="7"/>
      <c r="L343" s="7"/>
      <c r="M343" s="7"/>
      <c r="N343" s="7"/>
      <c r="O343" s="69"/>
      <c r="P343" s="69"/>
    </row>
    <row r="344" spans="5:16" x14ac:dyDescent="0.3">
      <c r="E344" s="6"/>
      <c r="F344" s="6"/>
      <c r="G344" s="6"/>
      <c r="H344" s="6"/>
      <c r="I344" s="6"/>
      <c r="J344" s="6"/>
      <c r="K344" s="7"/>
      <c r="L344" s="7"/>
      <c r="M344" s="7"/>
      <c r="N344" s="7"/>
      <c r="O344" s="69"/>
      <c r="P344" s="69"/>
    </row>
    <row r="345" spans="5:16" x14ac:dyDescent="0.3">
      <c r="E345" s="6"/>
      <c r="F345" s="6"/>
      <c r="G345" s="6"/>
      <c r="H345" s="6"/>
      <c r="I345" s="6"/>
      <c r="J345" s="6"/>
      <c r="K345" s="7"/>
      <c r="L345" s="7"/>
      <c r="M345" s="7"/>
      <c r="N345" s="7"/>
      <c r="O345" s="69"/>
      <c r="P345" s="69"/>
    </row>
    <row r="346" spans="5:16" x14ac:dyDescent="0.3">
      <c r="E346" s="6"/>
      <c r="F346" s="6"/>
      <c r="G346" s="6"/>
      <c r="H346" s="6"/>
      <c r="I346" s="6"/>
      <c r="J346" s="6"/>
      <c r="K346" s="7"/>
      <c r="L346" s="7"/>
      <c r="M346" s="7"/>
      <c r="N346" s="7"/>
      <c r="O346" s="69"/>
      <c r="P346" s="69"/>
    </row>
    <row r="347" spans="5:16" x14ac:dyDescent="0.3">
      <c r="E347" s="6"/>
      <c r="F347" s="6"/>
      <c r="G347" s="6"/>
      <c r="H347" s="6"/>
      <c r="I347" s="6"/>
      <c r="J347" s="6"/>
      <c r="K347" s="7"/>
      <c r="L347" s="7"/>
      <c r="M347" s="7"/>
      <c r="N347" s="7"/>
      <c r="O347" s="69"/>
      <c r="P347" s="69"/>
    </row>
    <row r="348" spans="5:16" x14ac:dyDescent="0.3">
      <c r="E348" s="6"/>
      <c r="F348" s="6"/>
      <c r="G348" s="6"/>
      <c r="H348" s="6"/>
      <c r="I348" s="6"/>
      <c r="J348" s="6"/>
      <c r="K348" s="7"/>
      <c r="L348" s="7"/>
      <c r="M348" s="7"/>
      <c r="N348" s="7"/>
      <c r="O348" s="69"/>
      <c r="P348" s="69"/>
    </row>
    <row r="349" spans="5:16" x14ac:dyDescent="0.3">
      <c r="E349" s="6"/>
      <c r="F349" s="6"/>
      <c r="G349" s="6"/>
      <c r="H349" s="6"/>
      <c r="I349" s="6"/>
      <c r="J349" s="6"/>
      <c r="K349" s="7"/>
      <c r="L349" s="7"/>
      <c r="M349" s="7"/>
      <c r="N349" s="7"/>
      <c r="O349" s="69"/>
      <c r="P349" s="69"/>
    </row>
    <row r="350" spans="5:16" x14ac:dyDescent="0.3">
      <c r="E350" s="6"/>
      <c r="F350" s="6"/>
      <c r="G350" s="6"/>
      <c r="H350" s="6"/>
      <c r="I350" s="6"/>
      <c r="J350" s="6"/>
      <c r="K350" s="7"/>
      <c r="L350" s="7"/>
      <c r="M350" s="7"/>
      <c r="N350" s="7"/>
      <c r="O350" s="69"/>
      <c r="P350" s="69"/>
    </row>
    <row r="351" spans="5:16" x14ac:dyDescent="0.3">
      <c r="E351" s="6"/>
      <c r="F351" s="6"/>
      <c r="G351" s="6"/>
      <c r="H351" s="6"/>
      <c r="I351" s="6"/>
      <c r="J351" s="6"/>
      <c r="K351" s="7"/>
      <c r="L351" s="7"/>
      <c r="M351" s="7"/>
      <c r="N351" s="7"/>
      <c r="O351" s="69"/>
      <c r="P351" s="69"/>
    </row>
    <row r="352" spans="5:16" x14ac:dyDescent="0.3">
      <c r="E352" s="6"/>
      <c r="F352" s="6"/>
      <c r="G352" s="6"/>
      <c r="H352" s="6"/>
      <c r="I352" s="6"/>
      <c r="J352" s="6"/>
      <c r="K352" s="7"/>
      <c r="L352" s="7"/>
      <c r="M352" s="7"/>
      <c r="N352" s="7"/>
      <c r="O352" s="69"/>
      <c r="P352" s="69"/>
    </row>
    <row r="353" spans="5:16" x14ac:dyDescent="0.3">
      <c r="E353" s="6"/>
      <c r="F353" s="6"/>
      <c r="G353" s="6"/>
      <c r="H353" s="6"/>
      <c r="I353" s="6"/>
      <c r="J353" s="6"/>
      <c r="K353" s="7"/>
      <c r="L353" s="7"/>
      <c r="M353" s="7"/>
      <c r="N353" s="7"/>
      <c r="O353" s="69"/>
      <c r="P353" s="69"/>
    </row>
    <row r="354" spans="5:16" x14ac:dyDescent="0.3">
      <c r="E354" s="6"/>
      <c r="F354" s="6"/>
      <c r="G354" s="6"/>
      <c r="H354" s="6"/>
      <c r="I354" s="6"/>
      <c r="J354" s="6"/>
      <c r="K354" s="7"/>
      <c r="L354" s="7"/>
      <c r="M354" s="7"/>
      <c r="N354" s="7"/>
      <c r="O354" s="69"/>
      <c r="P354" s="69"/>
    </row>
    <row r="355" spans="5:16" x14ac:dyDescent="0.3">
      <c r="E355" s="6"/>
      <c r="F355" s="6"/>
      <c r="G355" s="6"/>
      <c r="H355" s="6"/>
      <c r="I355" s="6"/>
      <c r="J355" s="6"/>
      <c r="K355" s="7"/>
      <c r="L355" s="7"/>
      <c r="M355" s="7"/>
      <c r="N355" s="7"/>
      <c r="O355" s="69"/>
      <c r="P355" s="69"/>
    </row>
    <row r="356" spans="5:16" x14ac:dyDescent="0.3">
      <c r="E356" s="6"/>
      <c r="F356" s="6"/>
      <c r="G356" s="6"/>
      <c r="H356" s="6"/>
      <c r="I356" s="6"/>
      <c r="J356" s="6"/>
      <c r="K356" s="7"/>
      <c r="L356" s="7"/>
      <c r="M356" s="7"/>
      <c r="N356" s="7"/>
      <c r="O356" s="69"/>
      <c r="P356" s="69"/>
    </row>
    <row r="357" spans="5:16" x14ac:dyDescent="0.3">
      <c r="E357" s="6"/>
      <c r="F357" s="6"/>
      <c r="G357" s="6"/>
      <c r="H357" s="6"/>
      <c r="I357" s="6"/>
      <c r="J357" s="6"/>
      <c r="K357" s="7"/>
      <c r="L357" s="7"/>
      <c r="M357" s="7"/>
      <c r="N357" s="7"/>
      <c r="O357" s="69"/>
      <c r="P357" s="69"/>
    </row>
    <row r="358" spans="5:16" x14ac:dyDescent="0.3">
      <c r="E358" s="6"/>
      <c r="F358" s="6"/>
      <c r="G358" s="6"/>
      <c r="H358" s="6"/>
      <c r="I358" s="6"/>
      <c r="J358" s="6"/>
      <c r="K358" s="7"/>
      <c r="L358" s="7"/>
      <c r="M358" s="7"/>
      <c r="N358" s="7"/>
      <c r="O358" s="69"/>
      <c r="P358" s="69"/>
    </row>
    <row r="359" spans="5:16" x14ac:dyDescent="0.3">
      <c r="E359" s="6"/>
      <c r="F359" s="6"/>
      <c r="G359" s="6"/>
      <c r="H359" s="6"/>
      <c r="I359" s="6"/>
      <c r="J359" s="6"/>
      <c r="K359" s="7"/>
      <c r="L359" s="7"/>
      <c r="M359" s="7"/>
      <c r="N359" s="7"/>
      <c r="O359" s="69"/>
      <c r="P359" s="69"/>
    </row>
    <row r="360" spans="5:16" x14ac:dyDescent="0.3">
      <c r="E360" s="6"/>
      <c r="F360" s="6"/>
      <c r="G360" s="6"/>
      <c r="H360" s="6"/>
      <c r="I360" s="6"/>
      <c r="J360" s="6"/>
      <c r="K360" s="7"/>
      <c r="L360" s="7"/>
      <c r="M360" s="7"/>
      <c r="N360" s="7"/>
      <c r="O360" s="69"/>
      <c r="P360" s="69"/>
    </row>
    <row r="361" spans="5:16" x14ac:dyDescent="0.3">
      <c r="E361" s="6"/>
      <c r="F361" s="6"/>
      <c r="G361" s="6"/>
      <c r="H361" s="6"/>
      <c r="I361" s="6"/>
      <c r="J361" s="6"/>
      <c r="K361" s="7"/>
      <c r="L361" s="7"/>
      <c r="M361" s="7"/>
      <c r="N361" s="7"/>
      <c r="O361" s="69"/>
      <c r="P361" s="69"/>
    </row>
    <row r="362" spans="5:16" x14ac:dyDescent="0.3">
      <c r="E362" s="6"/>
      <c r="F362" s="6"/>
      <c r="G362" s="6"/>
      <c r="H362" s="6"/>
      <c r="I362" s="6"/>
      <c r="J362" s="6"/>
      <c r="K362" s="7"/>
      <c r="L362" s="7"/>
      <c r="M362" s="7"/>
      <c r="N362" s="7"/>
      <c r="O362" s="69"/>
      <c r="P362" s="69"/>
    </row>
    <row r="363" spans="5:16" x14ac:dyDescent="0.3">
      <c r="E363" s="6"/>
      <c r="F363" s="6"/>
      <c r="G363" s="6"/>
      <c r="H363" s="6"/>
      <c r="I363" s="6"/>
      <c r="J363" s="6"/>
      <c r="K363" s="7"/>
      <c r="L363" s="7"/>
      <c r="M363" s="7"/>
      <c r="N363" s="7"/>
      <c r="O363" s="69"/>
      <c r="P363" s="69"/>
    </row>
    <row r="364" spans="5:16" x14ac:dyDescent="0.3">
      <c r="E364" s="6"/>
      <c r="F364" s="6"/>
      <c r="G364" s="6"/>
      <c r="H364" s="6"/>
      <c r="I364" s="6"/>
      <c r="J364" s="6"/>
      <c r="K364" s="7"/>
      <c r="L364" s="7"/>
      <c r="M364" s="7"/>
      <c r="N364" s="7"/>
      <c r="O364" s="69"/>
      <c r="P364" s="69"/>
    </row>
    <row r="365" spans="5:16" x14ac:dyDescent="0.3">
      <c r="E365" s="6"/>
      <c r="F365" s="6"/>
      <c r="G365" s="6"/>
      <c r="H365" s="6"/>
      <c r="I365" s="6"/>
      <c r="J365" s="6"/>
      <c r="K365" s="7"/>
      <c r="L365" s="7"/>
      <c r="M365" s="7"/>
      <c r="N365" s="7"/>
      <c r="O365" s="69"/>
      <c r="P365" s="69"/>
    </row>
    <row r="366" spans="5:16" x14ac:dyDescent="0.3">
      <c r="E366" s="6"/>
      <c r="F366" s="6"/>
      <c r="G366" s="6"/>
      <c r="H366" s="6"/>
      <c r="I366" s="6"/>
      <c r="J366" s="6"/>
      <c r="K366" s="7"/>
      <c r="L366" s="7"/>
      <c r="M366" s="7"/>
      <c r="N366" s="7"/>
      <c r="O366" s="69"/>
      <c r="P366" s="69"/>
    </row>
    <row r="367" spans="5:16" x14ac:dyDescent="0.3">
      <c r="E367" s="6"/>
      <c r="F367" s="6"/>
      <c r="G367" s="6"/>
      <c r="H367" s="6"/>
      <c r="I367" s="6"/>
      <c r="J367" s="6"/>
      <c r="K367" s="7"/>
      <c r="L367" s="7"/>
      <c r="M367" s="7"/>
      <c r="N367" s="7"/>
      <c r="O367" s="69"/>
      <c r="P367" s="69"/>
    </row>
    <row r="368" spans="5:16" x14ac:dyDescent="0.3">
      <c r="E368" s="6"/>
      <c r="F368" s="6"/>
      <c r="G368" s="6"/>
      <c r="H368" s="6"/>
      <c r="I368" s="6"/>
      <c r="J368" s="6"/>
      <c r="K368" s="7"/>
      <c r="L368" s="7"/>
      <c r="M368" s="7"/>
      <c r="N368" s="7"/>
      <c r="O368" s="69"/>
      <c r="P368" s="69"/>
    </row>
    <row r="369" spans="5:16" x14ac:dyDescent="0.3">
      <c r="E369" s="6"/>
      <c r="F369" s="6"/>
      <c r="G369" s="6"/>
      <c r="H369" s="6"/>
      <c r="I369" s="6"/>
      <c r="J369" s="6"/>
      <c r="K369" s="7"/>
      <c r="L369" s="7"/>
      <c r="M369" s="7"/>
      <c r="N369" s="7"/>
      <c r="O369" s="69"/>
      <c r="P369" s="69"/>
    </row>
    <row r="370" spans="5:16" x14ac:dyDescent="0.3">
      <c r="E370" s="6"/>
      <c r="F370" s="6"/>
      <c r="G370" s="6"/>
      <c r="H370" s="6"/>
      <c r="I370" s="6"/>
      <c r="J370" s="6"/>
      <c r="K370" s="7"/>
      <c r="L370" s="7"/>
      <c r="M370" s="7"/>
      <c r="N370" s="7"/>
      <c r="O370" s="69"/>
      <c r="P370" s="69"/>
    </row>
    <row r="371" spans="5:16" x14ac:dyDescent="0.3">
      <c r="E371" s="6"/>
      <c r="F371" s="6"/>
      <c r="G371" s="6"/>
      <c r="H371" s="6"/>
      <c r="I371" s="6"/>
      <c r="J371" s="6"/>
      <c r="K371" s="7"/>
      <c r="L371" s="7"/>
      <c r="M371" s="7"/>
      <c r="N371" s="7"/>
      <c r="O371" s="69"/>
      <c r="P371" s="69"/>
    </row>
    <row r="372" spans="5:16" x14ac:dyDescent="0.3">
      <c r="E372" s="6"/>
      <c r="F372" s="6"/>
      <c r="G372" s="6"/>
      <c r="H372" s="6"/>
      <c r="I372" s="6"/>
      <c r="J372" s="6"/>
      <c r="K372" s="7"/>
      <c r="L372" s="7"/>
      <c r="M372" s="7"/>
      <c r="N372" s="7"/>
      <c r="O372" s="69"/>
      <c r="P372" s="69"/>
    </row>
    <row r="373" spans="5:16" x14ac:dyDescent="0.3">
      <c r="E373" s="6"/>
      <c r="F373" s="6"/>
      <c r="G373" s="6"/>
      <c r="H373" s="6"/>
      <c r="I373" s="6"/>
      <c r="J373" s="6"/>
      <c r="K373" s="7"/>
      <c r="L373" s="7"/>
      <c r="M373" s="7"/>
      <c r="N373" s="7"/>
      <c r="O373" s="69"/>
      <c r="P373" s="69"/>
    </row>
    <row r="374" spans="5:16" x14ac:dyDescent="0.3">
      <c r="E374" s="6"/>
      <c r="F374" s="6"/>
      <c r="G374" s="6"/>
      <c r="H374" s="6"/>
      <c r="I374" s="6"/>
      <c r="J374" s="6"/>
      <c r="K374" s="7"/>
      <c r="L374" s="7"/>
      <c r="M374" s="7"/>
      <c r="N374" s="7"/>
      <c r="O374" s="69"/>
      <c r="P374" s="69"/>
    </row>
    <row r="375" spans="5:16" x14ac:dyDescent="0.3">
      <c r="E375" s="6"/>
      <c r="F375" s="6"/>
      <c r="G375" s="6"/>
      <c r="H375" s="6"/>
      <c r="I375" s="6"/>
      <c r="J375" s="6"/>
      <c r="K375" s="7"/>
      <c r="L375" s="7"/>
      <c r="M375" s="7"/>
      <c r="N375" s="7"/>
      <c r="O375" s="69"/>
      <c r="P375" s="69"/>
    </row>
    <row r="376" spans="5:16" x14ac:dyDescent="0.3">
      <c r="E376" s="6"/>
      <c r="F376" s="6"/>
      <c r="G376" s="6"/>
      <c r="H376" s="6"/>
      <c r="I376" s="6"/>
      <c r="J376" s="6"/>
      <c r="K376" s="7"/>
      <c r="L376" s="7"/>
      <c r="M376" s="7"/>
      <c r="N376" s="7"/>
      <c r="O376" s="69"/>
      <c r="P376" s="69"/>
    </row>
    <row r="377" spans="5:16" x14ac:dyDescent="0.3">
      <c r="E377" s="6"/>
      <c r="F377" s="6"/>
      <c r="G377" s="6"/>
      <c r="H377" s="6"/>
      <c r="I377" s="6"/>
      <c r="J377" s="6"/>
      <c r="K377" s="7"/>
      <c r="L377" s="7"/>
      <c r="M377" s="7"/>
      <c r="N377" s="7"/>
      <c r="O377" s="69"/>
      <c r="P377" s="69"/>
    </row>
    <row r="378" spans="5:16" x14ac:dyDescent="0.3">
      <c r="E378" s="6"/>
      <c r="F378" s="6"/>
      <c r="G378" s="6"/>
      <c r="H378" s="6"/>
      <c r="I378" s="6"/>
      <c r="J378" s="6"/>
      <c r="K378" s="7"/>
      <c r="L378" s="7"/>
      <c r="M378" s="7"/>
      <c r="N378" s="7"/>
      <c r="O378" s="69"/>
      <c r="P378" s="69"/>
    </row>
    <row r="379" spans="5:16" x14ac:dyDescent="0.3">
      <c r="E379" s="6"/>
      <c r="F379" s="6"/>
      <c r="G379" s="6"/>
      <c r="H379" s="6"/>
      <c r="I379" s="6"/>
      <c r="J379" s="6"/>
      <c r="K379" s="7"/>
      <c r="L379" s="7"/>
      <c r="M379" s="7"/>
      <c r="N379" s="7"/>
      <c r="O379" s="69"/>
      <c r="P379" s="69"/>
    </row>
    <row r="380" spans="5:16" x14ac:dyDescent="0.3">
      <c r="E380" s="6"/>
      <c r="F380" s="6"/>
      <c r="G380" s="6"/>
      <c r="H380" s="6"/>
      <c r="I380" s="6"/>
      <c r="J380" s="6"/>
      <c r="K380" s="7"/>
      <c r="L380" s="7"/>
      <c r="M380" s="7"/>
      <c r="N380" s="7"/>
      <c r="O380" s="69"/>
      <c r="P380" s="69"/>
    </row>
    <row r="381" spans="5:16" x14ac:dyDescent="0.3">
      <c r="E381" s="6"/>
      <c r="F381" s="6"/>
      <c r="G381" s="6"/>
      <c r="H381" s="6"/>
      <c r="I381" s="6"/>
      <c r="J381" s="6"/>
      <c r="K381" s="7"/>
      <c r="L381" s="7"/>
      <c r="M381" s="7"/>
      <c r="N381" s="7"/>
      <c r="O381" s="69"/>
      <c r="P381" s="69"/>
    </row>
    <row r="382" spans="5:16" x14ac:dyDescent="0.3">
      <c r="E382" s="6"/>
      <c r="F382" s="6"/>
      <c r="G382" s="6"/>
      <c r="H382" s="6"/>
      <c r="I382" s="6"/>
      <c r="J382" s="6"/>
      <c r="K382" s="7"/>
      <c r="L382" s="7"/>
      <c r="M382" s="7"/>
      <c r="N382" s="7"/>
      <c r="O382" s="69"/>
      <c r="P382" s="69"/>
    </row>
    <row r="383" spans="5:16" x14ac:dyDescent="0.3">
      <c r="E383" s="6"/>
      <c r="F383" s="6"/>
      <c r="G383" s="6"/>
      <c r="H383" s="6"/>
      <c r="I383" s="6"/>
      <c r="J383" s="6"/>
      <c r="K383" s="7"/>
      <c r="L383" s="7"/>
      <c r="M383" s="7"/>
      <c r="N383" s="7"/>
      <c r="O383" s="69"/>
      <c r="P383" s="69"/>
    </row>
    <row r="384" spans="5:16" x14ac:dyDescent="0.3">
      <c r="E384" s="6"/>
      <c r="F384" s="6"/>
      <c r="G384" s="6"/>
      <c r="H384" s="6"/>
      <c r="I384" s="6"/>
      <c r="J384" s="6"/>
      <c r="K384" s="7"/>
      <c r="L384" s="7"/>
      <c r="M384" s="7"/>
      <c r="N384" s="7"/>
      <c r="O384" s="69"/>
      <c r="P384" s="69"/>
    </row>
    <row r="385" spans="5:16" x14ac:dyDescent="0.3">
      <c r="E385" s="6"/>
      <c r="F385" s="6"/>
      <c r="G385" s="6"/>
      <c r="H385" s="6"/>
      <c r="I385" s="6"/>
      <c r="J385" s="6"/>
      <c r="K385" s="7"/>
      <c r="L385" s="7"/>
      <c r="M385" s="7"/>
      <c r="N385" s="7"/>
      <c r="O385" s="69"/>
      <c r="P385" s="69"/>
    </row>
    <row r="386" spans="5:16" x14ac:dyDescent="0.3">
      <c r="E386" s="6"/>
      <c r="F386" s="6"/>
      <c r="G386" s="6"/>
      <c r="H386" s="6"/>
      <c r="I386" s="6"/>
      <c r="J386" s="6"/>
      <c r="K386" s="7"/>
      <c r="L386" s="7"/>
      <c r="M386" s="7"/>
      <c r="N386" s="7"/>
      <c r="O386" s="69"/>
      <c r="P386" s="69"/>
    </row>
    <row r="387" spans="5:16" x14ac:dyDescent="0.3">
      <c r="E387" s="6"/>
      <c r="F387" s="6"/>
      <c r="G387" s="6"/>
      <c r="H387" s="6"/>
      <c r="I387" s="6"/>
      <c r="J387" s="6"/>
      <c r="K387" s="7"/>
      <c r="L387" s="7"/>
      <c r="M387" s="7"/>
      <c r="N387" s="7"/>
      <c r="O387" s="69"/>
      <c r="P387" s="69"/>
    </row>
    <row r="388" spans="5:16" x14ac:dyDescent="0.3">
      <c r="E388" s="6"/>
      <c r="F388" s="6"/>
      <c r="G388" s="6"/>
      <c r="H388" s="6"/>
      <c r="I388" s="6"/>
      <c r="J388" s="6"/>
      <c r="K388" s="7"/>
      <c r="L388" s="7"/>
      <c r="M388" s="7"/>
      <c r="N388" s="7"/>
      <c r="O388" s="69"/>
      <c r="P388" s="69"/>
    </row>
    <row r="389" spans="5:16" x14ac:dyDescent="0.3">
      <c r="E389" s="6"/>
      <c r="F389" s="6"/>
      <c r="G389" s="6"/>
      <c r="H389" s="6"/>
      <c r="I389" s="6"/>
      <c r="J389" s="6"/>
      <c r="K389" s="7"/>
      <c r="L389" s="7"/>
      <c r="M389" s="7"/>
      <c r="N389" s="7"/>
      <c r="O389" s="69"/>
      <c r="P389" s="69"/>
    </row>
    <row r="390" spans="5:16" x14ac:dyDescent="0.3">
      <c r="E390" s="6"/>
      <c r="F390" s="6"/>
      <c r="G390" s="6"/>
      <c r="H390" s="6"/>
      <c r="I390" s="6"/>
      <c r="J390" s="6"/>
      <c r="K390" s="7"/>
      <c r="L390" s="7"/>
      <c r="M390" s="7"/>
      <c r="N390" s="7"/>
      <c r="O390" s="69"/>
      <c r="P390" s="69"/>
    </row>
    <row r="391" spans="5:16" x14ac:dyDescent="0.3">
      <c r="E391" s="6"/>
      <c r="F391" s="6"/>
      <c r="G391" s="6"/>
      <c r="H391" s="6"/>
      <c r="I391" s="6"/>
      <c r="J391" s="6"/>
      <c r="K391" s="7"/>
      <c r="L391" s="7"/>
      <c r="M391" s="7"/>
      <c r="N391" s="7"/>
      <c r="O391" s="69"/>
      <c r="P391" s="69"/>
    </row>
    <row r="392" spans="5:16" x14ac:dyDescent="0.3">
      <c r="E392" s="6"/>
      <c r="F392" s="6"/>
      <c r="G392" s="6"/>
      <c r="H392" s="6"/>
      <c r="I392" s="6"/>
      <c r="J392" s="6"/>
      <c r="K392" s="7"/>
      <c r="L392" s="7"/>
      <c r="M392" s="7"/>
      <c r="N392" s="7"/>
      <c r="O392" s="69"/>
      <c r="P392" s="69"/>
    </row>
    <row r="393" spans="5:16" x14ac:dyDescent="0.3">
      <c r="E393" s="6"/>
      <c r="F393" s="6"/>
      <c r="G393" s="6"/>
      <c r="H393" s="6"/>
      <c r="I393" s="6"/>
      <c r="J393" s="6"/>
      <c r="K393" s="7"/>
      <c r="L393" s="7"/>
      <c r="M393" s="7"/>
      <c r="N393" s="7"/>
      <c r="O393" s="69"/>
      <c r="P393" s="69"/>
    </row>
    <row r="394" spans="5:16" x14ac:dyDescent="0.3">
      <c r="E394" s="6"/>
      <c r="F394" s="6"/>
      <c r="G394" s="6"/>
      <c r="H394" s="6"/>
      <c r="I394" s="6"/>
      <c r="J394" s="6"/>
      <c r="K394" s="7"/>
      <c r="L394" s="7"/>
      <c r="M394" s="7"/>
      <c r="N394" s="7"/>
      <c r="O394" s="69"/>
      <c r="P394" s="69"/>
    </row>
    <row r="395" spans="5:16" x14ac:dyDescent="0.3">
      <c r="E395" s="6"/>
      <c r="F395" s="6"/>
      <c r="G395" s="6"/>
      <c r="H395" s="6"/>
      <c r="I395" s="6"/>
      <c r="J395" s="6"/>
      <c r="K395" s="7"/>
      <c r="L395" s="7"/>
      <c r="M395" s="7"/>
      <c r="N395" s="7"/>
      <c r="O395" s="69"/>
      <c r="P395" s="69"/>
    </row>
    <row r="396" spans="5:16" x14ac:dyDescent="0.3">
      <c r="E396" s="6"/>
      <c r="F396" s="6"/>
      <c r="G396" s="6"/>
      <c r="H396" s="6"/>
      <c r="I396" s="6"/>
      <c r="J396" s="6"/>
      <c r="K396" s="7"/>
      <c r="L396" s="7"/>
      <c r="M396" s="7"/>
      <c r="N396" s="7"/>
      <c r="O396" s="69"/>
      <c r="P396" s="69"/>
    </row>
    <row r="397" spans="5:16" x14ac:dyDescent="0.3">
      <c r="E397" s="6"/>
      <c r="F397" s="6"/>
      <c r="G397" s="6"/>
      <c r="H397" s="6"/>
      <c r="I397" s="6"/>
      <c r="J397" s="6"/>
      <c r="K397" s="7"/>
      <c r="L397" s="7"/>
      <c r="M397" s="7"/>
      <c r="N397" s="7"/>
      <c r="O397" s="69"/>
      <c r="P397" s="69"/>
    </row>
    <row r="398" spans="5:16" x14ac:dyDescent="0.3">
      <c r="E398" s="6"/>
      <c r="F398" s="6"/>
      <c r="G398" s="6"/>
      <c r="H398" s="6"/>
      <c r="I398" s="6"/>
      <c r="J398" s="6"/>
      <c r="K398" s="7"/>
      <c r="L398" s="7"/>
      <c r="M398" s="7"/>
      <c r="N398" s="7"/>
      <c r="O398" s="69"/>
      <c r="P398" s="69"/>
    </row>
    <row r="399" spans="5:16" x14ac:dyDescent="0.3">
      <c r="E399" s="6"/>
      <c r="F399" s="6"/>
      <c r="G399" s="6"/>
      <c r="H399" s="6"/>
      <c r="I399" s="6"/>
      <c r="J399" s="6"/>
      <c r="K399" s="7"/>
      <c r="L399" s="7"/>
      <c r="M399" s="7"/>
      <c r="N399" s="7"/>
      <c r="O399" s="69"/>
      <c r="P399" s="69"/>
    </row>
    <row r="400" spans="5:16" x14ac:dyDescent="0.3">
      <c r="E400" s="6"/>
      <c r="F400" s="6"/>
      <c r="G400" s="6"/>
      <c r="H400" s="6"/>
      <c r="I400" s="6"/>
      <c r="J400" s="6"/>
      <c r="K400" s="7"/>
      <c r="L400" s="7"/>
      <c r="M400" s="7"/>
      <c r="N400" s="7"/>
      <c r="O400" s="69"/>
      <c r="P400" s="69"/>
    </row>
    <row r="401" spans="5:16" x14ac:dyDescent="0.3">
      <c r="E401" s="6"/>
      <c r="F401" s="6"/>
      <c r="G401" s="6"/>
      <c r="H401" s="6"/>
      <c r="I401" s="6"/>
      <c r="J401" s="6"/>
      <c r="K401" s="7"/>
      <c r="L401" s="7"/>
      <c r="M401" s="7"/>
      <c r="N401" s="7"/>
      <c r="O401" s="69"/>
      <c r="P401" s="69"/>
    </row>
    <row r="402" spans="5:16" x14ac:dyDescent="0.3">
      <c r="E402" s="6"/>
      <c r="F402" s="6"/>
      <c r="G402" s="6"/>
      <c r="H402" s="6"/>
      <c r="I402" s="6"/>
      <c r="J402" s="6"/>
      <c r="K402" s="7"/>
      <c r="L402" s="7"/>
      <c r="M402" s="7"/>
      <c r="N402" s="7"/>
      <c r="O402" s="69"/>
      <c r="P402" s="69"/>
    </row>
    <row r="403" spans="5:16" x14ac:dyDescent="0.3">
      <c r="E403" s="6"/>
      <c r="F403" s="6"/>
      <c r="G403" s="6"/>
      <c r="H403" s="6"/>
      <c r="I403" s="6"/>
      <c r="J403" s="6"/>
      <c r="K403" s="7"/>
      <c r="L403" s="7"/>
      <c r="M403" s="7"/>
      <c r="N403" s="7"/>
      <c r="O403" s="69"/>
      <c r="P403" s="69"/>
    </row>
    <row r="404" spans="5:16" x14ac:dyDescent="0.3">
      <c r="E404" s="6"/>
      <c r="F404" s="6"/>
      <c r="G404" s="6"/>
      <c r="H404" s="6"/>
      <c r="I404" s="6"/>
      <c r="J404" s="6"/>
      <c r="K404" s="7"/>
      <c r="L404" s="7"/>
      <c r="M404" s="7"/>
      <c r="N404" s="7"/>
      <c r="O404" s="69"/>
      <c r="P404" s="69"/>
    </row>
    <row r="405" spans="5:16" x14ac:dyDescent="0.3">
      <c r="E405" s="6"/>
      <c r="F405" s="6"/>
      <c r="G405" s="6"/>
      <c r="H405" s="6"/>
      <c r="I405" s="6"/>
      <c r="J405" s="6"/>
      <c r="K405" s="7"/>
      <c r="L405" s="7"/>
      <c r="M405" s="7"/>
      <c r="N405" s="7"/>
      <c r="O405" s="69"/>
      <c r="P405" s="69"/>
    </row>
    <row r="406" spans="5:16" x14ac:dyDescent="0.3">
      <c r="E406" s="6"/>
      <c r="F406" s="6"/>
      <c r="G406" s="6"/>
      <c r="H406" s="6"/>
      <c r="I406" s="6"/>
      <c r="J406" s="6"/>
      <c r="K406" s="7"/>
      <c r="L406" s="7"/>
      <c r="M406" s="7"/>
      <c r="N406" s="7"/>
      <c r="O406" s="69"/>
      <c r="P406" s="69"/>
    </row>
    <row r="407" spans="5:16" x14ac:dyDescent="0.3">
      <c r="E407" s="6"/>
      <c r="F407" s="6"/>
      <c r="G407" s="6"/>
      <c r="H407" s="6"/>
      <c r="I407" s="6"/>
      <c r="J407" s="6"/>
      <c r="K407" s="7"/>
      <c r="L407" s="7"/>
      <c r="M407" s="7"/>
      <c r="N407" s="7"/>
      <c r="O407" s="69"/>
      <c r="P407" s="69"/>
    </row>
    <row r="408" spans="5:16" x14ac:dyDescent="0.3">
      <c r="E408" s="6"/>
      <c r="F408" s="6"/>
      <c r="G408" s="6"/>
      <c r="H408" s="6"/>
      <c r="I408" s="6"/>
      <c r="J408" s="6"/>
      <c r="K408" s="7"/>
      <c r="L408" s="7"/>
      <c r="M408" s="7"/>
      <c r="N408" s="7"/>
      <c r="O408" s="69"/>
      <c r="P408" s="69"/>
    </row>
    <row r="409" spans="5:16" x14ac:dyDescent="0.3">
      <c r="E409" s="6"/>
      <c r="F409" s="6"/>
      <c r="G409" s="6"/>
      <c r="H409" s="6"/>
      <c r="I409" s="6"/>
      <c r="J409" s="6"/>
      <c r="K409" s="7"/>
      <c r="L409" s="7"/>
      <c r="M409" s="7"/>
      <c r="N409" s="7"/>
      <c r="O409" s="69"/>
      <c r="P409" s="69"/>
    </row>
    <row r="410" spans="5:16" x14ac:dyDescent="0.3">
      <c r="E410" s="6"/>
      <c r="F410" s="6"/>
      <c r="G410" s="6"/>
      <c r="H410" s="6"/>
      <c r="I410" s="6"/>
      <c r="J410" s="6"/>
      <c r="K410" s="7"/>
      <c r="L410" s="7"/>
      <c r="M410" s="7"/>
      <c r="N410" s="7"/>
      <c r="O410" s="69"/>
      <c r="P410" s="69"/>
    </row>
    <row r="411" spans="5:16" x14ac:dyDescent="0.3">
      <c r="E411" s="6"/>
      <c r="F411" s="6"/>
      <c r="G411" s="6"/>
      <c r="H411" s="6"/>
      <c r="I411" s="6"/>
      <c r="J411" s="6"/>
      <c r="K411" s="7"/>
      <c r="L411" s="7"/>
      <c r="M411" s="7"/>
      <c r="N411" s="7"/>
      <c r="O411" s="69"/>
      <c r="P411" s="69"/>
    </row>
    <row r="412" spans="5:16" x14ac:dyDescent="0.3">
      <c r="E412" s="6"/>
      <c r="F412" s="6"/>
      <c r="G412" s="6"/>
      <c r="H412" s="6"/>
      <c r="I412" s="6"/>
      <c r="J412" s="6"/>
      <c r="K412" s="7"/>
      <c r="L412" s="7"/>
      <c r="M412" s="7"/>
      <c r="N412" s="7"/>
      <c r="O412" s="69"/>
      <c r="P412" s="69"/>
    </row>
    <row r="413" spans="5:16" x14ac:dyDescent="0.3">
      <c r="E413" s="6"/>
      <c r="F413" s="6"/>
      <c r="G413" s="6"/>
      <c r="H413" s="6"/>
      <c r="I413" s="6"/>
      <c r="J413" s="6"/>
      <c r="K413" s="7"/>
      <c r="L413" s="7"/>
      <c r="M413" s="7"/>
      <c r="N413" s="7"/>
      <c r="O413" s="69"/>
      <c r="P413" s="69"/>
    </row>
    <row r="414" spans="5:16" x14ac:dyDescent="0.3">
      <c r="E414" s="6"/>
      <c r="F414" s="6"/>
      <c r="G414" s="6"/>
      <c r="H414" s="6"/>
      <c r="I414" s="6"/>
      <c r="J414" s="6"/>
      <c r="K414" s="7"/>
      <c r="L414" s="7"/>
      <c r="M414" s="7"/>
      <c r="N414" s="7"/>
      <c r="O414" s="69"/>
      <c r="P414" s="69"/>
    </row>
    <row r="415" spans="5:16" x14ac:dyDescent="0.3">
      <c r="E415" s="6"/>
      <c r="F415" s="6"/>
      <c r="G415" s="6"/>
      <c r="H415" s="6"/>
      <c r="I415" s="6"/>
      <c r="J415" s="6"/>
      <c r="K415" s="7"/>
      <c r="L415" s="7"/>
      <c r="M415" s="7"/>
      <c r="N415" s="7"/>
      <c r="O415" s="69"/>
      <c r="P415" s="69"/>
    </row>
    <row r="416" spans="5:16" x14ac:dyDescent="0.3">
      <c r="E416" s="6"/>
      <c r="F416" s="6"/>
      <c r="G416" s="6"/>
      <c r="H416" s="6"/>
      <c r="I416" s="6"/>
      <c r="J416" s="6"/>
      <c r="K416" s="7"/>
      <c r="L416" s="7"/>
      <c r="M416" s="7"/>
      <c r="N416" s="7"/>
      <c r="O416" s="69"/>
      <c r="P416" s="69"/>
    </row>
    <row r="417" spans="5:16" x14ac:dyDescent="0.3">
      <c r="E417" s="6"/>
      <c r="F417" s="6"/>
      <c r="G417" s="6"/>
      <c r="H417" s="6"/>
      <c r="I417" s="6"/>
      <c r="J417" s="6"/>
      <c r="K417" s="7"/>
      <c r="L417" s="7"/>
      <c r="M417" s="7"/>
      <c r="N417" s="7"/>
      <c r="O417" s="69"/>
      <c r="P417" s="69"/>
    </row>
    <row r="418" spans="5:16" x14ac:dyDescent="0.3">
      <c r="E418" s="6"/>
      <c r="F418" s="6"/>
      <c r="G418" s="6"/>
      <c r="H418" s="6"/>
      <c r="I418" s="6"/>
      <c r="J418" s="6"/>
      <c r="K418" s="7"/>
      <c r="L418" s="7"/>
      <c r="M418" s="7"/>
      <c r="N418" s="7"/>
      <c r="O418" s="69"/>
      <c r="P418" s="69"/>
    </row>
    <row r="419" spans="5:16" x14ac:dyDescent="0.3">
      <c r="E419" s="6"/>
      <c r="F419" s="6"/>
      <c r="G419" s="6"/>
      <c r="H419" s="6"/>
      <c r="I419" s="6"/>
      <c r="J419" s="6"/>
      <c r="K419" s="7"/>
      <c r="L419" s="7"/>
      <c r="M419" s="7"/>
      <c r="N419" s="7"/>
      <c r="O419" s="69"/>
      <c r="P419" s="69"/>
    </row>
    <row r="420" spans="5:16" x14ac:dyDescent="0.3">
      <c r="E420" s="6"/>
      <c r="F420" s="6"/>
      <c r="G420" s="6"/>
      <c r="H420" s="6"/>
      <c r="I420" s="6"/>
      <c r="J420" s="6"/>
      <c r="K420" s="7"/>
      <c r="L420" s="7"/>
      <c r="M420" s="7"/>
      <c r="N420" s="7"/>
      <c r="O420" s="69"/>
      <c r="P420" s="69"/>
    </row>
    <row r="421" spans="5:16" x14ac:dyDescent="0.3">
      <c r="E421" s="6"/>
      <c r="F421" s="6"/>
      <c r="G421" s="6"/>
      <c r="H421" s="6"/>
      <c r="I421" s="6"/>
      <c r="J421" s="6"/>
      <c r="K421" s="7"/>
      <c r="L421" s="7"/>
      <c r="M421" s="7"/>
      <c r="N421" s="7"/>
      <c r="O421" s="69"/>
      <c r="P421" s="69"/>
    </row>
    <row r="422" spans="5:16" x14ac:dyDescent="0.3">
      <c r="E422" s="6"/>
      <c r="F422" s="6"/>
      <c r="G422" s="6"/>
      <c r="H422" s="6"/>
      <c r="I422" s="6"/>
      <c r="J422" s="6"/>
      <c r="K422" s="7"/>
      <c r="L422" s="7"/>
      <c r="M422" s="7"/>
      <c r="N422" s="7"/>
      <c r="O422" s="69"/>
      <c r="P422" s="69"/>
    </row>
    <row r="423" spans="5:16" x14ac:dyDescent="0.3">
      <c r="E423" s="6"/>
      <c r="F423" s="6"/>
      <c r="G423" s="6"/>
      <c r="H423" s="6"/>
      <c r="I423" s="6"/>
      <c r="J423" s="6"/>
      <c r="K423" s="7"/>
      <c r="L423" s="7"/>
      <c r="M423" s="7"/>
      <c r="N423" s="7"/>
      <c r="O423" s="69"/>
      <c r="P423" s="69"/>
    </row>
    <row r="424" spans="5:16" x14ac:dyDescent="0.3">
      <c r="E424" s="6"/>
      <c r="F424" s="6"/>
      <c r="G424" s="6"/>
      <c r="H424" s="6"/>
      <c r="I424" s="6"/>
      <c r="J424" s="6"/>
      <c r="K424" s="7"/>
      <c r="L424" s="7"/>
      <c r="M424" s="7"/>
      <c r="N424" s="7"/>
      <c r="O424" s="69"/>
      <c r="P424" s="69"/>
    </row>
    <row r="425" spans="5:16" x14ac:dyDescent="0.3">
      <c r="E425" s="6"/>
      <c r="F425" s="6"/>
      <c r="G425" s="6"/>
      <c r="H425" s="6"/>
      <c r="I425" s="6"/>
      <c r="J425" s="6"/>
      <c r="K425" s="7"/>
      <c r="L425" s="7"/>
      <c r="M425" s="7"/>
      <c r="N425" s="7"/>
      <c r="O425" s="69"/>
      <c r="P425" s="69"/>
    </row>
    <row r="426" spans="5:16" x14ac:dyDescent="0.3">
      <c r="E426" s="6"/>
      <c r="F426" s="6"/>
      <c r="G426" s="6"/>
      <c r="H426" s="6"/>
      <c r="I426" s="6"/>
      <c r="J426" s="6"/>
      <c r="K426" s="7"/>
      <c r="L426" s="7"/>
      <c r="M426" s="7"/>
      <c r="N426" s="7"/>
      <c r="O426" s="69"/>
      <c r="P426" s="69"/>
    </row>
    <row r="427" spans="5:16" x14ac:dyDescent="0.3">
      <c r="E427" s="6"/>
      <c r="F427" s="6"/>
      <c r="G427" s="6"/>
      <c r="H427" s="6"/>
      <c r="I427" s="6"/>
      <c r="J427" s="6"/>
      <c r="K427" s="7"/>
      <c r="L427" s="7"/>
      <c r="M427" s="7"/>
      <c r="N427" s="7"/>
      <c r="O427" s="69"/>
      <c r="P427" s="69"/>
    </row>
    <row r="428" spans="5:16" x14ac:dyDescent="0.3">
      <c r="E428" s="6"/>
      <c r="F428" s="6"/>
      <c r="G428" s="6"/>
      <c r="H428" s="6"/>
      <c r="I428" s="6"/>
      <c r="J428" s="6"/>
      <c r="K428" s="7"/>
      <c r="L428" s="7"/>
      <c r="M428" s="7"/>
      <c r="N428" s="7"/>
      <c r="O428" s="69"/>
      <c r="P428" s="69"/>
    </row>
    <row r="429" spans="5:16" x14ac:dyDescent="0.3">
      <c r="E429" s="6"/>
      <c r="F429" s="6"/>
      <c r="G429" s="6"/>
      <c r="H429" s="6"/>
      <c r="I429" s="6"/>
      <c r="J429" s="6"/>
      <c r="K429" s="7"/>
      <c r="L429" s="7"/>
      <c r="M429" s="7"/>
      <c r="N429" s="7"/>
      <c r="O429" s="69"/>
      <c r="P429" s="69"/>
    </row>
    <row r="430" spans="5:16" x14ac:dyDescent="0.3">
      <c r="E430" s="6"/>
      <c r="F430" s="6"/>
      <c r="G430" s="6"/>
      <c r="H430" s="6"/>
      <c r="I430" s="6"/>
      <c r="J430" s="6"/>
      <c r="K430" s="7"/>
      <c r="L430" s="7"/>
      <c r="M430" s="7"/>
      <c r="N430" s="7"/>
      <c r="O430" s="69"/>
      <c r="P430" s="69"/>
    </row>
    <row r="431" spans="5:16" x14ac:dyDescent="0.3">
      <c r="E431" s="6"/>
      <c r="F431" s="6"/>
      <c r="G431" s="6"/>
      <c r="H431" s="6"/>
      <c r="I431" s="6"/>
      <c r="J431" s="6"/>
      <c r="K431" s="7"/>
      <c r="L431" s="7"/>
      <c r="M431" s="7"/>
      <c r="N431" s="7"/>
      <c r="O431" s="69"/>
      <c r="P431" s="69"/>
    </row>
    <row r="432" spans="5:16" x14ac:dyDescent="0.3">
      <c r="E432" s="6"/>
      <c r="F432" s="6"/>
      <c r="G432" s="6"/>
      <c r="H432" s="6"/>
      <c r="I432" s="6"/>
      <c r="J432" s="6"/>
      <c r="K432" s="7"/>
      <c r="L432" s="7"/>
      <c r="M432" s="7"/>
      <c r="N432" s="7"/>
      <c r="O432" s="69"/>
      <c r="P432" s="69"/>
    </row>
    <row r="433" spans="5:16" x14ac:dyDescent="0.3">
      <c r="E433" s="6"/>
      <c r="F433" s="6"/>
      <c r="G433" s="6"/>
      <c r="H433" s="6"/>
      <c r="I433" s="6"/>
      <c r="J433" s="6"/>
      <c r="K433" s="7"/>
      <c r="L433" s="7"/>
      <c r="M433" s="7"/>
      <c r="N433" s="7"/>
      <c r="O433" s="69"/>
      <c r="P433" s="69"/>
    </row>
    <row r="434" spans="5:16" x14ac:dyDescent="0.3">
      <c r="E434" s="6"/>
      <c r="F434" s="6"/>
      <c r="G434" s="6"/>
      <c r="H434" s="6"/>
      <c r="I434" s="6"/>
      <c r="J434" s="6"/>
      <c r="K434" s="7"/>
      <c r="L434" s="7"/>
      <c r="M434" s="7"/>
      <c r="N434" s="7"/>
      <c r="O434" s="69"/>
      <c r="P434" s="69"/>
    </row>
    <row r="435" spans="5:16" x14ac:dyDescent="0.3">
      <c r="E435" s="6"/>
      <c r="F435" s="6"/>
      <c r="G435" s="6"/>
      <c r="H435" s="6"/>
      <c r="I435" s="6"/>
      <c r="J435" s="6"/>
      <c r="K435" s="7"/>
      <c r="L435" s="7"/>
      <c r="M435" s="7"/>
      <c r="N435" s="7"/>
      <c r="O435" s="69"/>
      <c r="P435" s="69"/>
    </row>
    <row r="436" spans="5:16" x14ac:dyDescent="0.3">
      <c r="E436" s="6"/>
      <c r="F436" s="6"/>
      <c r="G436" s="6"/>
      <c r="H436" s="6"/>
      <c r="I436" s="6"/>
      <c r="J436" s="6"/>
      <c r="K436" s="7"/>
      <c r="L436" s="7"/>
      <c r="M436" s="7"/>
      <c r="N436" s="7"/>
      <c r="O436" s="69"/>
      <c r="P436" s="69"/>
    </row>
    <row r="437" spans="5:16" x14ac:dyDescent="0.3">
      <c r="E437" s="6"/>
      <c r="F437" s="6"/>
      <c r="G437" s="6"/>
      <c r="H437" s="6"/>
      <c r="I437" s="6"/>
      <c r="J437" s="6"/>
      <c r="K437" s="7"/>
      <c r="L437" s="7"/>
      <c r="M437" s="7"/>
      <c r="N437" s="7"/>
      <c r="O437" s="69"/>
      <c r="P437" s="69"/>
    </row>
    <row r="438" spans="5:16" x14ac:dyDescent="0.3">
      <c r="E438" s="6"/>
      <c r="F438" s="6"/>
      <c r="G438" s="6"/>
      <c r="H438" s="6"/>
      <c r="I438" s="6"/>
      <c r="J438" s="6"/>
      <c r="K438" s="7"/>
      <c r="L438" s="7"/>
      <c r="M438" s="7"/>
      <c r="N438" s="7"/>
      <c r="O438" s="69"/>
      <c r="P438" s="69"/>
    </row>
    <row r="439" spans="5:16" x14ac:dyDescent="0.3">
      <c r="E439" s="6"/>
      <c r="F439" s="6"/>
      <c r="G439" s="6"/>
      <c r="H439" s="6"/>
      <c r="I439" s="6"/>
      <c r="J439" s="6"/>
      <c r="K439" s="7"/>
      <c r="L439" s="7"/>
      <c r="M439" s="7"/>
      <c r="N439" s="7"/>
      <c r="O439" s="69"/>
      <c r="P439" s="69"/>
    </row>
    <row r="440" spans="5:16" x14ac:dyDescent="0.3">
      <c r="E440" s="6"/>
      <c r="F440" s="6"/>
      <c r="G440" s="6"/>
      <c r="H440" s="6"/>
      <c r="I440" s="6"/>
      <c r="J440" s="6"/>
      <c r="K440" s="7"/>
      <c r="L440" s="7"/>
      <c r="M440" s="7"/>
      <c r="N440" s="7"/>
      <c r="O440" s="69"/>
      <c r="P440" s="69"/>
    </row>
    <row r="441" spans="5:16" x14ac:dyDescent="0.3">
      <c r="E441" s="6"/>
      <c r="F441" s="6"/>
      <c r="G441" s="6"/>
      <c r="H441" s="6"/>
      <c r="I441" s="6"/>
      <c r="J441" s="6"/>
      <c r="K441" s="7"/>
      <c r="L441" s="7"/>
      <c r="M441" s="7"/>
      <c r="N441" s="7"/>
      <c r="O441" s="69"/>
      <c r="P441" s="69"/>
    </row>
    <row r="442" spans="5:16" x14ac:dyDescent="0.3">
      <c r="E442" s="6"/>
      <c r="F442" s="6"/>
      <c r="G442" s="6"/>
      <c r="H442" s="6"/>
      <c r="I442" s="6"/>
      <c r="J442" s="6"/>
      <c r="K442" s="7"/>
      <c r="L442" s="7"/>
      <c r="M442" s="7"/>
      <c r="N442" s="7"/>
      <c r="O442" s="69"/>
      <c r="P442" s="69"/>
    </row>
    <row r="443" spans="5:16" x14ac:dyDescent="0.3">
      <c r="E443" s="6"/>
      <c r="F443" s="6"/>
      <c r="G443" s="6"/>
      <c r="H443" s="6"/>
      <c r="I443" s="6"/>
      <c r="J443" s="6"/>
      <c r="K443" s="7"/>
      <c r="L443" s="7"/>
      <c r="M443" s="7"/>
      <c r="N443" s="7"/>
      <c r="O443" s="69"/>
      <c r="P443" s="69"/>
    </row>
    <row r="444" spans="5:16" x14ac:dyDescent="0.3">
      <c r="E444" s="6"/>
      <c r="F444" s="6"/>
      <c r="G444" s="6"/>
      <c r="H444" s="6"/>
      <c r="I444" s="6"/>
      <c r="J444" s="6"/>
      <c r="K444" s="7"/>
      <c r="L444" s="7"/>
      <c r="M444" s="7"/>
      <c r="N444" s="7"/>
      <c r="O444" s="69"/>
      <c r="P444" s="69"/>
    </row>
    <row r="445" spans="5:16" x14ac:dyDescent="0.3">
      <c r="E445" s="6"/>
      <c r="F445" s="6"/>
      <c r="G445" s="6"/>
      <c r="H445" s="6"/>
      <c r="I445" s="6"/>
      <c r="J445" s="6"/>
      <c r="K445" s="7"/>
      <c r="L445" s="7"/>
      <c r="M445" s="7"/>
      <c r="N445" s="7"/>
      <c r="O445" s="69"/>
      <c r="P445" s="69"/>
    </row>
    <row r="446" spans="5:16" x14ac:dyDescent="0.3">
      <c r="E446" s="6"/>
      <c r="F446" s="6"/>
      <c r="G446" s="6"/>
      <c r="H446" s="6"/>
      <c r="I446" s="6"/>
      <c r="J446" s="6"/>
      <c r="K446" s="7"/>
      <c r="L446" s="7"/>
      <c r="M446" s="7"/>
      <c r="N446" s="7"/>
      <c r="O446" s="69"/>
      <c r="P446" s="69"/>
    </row>
    <row r="447" spans="5:16" x14ac:dyDescent="0.3">
      <c r="E447" s="6"/>
      <c r="F447" s="6"/>
      <c r="G447" s="6"/>
      <c r="H447" s="6"/>
      <c r="I447" s="6"/>
      <c r="J447" s="6"/>
      <c r="K447" s="7"/>
      <c r="L447" s="7"/>
      <c r="M447" s="7"/>
      <c r="N447" s="7"/>
      <c r="O447" s="69"/>
      <c r="P447" s="69"/>
    </row>
    <row r="448" spans="5:16" x14ac:dyDescent="0.3">
      <c r="E448" s="6"/>
      <c r="F448" s="6"/>
      <c r="G448" s="6"/>
      <c r="H448" s="6"/>
      <c r="I448" s="6"/>
      <c r="J448" s="6"/>
      <c r="K448" s="7"/>
      <c r="L448" s="7"/>
      <c r="M448" s="7"/>
      <c r="N448" s="7"/>
      <c r="O448" s="69"/>
      <c r="P448" s="69"/>
    </row>
    <row r="449" spans="5:16" x14ac:dyDescent="0.3">
      <c r="E449" s="6"/>
      <c r="F449" s="6"/>
      <c r="G449" s="6"/>
      <c r="H449" s="6"/>
      <c r="I449" s="6"/>
      <c r="J449" s="6"/>
      <c r="K449" s="7"/>
      <c r="L449" s="7"/>
      <c r="M449" s="7"/>
      <c r="N449" s="7"/>
      <c r="O449" s="69"/>
      <c r="P449" s="69"/>
    </row>
    <row r="450" spans="5:16" x14ac:dyDescent="0.3">
      <c r="E450" s="6"/>
      <c r="F450" s="6"/>
      <c r="G450" s="6"/>
      <c r="H450" s="6"/>
      <c r="I450" s="6"/>
      <c r="J450" s="6"/>
      <c r="K450" s="7"/>
      <c r="L450" s="7"/>
      <c r="M450" s="7"/>
      <c r="N450" s="7"/>
      <c r="O450" s="69"/>
      <c r="P450" s="69"/>
    </row>
    <row r="451" spans="5:16" x14ac:dyDescent="0.3">
      <c r="E451" s="6"/>
      <c r="F451" s="6"/>
      <c r="G451" s="6"/>
      <c r="H451" s="6"/>
      <c r="I451" s="6"/>
      <c r="J451" s="6"/>
      <c r="K451" s="7"/>
      <c r="L451" s="7"/>
      <c r="M451" s="7"/>
      <c r="N451" s="7"/>
      <c r="O451" s="69"/>
      <c r="P451" s="69"/>
    </row>
    <row r="452" spans="5:16" x14ac:dyDescent="0.3">
      <c r="E452" s="6"/>
      <c r="F452" s="6"/>
      <c r="G452" s="6"/>
      <c r="H452" s="6"/>
      <c r="I452" s="6"/>
      <c r="J452" s="6"/>
      <c r="K452" s="7"/>
      <c r="L452" s="7"/>
      <c r="M452" s="7"/>
      <c r="N452" s="7"/>
      <c r="O452" s="69"/>
      <c r="P452" s="69"/>
    </row>
    <row r="453" spans="5:16" x14ac:dyDescent="0.3">
      <c r="E453" s="6"/>
      <c r="F453" s="6"/>
      <c r="G453" s="6"/>
      <c r="H453" s="6"/>
      <c r="I453" s="6"/>
      <c r="J453" s="6"/>
      <c r="K453" s="7"/>
      <c r="L453" s="7"/>
      <c r="M453" s="7"/>
      <c r="N453" s="7"/>
      <c r="O453" s="69"/>
      <c r="P453" s="69"/>
    </row>
    <row r="454" spans="5:16" x14ac:dyDescent="0.3">
      <c r="E454" s="6"/>
      <c r="F454" s="6"/>
      <c r="G454" s="6"/>
      <c r="H454" s="6"/>
      <c r="I454" s="6"/>
      <c r="J454" s="6"/>
      <c r="K454" s="7"/>
      <c r="L454" s="7"/>
      <c r="M454" s="7"/>
      <c r="N454" s="7"/>
      <c r="O454" s="69"/>
      <c r="P454" s="69"/>
    </row>
    <row r="455" spans="5:16" x14ac:dyDescent="0.3">
      <c r="E455" s="6"/>
      <c r="F455" s="6"/>
      <c r="G455" s="6"/>
      <c r="H455" s="6"/>
      <c r="I455" s="6"/>
      <c r="J455" s="6"/>
      <c r="K455" s="7"/>
      <c r="L455" s="7"/>
      <c r="M455" s="7"/>
      <c r="N455" s="7"/>
      <c r="O455" s="69"/>
      <c r="P455" s="69"/>
    </row>
    <row r="456" spans="5:16" x14ac:dyDescent="0.3">
      <c r="E456" s="6"/>
      <c r="F456" s="6"/>
      <c r="G456" s="6"/>
      <c r="H456" s="6"/>
      <c r="I456" s="6"/>
      <c r="J456" s="6"/>
      <c r="K456" s="7"/>
      <c r="L456" s="7"/>
      <c r="M456" s="7"/>
      <c r="N456" s="7"/>
      <c r="O456" s="69"/>
      <c r="P456" s="69"/>
    </row>
    <row r="457" spans="5:16" x14ac:dyDescent="0.3">
      <c r="E457" s="6"/>
      <c r="F457" s="6"/>
      <c r="G457" s="6"/>
      <c r="H457" s="6"/>
      <c r="I457" s="6"/>
      <c r="J457" s="6"/>
      <c r="K457" s="7"/>
      <c r="L457" s="7"/>
      <c r="M457" s="7"/>
      <c r="N457" s="7"/>
      <c r="O457" s="69"/>
      <c r="P457" s="69"/>
    </row>
    <row r="458" spans="5:16" x14ac:dyDescent="0.3">
      <c r="E458" s="6"/>
      <c r="F458" s="6"/>
      <c r="G458" s="6"/>
      <c r="H458" s="6"/>
      <c r="I458" s="6"/>
      <c r="J458" s="6"/>
      <c r="K458" s="7"/>
      <c r="L458" s="7"/>
      <c r="M458" s="7"/>
      <c r="N458" s="7"/>
      <c r="O458" s="69"/>
      <c r="P458" s="69"/>
    </row>
    <row r="459" spans="5:16" x14ac:dyDescent="0.3">
      <c r="E459" s="6"/>
      <c r="F459" s="6"/>
      <c r="G459" s="6"/>
      <c r="H459" s="6"/>
      <c r="I459" s="6"/>
      <c r="J459" s="6"/>
      <c r="K459" s="7"/>
      <c r="L459" s="7"/>
      <c r="M459" s="7"/>
      <c r="N459" s="7"/>
      <c r="O459" s="69"/>
      <c r="P459" s="69"/>
    </row>
    <row r="460" spans="5:16" x14ac:dyDescent="0.3">
      <c r="E460" s="6"/>
      <c r="F460" s="6"/>
      <c r="G460" s="6"/>
      <c r="H460" s="6"/>
      <c r="I460" s="6"/>
      <c r="J460" s="6"/>
      <c r="K460" s="7"/>
      <c r="L460" s="7"/>
      <c r="M460" s="7"/>
      <c r="N460" s="7"/>
      <c r="O460" s="69"/>
      <c r="P460" s="69"/>
    </row>
    <row r="461" spans="5:16" x14ac:dyDescent="0.3">
      <c r="E461" s="6"/>
      <c r="F461" s="6"/>
      <c r="G461" s="6"/>
      <c r="H461" s="6"/>
      <c r="I461" s="6"/>
      <c r="J461" s="6"/>
      <c r="K461" s="7"/>
      <c r="L461" s="7"/>
      <c r="M461" s="7"/>
      <c r="N461" s="7"/>
      <c r="O461" s="69"/>
      <c r="P461" s="69"/>
    </row>
    <row r="462" spans="5:16" x14ac:dyDescent="0.3">
      <c r="E462" s="6"/>
      <c r="F462" s="6"/>
      <c r="G462" s="6"/>
      <c r="H462" s="6"/>
      <c r="I462" s="6"/>
      <c r="J462" s="6"/>
      <c r="K462" s="7"/>
      <c r="L462" s="7"/>
      <c r="M462" s="7"/>
      <c r="N462" s="7"/>
      <c r="O462" s="69"/>
      <c r="P462" s="69"/>
    </row>
    <row r="463" spans="5:16" x14ac:dyDescent="0.3">
      <c r="E463" s="6"/>
      <c r="F463" s="6"/>
      <c r="G463" s="6"/>
      <c r="H463" s="6"/>
      <c r="I463" s="6"/>
      <c r="J463" s="6"/>
      <c r="K463" s="7"/>
      <c r="L463" s="7"/>
      <c r="M463" s="7"/>
      <c r="N463" s="7"/>
      <c r="O463" s="69"/>
      <c r="P463" s="69"/>
    </row>
    <row r="464" spans="5:16" x14ac:dyDescent="0.3">
      <c r="E464" s="6"/>
      <c r="F464" s="6"/>
      <c r="G464" s="6"/>
      <c r="H464" s="6"/>
      <c r="I464" s="6"/>
      <c r="J464" s="6"/>
      <c r="K464" s="7"/>
      <c r="L464" s="7"/>
      <c r="M464" s="7"/>
      <c r="N464" s="7"/>
      <c r="O464" s="69"/>
      <c r="P464" s="69"/>
    </row>
    <row r="465" spans="5:16" x14ac:dyDescent="0.3">
      <c r="E465" s="6"/>
      <c r="F465" s="6"/>
      <c r="G465" s="6"/>
      <c r="H465" s="6"/>
      <c r="I465" s="6"/>
      <c r="J465" s="6"/>
      <c r="K465" s="7"/>
      <c r="L465" s="7"/>
      <c r="M465" s="7"/>
      <c r="N465" s="7"/>
      <c r="O465" s="69"/>
      <c r="P465" s="69"/>
    </row>
    <row r="466" spans="5:16" x14ac:dyDescent="0.3">
      <c r="E466" s="6"/>
      <c r="F466" s="6"/>
      <c r="G466" s="6"/>
      <c r="H466" s="6"/>
      <c r="I466" s="6"/>
      <c r="J466" s="6"/>
      <c r="K466" s="7"/>
      <c r="L466" s="7"/>
      <c r="M466" s="7"/>
      <c r="N466" s="7"/>
      <c r="O466" s="69"/>
      <c r="P466" s="69"/>
    </row>
    <row r="467" spans="5:16" x14ac:dyDescent="0.3">
      <c r="E467" s="6"/>
      <c r="F467" s="6"/>
      <c r="G467" s="6"/>
      <c r="H467" s="6"/>
      <c r="I467" s="6"/>
      <c r="J467" s="6"/>
      <c r="K467" s="7"/>
      <c r="L467" s="7"/>
      <c r="M467" s="7"/>
      <c r="N467" s="7"/>
      <c r="O467" s="69"/>
      <c r="P467" s="69"/>
    </row>
    <row r="468" spans="5:16" x14ac:dyDescent="0.3">
      <c r="E468" s="6"/>
      <c r="F468" s="6"/>
      <c r="G468" s="6"/>
      <c r="H468" s="6"/>
      <c r="I468" s="6"/>
      <c r="J468" s="6"/>
      <c r="K468" s="7"/>
      <c r="L468" s="7"/>
      <c r="M468" s="7"/>
      <c r="N468" s="7"/>
      <c r="O468" s="69"/>
      <c r="P468" s="69"/>
    </row>
    <row r="469" spans="5:16" x14ac:dyDescent="0.3">
      <c r="E469" s="6"/>
      <c r="F469" s="6"/>
      <c r="G469" s="6"/>
      <c r="H469" s="6"/>
      <c r="I469" s="6"/>
      <c r="J469" s="6"/>
      <c r="K469" s="7"/>
      <c r="L469" s="7"/>
      <c r="M469" s="7"/>
      <c r="N469" s="7"/>
      <c r="O469" s="69"/>
      <c r="P469" s="69"/>
    </row>
    <row r="470" spans="5:16" x14ac:dyDescent="0.3">
      <c r="E470" s="6"/>
      <c r="F470" s="6"/>
      <c r="G470" s="6"/>
      <c r="H470" s="6"/>
      <c r="I470" s="6"/>
      <c r="J470" s="6"/>
      <c r="K470" s="7"/>
      <c r="L470" s="7"/>
      <c r="M470" s="7"/>
      <c r="N470" s="7"/>
      <c r="O470" s="69"/>
      <c r="P470" s="69"/>
    </row>
    <row r="471" spans="5:16" x14ac:dyDescent="0.3">
      <c r="E471" s="6"/>
      <c r="F471" s="6"/>
      <c r="G471" s="6"/>
      <c r="H471" s="6"/>
      <c r="I471" s="6"/>
      <c r="J471" s="6"/>
      <c r="K471" s="7"/>
      <c r="L471" s="7"/>
      <c r="M471" s="7"/>
      <c r="N471" s="7"/>
      <c r="O471" s="69"/>
      <c r="P471" s="69"/>
    </row>
    <row r="472" spans="5:16" x14ac:dyDescent="0.3">
      <c r="E472" s="6"/>
      <c r="F472" s="6"/>
      <c r="G472" s="6"/>
      <c r="H472" s="6"/>
      <c r="I472" s="6"/>
      <c r="J472" s="6"/>
      <c r="K472" s="7"/>
      <c r="L472" s="7"/>
      <c r="M472" s="7"/>
      <c r="N472" s="7"/>
      <c r="O472" s="69"/>
      <c r="P472" s="69"/>
    </row>
    <row r="473" spans="5:16" x14ac:dyDescent="0.3">
      <c r="E473" s="6"/>
      <c r="F473" s="6"/>
      <c r="G473" s="6"/>
      <c r="H473" s="6"/>
      <c r="I473" s="6"/>
      <c r="J473" s="6"/>
      <c r="K473" s="7"/>
      <c r="L473" s="7"/>
      <c r="M473" s="7"/>
      <c r="N473" s="7"/>
      <c r="O473" s="69"/>
      <c r="P473" s="69"/>
    </row>
    <row r="474" spans="5:16" x14ac:dyDescent="0.3">
      <c r="E474" s="6"/>
      <c r="F474" s="6"/>
      <c r="G474" s="6"/>
      <c r="H474" s="6"/>
      <c r="I474" s="6"/>
      <c r="J474" s="6"/>
      <c r="K474" s="7"/>
      <c r="L474" s="7"/>
      <c r="M474" s="7"/>
      <c r="N474" s="7"/>
      <c r="O474" s="69"/>
      <c r="P474" s="69"/>
    </row>
    <row r="475" spans="5:16" x14ac:dyDescent="0.3">
      <c r="E475" s="6"/>
      <c r="F475" s="6"/>
      <c r="G475" s="6"/>
      <c r="H475" s="6"/>
      <c r="I475" s="6"/>
      <c r="J475" s="6"/>
      <c r="K475" s="7"/>
      <c r="L475" s="7"/>
      <c r="M475" s="7"/>
      <c r="N475" s="7"/>
      <c r="O475" s="69"/>
      <c r="P475" s="69"/>
    </row>
    <row r="476" spans="5:16" x14ac:dyDescent="0.3">
      <c r="E476" s="6"/>
      <c r="F476" s="6"/>
      <c r="G476" s="6"/>
      <c r="H476" s="6"/>
      <c r="I476" s="6"/>
      <c r="J476" s="6"/>
      <c r="K476" s="7"/>
      <c r="L476" s="7"/>
      <c r="M476" s="7"/>
      <c r="N476" s="7"/>
      <c r="O476" s="69"/>
      <c r="P476" s="69"/>
    </row>
    <row r="477" spans="5:16" x14ac:dyDescent="0.3">
      <c r="E477" s="6"/>
      <c r="F477" s="6"/>
      <c r="G477" s="6"/>
      <c r="H477" s="6"/>
      <c r="I477" s="6"/>
      <c r="J477" s="6"/>
      <c r="K477" s="7"/>
      <c r="L477" s="7"/>
      <c r="M477" s="7"/>
      <c r="N477" s="7"/>
      <c r="O477" s="69"/>
      <c r="P477" s="69"/>
    </row>
    <row r="478" spans="5:16" x14ac:dyDescent="0.3">
      <c r="E478" s="6"/>
      <c r="F478" s="6"/>
      <c r="G478" s="6"/>
      <c r="H478" s="6"/>
      <c r="I478" s="6"/>
      <c r="J478" s="6"/>
      <c r="K478" s="7"/>
      <c r="L478" s="7"/>
      <c r="M478" s="7"/>
      <c r="N478" s="7"/>
      <c r="O478" s="69"/>
      <c r="P478" s="69"/>
    </row>
    <row r="479" spans="5:16" x14ac:dyDescent="0.3">
      <c r="E479" s="6"/>
      <c r="F479" s="6"/>
      <c r="G479" s="6"/>
      <c r="H479" s="6"/>
      <c r="I479" s="6"/>
      <c r="J479" s="6"/>
      <c r="K479" s="7"/>
      <c r="L479" s="7"/>
      <c r="M479" s="7"/>
      <c r="N479" s="7"/>
      <c r="O479" s="69"/>
      <c r="P479" s="69"/>
    </row>
    <row r="480" spans="5:16" x14ac:dyDescent="0.3">
      <c r="E480" s="6"/>
      <c r="F480" s="6"/>
      <c r="G480" s="6"/>
      <c r="H480" s="6"/>
      <c r="I480" s="6"/>
      <c r="J480" s="6"/>
      <c r="K480" s="7"/>
      <c r="L480" s="7"/>
      <c r="M480" s="7"/>
      <c r="N480" s="7"/>
      <c r="O480" s="69"/>
      <c r="P480" s="69"/>
    </row>
    <row r="481" spans="5:16" x14ac:dyDescent="0.3">
      <c r="E481" s="6"/>
      <c r="F481" s="6"/>
      <c r="G481" s="6"/>
      <c r="H481" s="6"/>
      <c r="I481" s="6"/>
      <c r="J481" s="6"/>
      <c r="K481" s="7"/>
      <c r="L481" s="7"/>
      <c r="M481" s="7"/>
      <c r="N481" s="7"/>
      <c r="O481" s="69"/>
      <c r="P481" s="69"/>
    </row>
    <row r="482" spans="5:16" x14ac:dyDescent="0.3">
      <c r="E482" s="6"/>
      <c r="F482" s="6"/>
      <c r="G482" s="6"/>
      <c r="H482" s="6"/>
      <c r="I482" s="6"/>
      <c r="J482" s="6"/>
      <c r="K482" s="7"/>
      <c r="L482" s="7"/>
      <c r="M482" s="7"/>
      <c r="N482" s="7"/>
      <c r="O482" s="69"/>
      <c r="P482" s="69"/>
    </row>
    <row r="483" spans="5:16" x14ac:dyDescent="0.3">
      <c r="E483" s="6"/>
      <c r="F483" s="6"/>
      <c r="G483" s="6"/>
      <c r="H483" s="6"/>
      <c r="I483" s="6"/>
      <c r="J483" s="6"/>
      <c r="K483" s="7"/>
      <c r="L483" s="7"/>
      <c r="M483" s="7"/>
      <c r="N483" s="7"/>
      <c r="O483" s="69"/>
      <c r="P483" s="69"/>
    </row>
    <row r="484" spans="5:16" x14ac:dyDescent="0.3">
      <c r="E484" s="6"/>
      <c r="F484" s="6"/>
      <c r="G484" s="6"/>
      <c r="H484" s="6"/>
      <c r="I484" s="6"/>
      <c r="J484" s="6"/>
      <c r="K484" s="7"/>
      <c r="L484" s="7"/>
      <c r="M484" s="7"/>
      <c r="N484" s="7"/>
      <c r="O484" s="69"/>
      <c r="P484" s="69"/>
    </row>
    <row r="485" spans="5:16" x14ac:dyDescent="0.3">
      <c r="E485" s="6"/>
      <c r="F485" s="6"/>
      <c r="G485" s="6"/>
      <c r="H485" s="6"/>
      <c r="I485" s="6"/>
      <c r="J485" s="6"/>
      <c r="K485" s="7"/>
      <c r="L485" s="7"/>
      <c r="M485" s="7"/>
      <c r="N485" s="7"/>
      <c r="O485" s="69"/>
      <c r="P485" s="69"/>
    </row>
    <row r="486" spans="5:16" x14ac:dyDescent="0.3">
      <c r="E486" s="6"/>
      <c r="F486" s="6"/>
      <c r="G486" s="6"/>
      <c r="H486" s="6"/>
      <c r="I486" s="6"/>
      <c r="J486" s="6"/>
      <c r="K486" s="7"/>
      <c r="L486" s="7"/>
      <c r="M486" s="7"/>
      <c r="N486" s="7"/>
      <c r="O486" s="69"/>
      <c r="P486" s="69"/>
    </row>
    <row r="487" spans="5:16" x14ac:dyDescent="0.3">
      <c r="E487" s="6"/>
      <c r="F487" s="6"/>
      <c r="G487" s="6"/>
      <c r="H487" s="6"/>
      <c r="I487" s="6"/>
      <c r="J487" s="6"/>
      <c r="K487" s="7"/>
      <c r="L487" s="7"/>
      <c r="M487" s="7"/>
      <c r="N487" s="7"/>
      <c r="O487" s="69"/>
      <c r="P487" s="69"/>
    </row>
    <row r="488" spans="5:16" x14ac:dyDescent="0.3">
      <c r="E488" s="6"/>
      <c r="F488" s="6"/>
      <c r="G488" s="6"/>
      <c r="H488" s="6"/>
      <c r="I488" s="6"/>
      <c r="J488" s="6"/>
      <c r="K488" s="7"/>
      <c r="L488" s="7"/>
      <c r="M488" s="7"/>
      <c r="N488" s="7"/>
      <c r="O488" s="69"/>
      <c r="P488" s="69"/>
    </row>
    <row r="489" spans="5:16" x14ac:dyDescent="0.3">
      <c r="E489" s="6"/>
      <c r="F489" s="6"/>
      <c r="G489" s="6"/>
      <c r="H489" s="6"/>
      <c r="I489" s="6"/>
      <c r="J489" s="6"/>
      <c r="K489" s="7"/>
      <c r="L489" s="7"/>
      <c r="M489" s="7"/>
      <c r="N489" s="7"/>
      <c r="O489" s="69"/>
      <c r="P489" s="69"/>
    </row>
    <row r="490" spans="5:16" x14ac:dyDescent="0.3">
      <c r="E490" s="6"/>
      <c r="F490" s="6"/>
      <c r="G490" s="6"/>
      <c r="H490" s="6"/>
      <c r="I490" s="6"/>
      <c r="J490" s="6"/>
      <c r="K490" s="7"/>
      <c r="L490" s="7"/>
      <c r="M490" s="7"/>
      <c r="N490" s="7"/>
      <c r="O490" s="69"/>
      <c r="P490" s="69"/>
    </row>
    <row r="491" spans="5:16" x14ac:dyDescent="0.3">
      <c r="E491" s="6"/>
      <c r="F491" s="6"/>
      <c r="G491" s="6"/>
      <c r="H491" s="6"/>
      <c r="I491" s="6"/>
      <c r="J491" s="6"/>
      <c r="K491" s="7"/>
      <c r="L491" s="7"/>
      <c r="M491" s="7"/>
      <c r="N491" s="7"/>
      <c r="O491" s="69"/>
      <c r="P491" s="69"/>
    </row>
    <row r="492" spans="5:16" x14ac:dyDescent="0.3">
      <c r="E492" s="6"/>
      <c r="F492" s="6"/>
      <c r="G492" s="6"/>
      <c r="H492" s="6"/>
      <c r="I492" s="6"/>
      <c r="J492" s="6"/>
      <c r="K492" s="7"/>
      <c r="L492" s="7"/>
      <c r="M492" s="7"/>
      <c r="N492" s="7"/>
      <c r="O492" s="69"/>
      <c r="P492" s="69"/>
    </row>
    <row r="493" spans="5:16" x14ac:dyDescent="0.3">
      <c r="E493" s="6"/>
      <c r="F493" s="6"/>
      <c r="G493" s="6"/>
      <c r="H493" s="6"/>
      <c r="I493" s="6"/>
      <c r="J493" s="6"/>
      <c r="K493" s="7"/>
      <c r="L493" s="7"/>
      <c r="M493" s="7"/>
      <c r="N493" s="7"/>
      <c r="O493" s="69"/>
      <c r="P493" s="69"/>
    </row>
    <row r="494" spans="5:16" x14ac:dyDescent="0.3">
      <c r="E494" s="6"/>
      <c r="F494" s="6"/>
      <c r="G494" s="6"/>
      <c r="H494" s="6"/>
      <c r="I494" s="6"/>
      <c r="J494" s="6"/>
      <c r="K494" s="7"/>
      <c r="L494" s="7"/>
      <c r="M494" s="7"/>
      <c r="N494" s="7"/>
      <c r="O494" s="69"/>
      <c r="P494" s="69"/>
    </row>
    <row r="495" spans="5:16" x14ac:dyDescent="0.3">
      <c r="E495" s="6"/>
      <c r="F495" s="6"/>
      <c r="G495" s="6"/>
      <c r="H495" s="6"/>
      <c r="I495" s="6"/>
      <c r="J495" s="6"/>
      <c r="K495" s="7"/>
      <c r="L495" s="7"/>
      <c r="M495" s="7"/>
      <c r="N495" s="7"/>
      <c r="O495" s="69"/>
      <c r="P495" s="69"/>
    </row>
    <row r="496" spans="5:16" x14ac:dyDescent="0.3">
      <c r="E496" s="6"/>
      <c r="F496" s="6"/>
      <c r="G496" s="6"/>
      <c r="H496" s="6"/>
      <c r="I496" s="6"/>
      <c r="J496" s="6"/>
      <c r="K496" s="7"/>
      <c r="L496" s="7"/>
      <c r="M496" s="7"/>
      <c r="N496" s="7"/>
      <c r="O496" s="69"/>
      <c r="P496" s="69"/>
    </row>
    <row r="497" spans="5:16" x14ac:dyDescent="0.3">
      <c r="E497" s="6"/>
      <c r="F497" s="6"/>
      <c r="G497" s="6"/>
      <c r="H497" s="6"/>
      <c r="I497" s="6"/>
      <c r="J497" s="6"/>
      <c r="K497" s="7"/>
      <c r="L497" s="7"/>
      <c r="M497" s="7"/>
      <c r="N497" s="7"/>
      <c r="O497" s="69"/>
      <c r="P497" s="69"/>
    </row>
    <row r="498" spans="5:16" x14ac:dyDescent="0.3">
      <c r="E498" s="6"/>
      <c r="F498" s="6"/>
      <c r="G498" s="6"/>
      <c r="H498" s="6"/>
      <c r="I498" s="6"/>
      <c r="J498" s="6"/>
      <c r="K498" s="7"/>
      <c r="L498" s="7"/>
      <c r="M498" s="7"/>
      <c r="N498" s="7"/>
      <c r="O498" s="69"/>
      <c r="P498" s="69"/>
    </row>
    <row r="499" spans="5:16" x14ac:dyDescent="0.3">
      <c r="E499" s="6"/>
      <c r="F499" s="6"/>
      <c r="G499" s="6"/>
      <c r="H499" s="6"/>
      <c r="I499" s="6"/>
      <c r="J499" s="6"/>
      <c r="K499" s="7"/>
      <c r="L499" s="7"/>
      <c r="M499" s="7"/>
      <c r="N499" s="7"/>
      <c r="O499" s="69"/>
      <c r="P499" s="69"/>
    </row>
    <row r="500" spans="5:16" x14ac:dyDescent="0.3">
      <c r="E500" s="6"/>
      <c r="F500" s="6"/>
      <c r="G500" s="6"/>
      <c r="H500" s="6"/>
      <c r="I500" s="6"/>
      <c r="J500" s="6"/>
      <c r="K500" s="7"/>
      <c r="L500" s="7"/>
      <c r="M500" s="7"/>
      <c r="N500" s="7"/>
      <c r="O500" s="69"/>
      <c r="P500" s="69"/>
    </row>
    <row r="501" spans="5:16" x14ac:dyDescent="0.3">
      <c r="E501" s="6"/>
      <c r="F501" s="6"/>
      <c r="G501" s="6"/>
      <c r="H501" s="6"/>
      <c r="I501" s="6"/>
      <c r="J501" s="6"/>
      <c r="K501" s="7"/>
      <c r="L501" s="7"/>
      <c r="M501" s="7"/>
      <c r="N501" s="7"/>
      <c r="O501" s="69"/>
      <c r="P501" s="69"/>
    </row>
    <row r="502" spans="5:16" x14ac:dyDescent="0.3">
      <c r="E502" s="6"/>
      <c r="F502" s="6"/>
      <c r="G502" s="6"/>
      <c r="H502" s="6"/>
      <c r="I502" s="6"/>
      <c r="J502" s="6"/>
      <c r="K502" s="7"/>
      <c r="L502" s="7"/>
      <c r="M502" s="7"/>
      <c r="N502" s="7"/>
      <c r="O502" s="69"/>
      <c r="P502" s="69"/>
    </row>
    <row r="503" spans="5:16" x14ac:dyDescent="0.3">
      <c r="E503" s="6"/>
      <c r="F503" s="6"/>
      <c r="G503" s="6"/>
      <c r="H503" s="6"/>
      <c r="I503" s="6"/>
      <c r="J503" s="6"/>
      <c r="K503" s="7"/>
      <c r="L503" s="7"/>
      <c r="M503" s="7"/>
      <c r="N503" s="7"/>
      <c r="O503" s="69"/>
      <c r="P503" s="69"/>
    </row>
    <row r="504" spans="5:16" x14ac:dyDescent="0.3">
      <c r="E504" s="6"/>
      <c r="F504" s="6"/>
      <c r="G504" s="6"/>
      <c r="H504" s="6"/>
      <c r="I504" s="6"/>
      <c r="J504" s="6"/>
      <c r="K504" s="7"/>
      <c r="L504" s="7"/>
      <c r="M504" s="7"/>
      <c r="N504" s="7"/>
      <c r="O504" s="69"/>
      <c r="P504" s="69"/>
    </row>
    <row r="505" spans="5:16" x14ac:dyDescent="0.3">
      <c r="E505" s="6"/>
      <c r="F505" s="6"/>
      <c r="G505" s="6"/>
      <c r="H505" s="6"/>
      <c r="I505" s="6"/>
      <c r="J505" s="6"/>
      <c r="K505" s="7"/>
      <c r="L505" s="7"/>
      <c r="M505" s="7"/>
      <c r="N505" s="7"/>
      <c r="O505" s="69"/>
      <c r="P505" s="69"/>
    </row>
    <row r="506" spans="5:16" x14ac:dyDescent="0.3">
      <c r="E506" s="6"/>
      <c r="F506" s="6"/>
      <c r="G506" s="6"/>
      <c r="H506" s="6"/>
      <c r="I506" s="6"/>
      <c r="J506" s="6"/>
      <c r="K506" s="7"/>
      <c r="L506" s="7"/>
      <c r="M506" s="7"/>
      <c r="N506" s="7"/>
      <c r="O506" s="69"/>
      <c r="P506" s="69"/>
    </row>
    <row r="507" spans="5:16" x14ac:dyDescent="0.3">
      <c r="E507" s="6"/>
      <c r="F507" s="6"/>
      <c r="G507" s="6"/>
      <c r="H507" s="6"/>
      <c r="I507" s="6"/>
      <c r="J507" s="6"/>
      <c r="K507" s="7"/>
      <c r="L507" s="7"/>
      <c r="M507" s="7"/>
      <c r="N507" s="7"/>
      <c r="O507" s="69"/>
      <c r="P507" s="69"/>
    </row>
    <row r="508" spans="5:16" x14ac:dyDescent="0.3">
      <c r="E508" s="6"/>
      <c r="F508" s="6"/>
      <c r="G508" s="6"/>
      <c r="H508" s="6"/>
      <c r="I508" s="6"/>
      <c r="J508" s="6"/>
      <c r="K508" s="7"/>
      <c r="L508" s="7"/>
      <c r="M508" s="7"/>
      <c r="N508" s="7"/>
      <c r="O508" s="69"/>
      <c r="P508" s="69"/>
    </row>
    <row r="509" spans="5:16" x14ac:dyDescent="0.3">
      <c r="E509" s="6"/>
      <c r="F509" s="6"/>
      <c r="G509" s="6"/>
      <c r="H509" s="6"/>
      <c r="I509" s="6"/>
      <c r="J509" s="6"/>
      <c r="K509" s="7"/>
      <c r="L509" s="7"/>
      <c r="M509" s="7"/>
      <c r="N509" s="7"/>
      <c r="O509" s="69"/>
      <c r="P509" s="69"/>
    </row>
    <row r="510" spans="5:16" x14ac:dyDescent="0.3">
      <c r="E510" s="6"/>
      <c r="F510" s="6"/>
      <c r="G510" s="6"/>
      <c r="H510" s="6"/>
      <c r="I510" s="6"/>
      <c r="J510" s="6"/>
      <c r="K510" s="7"/>
      <c r="L510" s="7"/>
      <c r="M510" s="7"/>
      <c r="N510" s="7"/>
      <c r="O510" s="69"/>
      <c r="P510" s="69"/>
    </row>
    <row r="511" spans="5:16" x14ac:dyDescent="0.3">
      <c r="E511" s="6"/>
      <c r="F511" s="6"/>
      <c r="G511" s="6"/>
      <c r="H511" s="6"/>
      <c r="I511" s="6"/>
      <c r="J511" s="6"/>
      <c r="K511" s="7"/>
      <c r="L511" s="7"/>
      <c r="M511" s="7"/>
      <c r="N511" s="7"/>
      <c r="O511" s="69"/>
      <c r="P511" s="69"/>
    </row>
    <row r="512" spans="5:16" x14ac:dyDescent="0.3">
      <c r="E512" s="6"/>
      <c r="F512" s="6"/>
      <c r="G512" s="6"/>
      <c r="H512" s="6"/>
      <c r="I512" s="6"/>
      <c r="J512" s="6"/>
      <c r="K512" s="7"/>
      <c r="L512" s="7"/>
      <c r="M512" s="7"/>
      <c r="N512" s="7"/>
      <c r="O512" s="69"/>
      <c r="P512" s="69"/>
    </row>
    <row r="513" spans="5:16" x14ac:dyDescent="0.3">
      <c r="E513" s="6"/>
      <c r="F513" s="6"/>
      <c r="G513" s="6"/>
      <c r="H513" s="6"/>
      <c r="I513" s="6"/>
      <c r="J513" s="6"/>
      <c r="K513" s="7"/>
      <c r="L513" s="7"/>
      <c r="M513" s="7"/>
      <c r="N513" s="7"/>
      <c r="O513" s="69"/>
      <c r="P513" s="69"/>
    </row>
    <row r="514" spans="5:16" x14ac:dyDescent="0.3">
      <c r="E514" s="6"/>
      <c r="F514" s="6"/>
      <c r="G514" s="6"/>
      <c r="H514" s="6"/>
      <c r="I514" s="6"/>
      <c r="J514" s="6"/>
      <c r="K514" s="7"/>
      <c r="L514" s="7"/>
      <c r="M514" s="7"/>
      <c r="N514" s="7"/>
      <c r="O514" s="69"/>
      <c r="P514" s="69"/>
    </row>
    <row r="515" spans="5:16" x14ac:dyDescent="0.3">
      <c r="E515" s="6"/>
      <c r="F515" s="6"/>
      <c r="G515" s="6"/>
      <c r="H515" s="6"/>
      <c r="I515" s="6"/>
      <c r="J515" s="6"/>
      <c r="K515" s="7"/>
      <c r="L515" s="7"/>
      <c r="M515" s="7"/>
      <c r="N515" s="7"/>
      <c r="O515" s="69"/>
      <c r="P515" s="69"/>
    </row>
    <row r="516" spans="5:16" x14ac:dyDescent="0.3">
      <c r="E516" s="6"/>
      <c r="F516" s="6"/>
      <c r="G516" s="6"/>
      <c r="H516" s="6"/>
      <c r="I516" s="6"/>
      <c r="J516" s="6"/>
      <c r="K516" s="7"/>
      <c r="L516" s="7"/>
      <c r="M516" s="7"/>
      <c r="N516" s="7"/>
      <c r="O516" s="69"/>
      <c r="P516" s="69"/>
    </row>
    <row r="517" spans="5:16" x14ac:dyDescent="0.3">
      <c r="E517" s="6"/>
      <c r="F517" s="6"/>
      <c r="G517" s="6"/>
      <c r="H517" s="6"/>
      <c r="I517" s="6"/>
      <c r="J517" s="6"/>
      <c r="K517" s="7"/>
      <c r="L517" s="7"/>
      <c r="M517" s="7"/>
      <c r="N517" s="7"/>
      <c r="O517" s="69"/>
      <c r="P517" s="69"/>
    </row>
    <row r="518" spans="5:16" x14ac:dyDescent="0.3">
      <c r="E518" s="6"/>
      <c r="F518" s="6"/>
      <c r="G518" s="6"/>
      <c r="H518" s="6"/>
      <c r="I518" s="6"/>
      <c r="J518" s="6"/>
      <c r="K518" s="7"/>
      <c r="L518" s="7"/>
      <c r="M518" s="7"/>
      <c r="N518" s="7"/>
      <c r="O518" s="69"/>
      <c r="P518" s="69"/>
    </row>
    <row r="519" spans="5:16" x14ac:dyDescent="0.3">
      <c r="E519" s="6"/>
      <c r="F519" s="6"/>
      <c r="G519" s="6"/>
      <c r="H519" s="6"/>
      <c r="I519" s="6"/>
      <c r="J519" s="6"/>
      <c r="K519" s="7"/>
      <c r="L519" s="7"/>
      <c r="M519" s="7"/>
      <c r="N519" s="7"/>
      <c r="O519" s="69"/>
      <c r="P519" s="69"/>
    </row>
    <row r="520" spans="5:16" x14ac:dyDescent="0.3">
      <c r="E520" s="6"/>
      <c r="F520" s="6"/>
      <c r="G520" s="6"/>
      <c r="H520" s="6"/>
      <c r="I520" s="6"/>
      <c r="J520" s="6"/>
      <c r="K520" s="7"/>
      <c r="L520" s="7"/>
      <c r="M520" s="7"/>
      <c r="N520" s="7"/>
      <c r="O520" s="69"/>
      <c r="P520" s="69"/>
    </row>
    <row r="521" spans="5:16" x14ac:dyDescent="0.3">
      <c r="E521" s="6"/>
      <c r="F521" s="6"/>
      <c r="G521" s="6"/>
      <c r="H521" s="6"/>
      <c r="I521" s="6"/>
      <c r="J521" s="6"/>
      <c r="K521" s="7"/>
      <c r="L521" s="7"/>
      <c r="M521" s="7"/>
      <c r="N521" s="7"/>
      <c r="O521" s="69"/>
      <c r="P521" s="69"/>
    </row>
    <row r="522" spans="5:16" x14ac:dyDescent="0.3">
      <c r="E522" s="6"/>
      <c r="F522" s="6"/>
      <c r="G522" s="6"/>
      <c r="H522" s="6"/>
      <c r="I522" s="6"/>
      <c r="J522" s="6"/>
      <c r="K522" s="7"/>
      <c r="L522" s="7"/>
      <c r="M522" s="7"/>
      <c r="N522" s="7"/>
      <c r="O522" s="69"/>
      <c r="P522" s="69"/>
    </row>
    <row r="523" spans="5:16" x14ac:dyDescent="0.3">
      <c r="E523" s="6"/>
      <c r="F523" s="6"/>
      <c r="G523" s="6"/>
      <c r="H523" s="6"/>
      <c r="I523" s="6"/>
      <c r="J523" s="6"/>
      <c r="K523" s="7"/>
      <c r="L523" s="7"/>
      <c r="M523" s="7"/>
      <c r="N523" s="7"/>
      <c r="O523" s="69"/>
      <c r="P523" s="69"/>
    </row>
    <row r="524" spans="5:16" x14ac:dyDescent="0.3">
      <c r="E524" s="6"/>
      <c r="F524" s="6"/>
      <c r="G524" s="6"/>
      <c r="H524" s="6"/>
      <c r="I524" s="6"/>
      <c r="J524" s="6"/>
      <c r="K524" s="7"/>
      <c r="L524" s="7"/>
      <c r="M524" s="7"/>
      <c r="N524" s="7"/>
      <c r="O524" s="69"/>
      <c r="P524" s="69"/>
    </row>
    <row r="525" spans="5:16" x14ac:dyDescent="0.3">
      <c r="E525" s="6"/>
      <c r="F525" s="6"/>
      <c r="G525" s="6"/>
      <c r="H525" s="6"/>
      <c r="I525" s="6"/>
      <c r="J525" s="6"/>
      <c r="K525" s="7"/>
      <c r="L525" s="7"/>
      <c r="M525" s="7"/>
      <c r="N525" s="7"/>
      <c r="O525" s="69"/>
      <c r="P525" s="69"/>
    </row>
    <row r="526" spans="5:16" x14ac:dyDescent="0.3">
      <c r="E526" s="6"/>
      <c r="F526" s="6"/>
      <c r="G526" s="6"/>
      <c r="H526" s="6"/>
      <c r="I526" s="6"/>
      <c r="J526" s="6"/>
      <c r="K526" s="7"/>
      <c r="L526" s="7"/>
      <c r="M526" s="7"/>
      <c r="N526" s="7"/>
      <c r="O526" s="69"/>
      <c r="P526" s="69"/>
    </row>
    <row r="527" spans="5:16" x14ac:dyDescent="0.3">
      <c r="E527" s="6"/>
      <c r="F527" s="6"/>
      <c r="G527" s="6"/>
      <c r="H527" s="6"/>
      <c r="I527" s="6"/>
      <c r="J527" s="6"/>
      <c r="K527" s="7"/>
      <c r="L527" s="7"/>
      <c r="M527" s="7"/>
      <c r="N527" s="7"/>
      <c r="O527" s="69"/>
      <c r="P527" s="69"/>
    </row>
    <row r="528" spans="5:16" x14ac:dyDescent="0.3">
      <c r="E528" s="6"/>
      <c r="F528" s="6"/>
      <c r="G528" s="6"/>
      <c r="H528" s="6"/>
      <c r="I528" s="6"/>
      <c r="J528" s="6"/>
      <c r="K528" s="7"/>
      <c r="L528" s="7"/>
      <c r="M528" s="7"/>
      <c r="N528" s="7"/>
      <c r="O528" s="69"/>
      <c r="P528" s="69"/>
    </row>
    <row r="529" spans="5:16" x14ac:dyDescent="0.3">
      <c r="E529" s="6"/>
      <c r="F529" s="6"/>
      <c r="G529" s="6"/>
      <c r="H529" s="6"/>
      <c r="I529" s="6"/>
      <c r="J529" s="6"/>
      <c r="K529" s="7"/>
      <c r="L529" s="7"/>
      <c r="M529" s="7"/>
      <c r="N529" s="7"/>
      <c r="O529" s="69"/>
      <c r="P529" s="69"/>
    </row>
    <row r="530" spans="5:16" x14ac:dyDescent="0.3">
      <c r="E530" s="6"/>
      <c r="F530" s="6"/>
      <c r="G530" s="6"/>
      <c r="H530" s="6"/>
      <c r="I530" s="6"/>
      <c r="J530" s="6"/>
      <c r="K530" s="7"/>
      <c r="L530" s="7"/>
      <c r="M530" s="7"/>
      <c r="N530" s="7"/>
      <c r="O530" s="69"/>
      <c r="P530" s="69"/>
    </row>
    <row r="531" spans="5:16" x14ac:dyDescent="0.3">
      <c r="E531" s="6"/>
      <c r="F531" s="6"/>
      <c r="G531" s="6"/>
      <c r="H531" s="6"/>
      <c r="I531" s="6"/>
      <c r="J531" s="6"/>
      <c r="K531" s="7"/>
      <c r="L531" s="7"/>
      <c r="M531" s="7"/>
      <c r="N531" s="7"/>
      <c r="O531" s="69"/>
      <c r="P531" s="69"/>
    </row>
    <row r="532" spans="5:16" x14ac:dyDescent="0.3">
      <c r="E532" s="6"/>
      <c r="F532" s="6"/>
      <c r="G532" s="6"/>
      <c r="H532" s="6"/>
      <c r="I532" s="6"/>
      <c r="J532" s="6"/>
      <c r="K532" s="7"/>
      <c r="L532" s="7"/>
      <c r="M532" s="7"/>
      <c r="N532" s="7"/>
      <c r="O532" s="69"/>
      <c r="P532" s="69"/>
    </row>
    <row r="533" spans="5:16" x14ac:dyDescent="0.3">
      <c r="E533" s="6"/>
      <c r="F533" s="6"/>
      <c r="G533" s="6"/>
      <c r="H533" s="6"/>
      <c r="I533" s="6"/>
      <c r="J533" s="6"/>
      <c r="K533" s="7"/>
      <c r="L533" s="7"/>
      <c r="M533" s="7"/>
      <c r="N533" s="7"/>
      <c r="O533" s="69"/>
      <c r="P533" s="69"/>
    </row>
    <row r="534" spans="5:16" x14ac:dyDescent="0.3">
      <c r="E534" s="6"/>
      <c r="F534" s="6"/>
      <c r="G534" s="6"/>
      <c r="H534" s="6"/>
      <c r="I534" s="6"/>
      <c r="J534" s="6"/>
      <c r="K534" s="7"/>
      <c r="L534" s="7"/>
      <c r="M534" s="7"/>
      <c r="N534" s="7"/>
      <c r="O534" s="69"/>
      <c r="P534" s="69"/>
    </row>
    <row r="535" spans="5:16" x14ac:dyDescent="0.3">
      <c r="E535" s="6"/>
      <c r="F535" s="6"/>
      <c r="G535" s="6"/>
      <c r="H535" s="6"/>
      <c r="I535" s="6"/>
      <c r="J535" s="6"/>
      <c r="K535" s="7"/>
      <c r="L535" s="7"/>
      <c r="M535" s="7"/>
      <c r="N535" s="7"/>
      <c r="O535" s="69"/>
      <c r="P535" s="69"/>
    </row>
    <row r="536" spans="5:16" x14ac:dyDescent="0.3">
      <c r="E536" s="6"/>
      <c r="F536" s="6"/>
      <c r="G536" s="6"/>
      <c r="H536" s="6"/>
      <c r="I536" s="6"/>
      <c r="J536" s="6"/>
      <c r="K536" s="7"/>
      <c r="L536" s="7"/>
      <c r="M536" s="7"/>
      <c r="N536" s="7"/>
      <c r="O536" s="69"/>
      <c r="P536" s="69"/>
    </row>
    <row r="537" spans="5:16" x14ac:dyDescent="0.3">
      <c r="E537" s="6"/>
      <c r="F537" s="6"/>
      <c r="G537" s="6"/>
      <c r="H537" s="6"/>
      <c r="I537" s="6"/>
      <c r="J537" s="6"/>
      <c r="K537" s="7"/>
      <c r="L537" s="7"/>
      <c r="M537" s="7"/>
      <c r="N537" s="7"/>
      <c r="O537" s="69"/>
      <c r="P537" s="69"/>
    </row>
    <row r="538" spans="5:16" x14ac:dyDescent="0.3">
      <c r="E538" s="6"/>
      <c r="F538" s="6"/>
      <c r="G538" s="6"/>
      <c r="H538" s="6"/>
      <c r="I538" s="6"/>
      <c r="J538" s="6"/>
      <c r="K538" s="7"/>
      <c r="L538" s="7"/>
      <c r="M538" s="7"/>
      <c r="N538" s="7"/>
      <c r="O538" s="69"/>
      <c r="P538" s="69"/>
    </row>
    <row r="539" spans="5:16" x14ac:dyDescent="0.3">
      <c r="E539" s="6"/>
      <c r="F539" s="6"/>
      <c r="G539" s="6"/>
      <c r="H539" s="6"/>
      <c r="I539" s="6"/>
      <c r="J539" s="6"/>
      <c r="K539" s="7"/>
      <c r="L539" s="7"/>
      <c r="M539" s="7"/>
      <c r="N539" s="7"/>
      <c r="O539" s="69"/>
      <c r="P539" s="69"/>
    </row>
    <row r="540" spans="5:16" x14ac:dyDescent="0.3">
      <c r="E540" s="6"/>
      <c r="F540" s="6"/>
      <c r="G540" s="6"/>
      <c r="H540" s="6"/>
      <c r="I540" s="6"/>
      <c r="J540" s="6"/>
      <c r="K540" s="7"/>
      <c r="L540" s="7"/>
      <c r="M540" s="7"/>
      <c r="N540" s="7"/>
      <c r="O540" s="69"/>
      <c r="P540" s="69"/>
    </row>
    <row r="541" spans="5:16" x14ac:dyDescent="0.3">
      <c r="E541" s="6"/>
      <c r="F541" s="6"/>
      <c r="G541" s="6"/>
      <c r="H541" s="6"/>
      <c r="I541" s="6"/>
      <c r="J541" s="6"/>
      <c r="K541" s="7"/>
      <c r="L541" s="7"/>
      <c r="M541" s="7"/>
      <c r="N541" s="7"/>
      <c r="O541" s="69"/>
      <c r="P541" s="69"/>
    </row>
    <row r="542" spans="5:16" x14ac:dyDescent="0.3">
      <c r="E542" s="6"/>
      <c r="F542" s="6"/>
      <c r="G542" s="6"/>
      <c r="H542" s="6"/>
      <c r="I542" s="6"/>
      <c r="J542" s="6"/>
      <c r="K542" s="7"/>
      <c r="L542" s="7"/>
      <c r="M542" s="7"/>
      <c r="N542" s="7"/>
      <c r="O542" s="69"/>
      <c r="P542" s="69"/>
    </row>
    <row r="543" spans="5:16" x14ac:dyDescent="0.3">
      <c r="E543" s="6"/>
      <c r="F543" s="6"/>
      <c r="G543" s="6"/>
      <c r="H543" s="6"/>
      <c r="I543" s="6"/>
      <c r="J543" s="6"/>
      <c r="K543" s="7"/>
      <c r="L543" s="7"/>
      <c r="M543" s="7"/>
      <c r="N543" s="7"/>
      <c r="O543" s="69"/>
      <c r="P543" s="69"/>
    </row>
    <row r="544" spans="5:16" x14ac:dyDescent="0.3">
      <c r="E544" s="6"/>
      <c r="F544" s="6"/>
      <c r="G544" s="6"/>
      <c r="H544" s="6"/>
      <c r="I544" s="6"/>
      <c r="J544" s="6"/>
      <c r="K544" s="7"/>
      <c r="L544" s="7"/>
      <c r="M544" s="7"/>
      <c r="N544" s="7"/>
      <c r="O544" s="69"/>
      <c r="P544" s="69"/>
    </row>
    <row r="545" spans="5:16" x14ac:dyDescent="0.3">
      <c r="E545" s="6"/>
      <c r="F545" s="6"/>
      <c r="G545" s="6"/>
      <c r="H545" s="6"/>
      <c r="I545" s="6"/>
      <c r="J545" s="6"/>
      <c r="K545" s="7"/>
      <c r="L545" s="7"/>
      <c r="M545" s="7"/>
      <c r="N545" s="7"/>
      <c r="O545" s="69"/>
      <c r="P545" s="69"/>
    </row>
    <row r="546" spans="5:16" x14ac:dyDescent="0.3">
      <c r="E546" s="6"/>
      <c r="F546" s="6"/>
      <c r="G546" s="6"/>
      <c r="H546" s="6"/>
      <c r="I546" s="6"/>
      <c r="J546" s="6"/>
      <c r="K546" s="7"/>
      <c r="L546" s="7"/>
      <c r="M546" s="7"/>
      <c r="N546" s="7"/>
      <c r="O546" s="69"/>
      <c r="P546" s="69"/>
    </row>
    <row r="547" spans="5:16" x14ac:dyDescent="0.3">
      <c r="E547" s="6"/>
      <c r="F547" s="6"/>
      <c r="G547" s="6"/>
      <c r="H547" s="6"/>
      <c r="I547" s="6"/>
      <c r="J547" s="6"/>
      <c r="K547" s="7"/>
      <c r="L547" s="7"/>
      <c r="M547" s="7"/>
      <c r="N547" s="7"/>
      <c r="O547" s="69"/>
      <c r="P547" s="69"/>
    </row>
    <row r="548" spans="5:16" x14ac:dyDescent="0.3">
      <c r="E548" s="6"/>
      <c r="F548" s="6"/>
      <c r="G548" s="6"/>
      <c r="H548" s="6"/>
      <c r="I548" s="6"/>
      <c r="J548" s="6"/>
      <c r="K548" s="7"/>
      <c r="L548" s="7"/>
      <c r="M548" s="7"/>
      <c r="N548" s="7"/>
      <c r="O548" s="69"/>
      <c r="P548" s="69"/>
    </row>
    <row r="549" spans="5:16" x14ac:dyDescent="0.3">
      <c r="E549" s="6"/>
      <c r="F549" s="6"/>
      <c r="G549" s="6"/>
      <c r="H549" s="6"/>
      <c r="I549" s="6"/>
      <c r="J549" s="6"/>
      <c r="K549" s="7"/>
      <c r="L549" s="7"/>
      <c r="M549" s="7"/>
      <c r="N549" s="7"/>
      <c r="O549" s="69"/>
      <c r="P549" s="69"/>
    </row>
    <row r="550" spans="5:16" x14ac:dyDescent="0.3">
      <c r="E550" s="6"/>
      <c r="F550" s="6"/>
      <c r="G550" s="6"/>
      <c r="H550" s="6"/>
      <c r="I550" s="6"/>
      <c r="J550" s="6"/>
      <c r="K550" s="7"/>
      <c r="L550" s="7"/>
      <c r="M550" s="7"/>
      <c r="N550" s="7"/>
      <c r="O550" s="69"/>
      <c r="P550" s="69"/>
    </row>
    <row r="551" spans="5:16" x14ac:dyDescent="0.3">
      <c r="E551" s="6"/>
      <c r="F551" s="6"/>
      <c r="G551" s="6"/>
      <c r="H551" s="6"/>
      <c r="I551" s="6"/>
      <c r="J551" s="6"/>
      <c r="K551" s="7"/>
      <c r="L551" s="7"/>
      <c r="M551" s="7"/>
      <c r="N551" s="7"/>
      <c r="O551" s="69"/>
      <c r="P551" s="69"/>
    </row>
    <row r="552" spans="5:16" x14ac:dyDescent="0.3">
      <c r="E552" s="6"/>
      <c r="F552" s="6"/>
      <c r="G552" s="6"/>
      <c r="H552" s="6"/>
      <c r="I552" s="6"/>
      <c r="J552" s="6"/>
      <c r="K552" s="7"/>
      <c r="L552" s="7"/>
      <c r="M552" s="7"/>
      <c r="N552" s="7"/>
      <c r="O552" s="69"/>
      <c r="P552" s="69"/>
    </row>
    <row r="553" spans="5:16" x14ac:dyDescent="0.3">
      <c r="E553" s="6"/>
      <c r="F553" s="6"/>
      <c r="G553" s="6"/>
      <c r="H553" s="6"/>
      <c r="I553" s="6"/>
      <c r="J553" s="6"/>
      <c r="K553" s="7"/>
      <c r="L553" s="7"/>
      <c r="M553" s="7"/>
      <c r="N553" s="7"/>
      <c r="O553" s="69"/>
      <c r="P553" s="69"/>
    </row>
    <row r="554" spans="5:16" x14ac:dyDescent="0.3">
      <c r="E554" s="6"/>
      <c r="F554" s="6"/>
      <c r="G554" s="6"/>
      <c r="H554" s="6"/>
      <c r="I554" s="6"/>
      <c r="J554" s="6"/>
      <c r="K554" s="7"/>
      <c r="L554" s="7"/>
      <c r="M554" s="7"/>
      <c r="N554" s="7"/>
      <c r="O554" s="69"/>
      <c r="P554" s="69"/>
    </row>
    <row r="555" spans="5:16" x14ac:dyDescent="0.3">
      <c r="E555" s="6"/>
      <c r="F555" s="6"/>
      <c r="G555" s="6"/>
      <c r="H555" s="6"/>
      <c r="I555" s="6"/>
      <c r="J555" s="6"/>
      <c r="K555" s="7"/>
      <c r="L555" s="7"/>
      <c r="M555" s="7"/>
      <c r="N555" s="7"/>
      <c r="O555" s="69"/>
      <c r="P555" s="69"/>
    </row>
    <row r="556" spans="5:16" x14ac:dyDescent="0.3">
      <c r="E556" s="6"/>
      <c r="F556" s="6"/>
      <c r="G556" s="6"/>
      <c r="H556" s="6"/>
      <c r="I556" s="6"/>
      <c r="J556" s="6"/>
      <c r="K556" s="7"/>
      <c r="L556" s="7"/>
      <c r="M556" s="7"/>
      <c r="N556" s="7"/>
      <c r="O556" s="69"/>
      <c r="P556" s="69"/>
    </row>
    <row r="557" spans="5:16" x14ac:dyDescent="0.3">
      <c r="E557" s="6"/>
      <c r="F557" s="6"/>
      <c r="G557" s="6"/>
      <c r="H557" s="6"/>
      <c r="I557" s="6"/>
      <c r="J557" s="6"/>
      <c r="K557" s="7"/>
      <c r="L557" s="7"/>
      <c r="M557" s="7"/>
      <c r="N557" s="7"/>
      <c r="O557" s="69"/>
      <c r="P557" s="69"/>
    </row>
    <row r="558" spans="5:16" x14ac:dyDescent="0.3">
      <c r="E558" s="6"/>
      <c r="F558" s="6"/>
      <c r="G558" s="6"/>
      <c r="H558" s="6"/>
      <c r="I558" s="6"/>
      <c r="J558" s="6"/>
      <c r="K558" s="7"/>
      <c r="L558" s="7"/>
      <c r="M558" s="7"/>
      <c r="N558" s="7"/>
      <c r="O558" s="69"/>
      <c r="P558" s="69"/>
    </row>
    <row r="559" spans="5:16" x14ac:dyDescent="0.3">
      <c r="E559" s="6"/>
      <c r="F559" s="6"/>
      <c r="G559" s="6"/>
      <c r="H559" s="6"/>
      <c r="I559" s="6"/>
      <c r="J559" s="6"/>
      <c r="K559" s="7"/>
      <c r="L559" s="7"/>
      <c r="M559" s="7"/>
      <c r="N559" s="7"/>
      <c r="O559" s="69"/>
      <c r="P559" s="69"/>
    </row>
    <row r="560" spans="5:16" x14ac:dyDescent="0.3">
      <c r="E560" s="6"/>
      <c r="F560" s="6"/>
      <c r="G560" s="6"/>
      <c r="H560" s="6"/>
      <c r="I560" s="6"/>
      <c r="J560" s="6"/>
      <c r="K560" s="7"/>
      <c r="L560" s="7"/>
      <c r="M560" s="7"/>
      <c r="N560" s="7"/>
      <c r="O560" s="69"/>
      <c r="P560" s="69"/>
    </row>
    <row r="561" spans="5:16" x14ac:dyDescent="0.3">
      <c r="E561" s="6"/>
      <c r="F561" s="6"/>
      <c r="G561" s="6"/>
      <c r="H561" s="6"/>
      <c r="I561" s="6"/>
      <c r="J561" s="6"/>
      <c r="K561" s="7"/>
      <c r="L561" s="7"/>
      <c r="M561" s="7"/>
      <c r="N561" s="7"/>
      <c r="O561" s="69"/>
      <c r="P561" s="69"/>
    </row>
    <row r="562" spans="5:16" x14ac:dyDescent="0.3">
      <c r="E562" s="6"/>
      <c r="F562" s="6"/>
      <c r="G562" s="6"/>
      <c r="H562" s="6"/>
      <c r="I562" s="6"/>
      <c r="J562" s="6"/>
      <c r="K562" s="7"/>
      <c r="L562" s="7"/>
      <c r="M562" s="7"/>
      <c r="N562" s="7"/>
      <c r="O562" s="69"/>
      <c r="P562" s="69"/>
    </row>
    <row r="563" spans="5:16" x14ac:dyDescent="0.3">
      <c r="E563" s="6"/>
      <c r="F563" s="6"/>
      <c r="G563" s="6"/>
      <c r="H563" s="6"/>
      <c r="I563" s="6"/>
      <c r="J563" s="6"/>
      <c r="K563" s="7"/>
      <c r="L563" s="7"/>
      <c r="M563" s="7"/>
      <c r="N563" s="7"/>
      <c r="O563" s="69"/>
      <c r="P563" s="69"/>
    </row>
    <row r="564" spans="5:16" x14ac:dyDescent="0.3">
      <c r="E564" s="6"/>
      <c r="F564" s="6"/>
      <c r="G564" s="6"/>
      <c r="H564" s="6"/>
      <c r="I564" s="6"/>
      <c r="J564" s="6"/>
      <c r="K564" s="7"/>
      <c r="L564" s="7"/>
      <c r="M564" s="7"/>
      <c r="N564" s="7"/>
      <c r="O564" s="69"/>
      <c r="P564" s="69"/>
    </row>
    <row r="565" spans="5:16" x14ac:dyDescent="0.3">
      <c r="E565" s="6"/>
      <c r="F565" s="6"/>
      <c r="G565" s="6"/>
      <c r="H565" s="6"/>
      <c r="I565" s="6"/>
      <c r="J565" s="6"/>
      <c r="K565" s="7"/>
      <c r="L565" s="7"/>
      <c r="M565" s="7"/>
      <c r="N565" s="7"/>
      <c r="O565" s="69"/>
      <c r="P565" s="69"/>
    </row>
    <row r="566" spans="5:16" x14ac:dyDescent="0.3">
      <c r="E566" s="6"/>
      <c r="F566" s="6"/>
      <c r="G566" s="6"/>
      <c r="H566" s="6"/>
      <c r="I566" s="6"/>
      <c r="J566" s="6"/>
      <c r="K566" s="7"/>
      <c r="L566" s="7"/>
      <c r="M566" s="7"/>
      <c r="N566" s="7"/>
      <c r="O566" s="69"/>
      <c r="P566" s="69"/>
    </row>
    <row r="567" spans="5:16" x14ac:dyDescent="0.3">
      <c r="E567" s="6"/>
      <c r="F567" s="6"/>
      <c r="G567" s="6"/>
      <c r="H567" s="6"/>
      <c r="I567" s="6"/>
      <c r="J567" s="6"/>
      <c r="K567" s="7"/>
      <c r="L567" s="7"/>
      <c r="M567" s="7"/>
      <c r="N567" s="7"/>
      <c r="O567" s="69"/>
      <c r="P567" s="69"/>
    </row>
    <row r="568" spans="5:16" x14ac:dyDescent="0.3">
      <c r="E568" s="6"/>
      <c r="F568" s="6"/>
      <c r="G568" s="6"/>
      <c r="H568" s="6"/>
      <c r="I568" s="6"/>
      <c r="J568" s="6"/>
      <c r="K568" s="7"/>
      <c r="L568" s="7"/>
      <c r="M568" s="7"/>
      <c r="N568" s="7"/>
      <c r="O568" s="69"/>
      <c r="P568" s="69"/>
    </row>
    <row r="569" spans="5:16" x14ac:dyDescent="0.3">
      <c r="E569" s="6"/>
      <c r="F569" s="6"/>
      <c r="G569" s="6"/>
      <c r="H569" s="6"/>
      <c r="I569" s="6"/>
      <c r="J569" s="6"/>
      <c r="K569" s="7"/>
      <c r="L569" s="7"/>
      <c r="M569" s="7"/>
      <c r="N569" s="7"/>
      <c r="O569" s="69"/>
      <c r="P569" s="69"/>
    </row>
    <row r="570" spans="5:16" x14ac:dyDescent="0.3">
      <c r="E570" s="6"/>
      <c r="F570" s="6"/>
      <c r="G570" s="6"/>
      <c r="H570" s="6"/>
      <c r="I570" s="6"/>
      <c r="J570" s="6"/>
      <c r="K570" s="7"/>
      <c r="L570" s="7"/>
      <c r="M570" s="7"/>
      <c r="N570" s="7"/>
      <c r="O570" s="69"/>
      <c r="P570" s="69"/>
    </row>
    <row r="571" spans="5:16" x14ac:dyDescent="0.3">
      <c r="E571" s="6"/>
      <c r="F571" s="6"/>
      <c r="G571" s="6"/>
      <c r="H571" s="6"/>
      <c r="I571" s="6"/>
      <c r="J571" s="6"/>
      <c r="K571" s="7"/>
      <c r="L571" s="7"/>
      <c r="M571" s="7"/>
      <c r="N571" s="7"/>
      <c r="O571" s="69"/>
      <c r="P571" s="69"/>
    </row>
    <row r="572" spans="5:16" x14ac:dyDescent="0.3">
      <c r="E572" s="6"/>
      <c r="F572" s="6"/>
      <c r="G572" s="6"/>
      <c r="H572" s="6"/>
      <c r="I572" s="6"/>
      <c r="J572" s="6"/>
      <c r="K572" s="7"/>
      <c r="L572" s="7"/>
      <c r="M572" s="7"/>
      <c r="N572" s="7"/>
      <c r="O572" s="69"/>
      <c r="P572" s="69"/>
    </row>
    <row r="573" spans="5:16" x14ac:dyDescent="0.3">
      <c r="E573" s="6"/>
      <c r="F573" s="6"/>
      <c r="G573" s="6"/>
      <c r="H573" s="6"/>
      <c r="I573" s="6"/>
      <c r="J573" s="6"/>
      <c r="K573" s="7"/>
      <c r="L573" s="7"/>
      <c r="M573" s="7"/>
      <c r="N573" s="7"/>
      <c r="O573" s="69"/>
      <c r="P573" s="69"/>
    </row>
    <row r="574" spans="5:16" x14ac:dyDescent="0.3">
      <c r="E574" s="6"/>
      <c r="F574" s="6"/>
      <c r="G574" s="6"/>
      <c r="H574" s="6"/>
      <c r="I574" s="6"/>
      <c r="J574" s="6"/>
      <c r="K574" s="7"/>
      <c r="L574" s="7"/>
      <c r="M574" s="7"/>
      <c r="N574" s="7"/>
      <c r="O574" s="69"/>
      <c r="P574" s="69"/>
    </row>
    <row r="575" spans="5:16" x14ac:dyDescent="0.3">
      <c r="E575" s="6"/>
      <c r="F575" s="6"/>
      <c r="G575" s="6"/>
      <c r="H575" s="6"/>
      <c r="I575" s="6"/>
      <c r="J575" s="6"/>
      <c r="K575" s="7"/>
      <c r="L575" s="7"/>
      <c r="M575" s="7"/>
      <c r="N575" s="7"/>
      <c r="O575" s="69"/>
      <c r="P575" s="69"/>
    </row>
    <row r="576" spans="5:16" x14ac:dyDescent="0.3">
      <c r="E576" s="6"/>
      <c r="F576" s="6"/>
      <c r="G576" s="6"/>
      <c r="H576" s="6"/>
      <c r="I576" s="6"/>
      <c r="J576" s="6"/>
      <c r="K576" s="7"/>
      <c r="L576" s="7"/>
      <c r="M576" s="7"/>
      <c r="N576" s="7"/>
      <c r="O576" s="69"/>
      <c r="P576" s="69"/>
    </row>
    <row r="577" spans="5:16" x14ac:dyDescent="0.3">
      <c r="E577" s="6"/>
      <c r="F577" s="6"/>
      <c r="G577" s="6"/>
      <c r="H577" s="6"/>
      <c r="I577" s="6"/>
      <c r="J577" s="6"/>
      <c r="K577" s="7"/>
      <c r="L577" s="7"/>
      <c r="M577" s="7"/>
      <c r="N577" s="7"/>
      <c r="O577" s="69"/>
      <c r="P577" s="69"/>
    </row>
    <row r="578" spans="5:16" x14ac:dyDescent="0.3">
      <c r="E578" s="6"/>
      <c r="F578" s="6"/>
      <c r="G578" s="6"/>
      <c r="H578" s="6"/>
      <c r="I578" s="6"/>
      <c r="J578" s="6"/>
      <c r="K578" s="7"/>
      <c r="L578" s="7"/>
      <c r="M578" s="7"/>
      <c r="N578" s="7"/>
      <c r="O578" s="69"/>
      <c r="P578" s="69"/>
    </row>
    <row r="579" spans="5:16" x14ac:dyDescent="0.3">
      <c r="E579" s="6"/>
      <c r="F579" s="6"/>
      <c r="G579" s="6"/>
      <c r="H579" s="6"/>
      <c r="I579" s="6"/>
      <c r="J579" s="6"/>
      <c r="K579" s="7"/>
      <c r="L579" s="7"/>
      <c r="M579" s="7"/>
      <c r="N579" s="7"/>
      <c r="O579" s="69"/>
      <c r="P579" s="69"/>
    </row>
    <row r="580" spans="5:16" x14ac:dyDescent="0.3">
      <c r="E580" s="6"/>
      <c r="F580" s="6"/>
      <c r="G580" s="6"/>
      <c r="H580" s="6"/>
      <c r="I580" s="6"/>
      <c r="J580" s="6"/>
      <c r="K580" s="7"/>
      <c r="L580" s="7"/>
      <c r="M580" s="7"/>
      <c r="N580" s="7"/>
      <c r="O580" s="69"/>
      <c r="P580" s="69"/>
    </row>
    <row r="581" spans="5:16" x14ac:dyDescent="0.3">
      <c r="E581" s="6"/>
      <c r="F581" s="6"/>
      <c r="G581" s="6"/>
      <c r="H581" s="6"/>
      <c r="I581" s="6"/>
      <c r="J581" s="6"/>
      <c r="K581" s="7"/>
      <c r="L581" s="7"/>
      <c r="M581" s="7"/>
      <c r="N581" s="7"/>
      <c r="O581" s="69"/>
      <c r="P581" s="69"/>
    </row>
    <row r="582" spans="5:16" x14ac:dyDescent="0.3">
      <c r="E582" s="6"/>
      <c r="F582" s="6"/>
      <c r="G582" s="6"/>
      <c r="H582" s="6"/>
      <c r="I582" s="6"/>
      <c r="J582" s="6"/>
      <c r="K582" s="7"/>
      <c r="L582" s="7"/>
      <c r="M582" s="7"/>
      <c r="N582" s="7"/>
      <c r="O582" s="69"/>
      <c r="P582" s="69"/>
    </row>
    <row r="583" spans="5:16" x14ac:dyDescent="0.3">
      <c r="E583" s="6"/>
      <c r="F583" s="6"/>
      <c r="G583" s="6"/>
      <c r="H583" s="6"/>
      <c r="I583" s="6"/>
      <c r="J583" s="6"/>
      <c r="K583" s="7"/>
      <c r="L583" s="7"/>
      <c r="M583" s="7"/>
      <c r="N583" s="7"/>
      <c r="O583" s="69"/>
      <c r="P583" s="69"/>
    </row>
    <row r="584" spans="5:16" x14ac:dyDescent="0.3">
      <c r="E584" s="6"/>
      <c r="F584" s="6"/>
      <c r="G584" s="6"/>
      <c r="H584" s="6"/>
      <c r="I584" s="6"/>
      <c r="J584" s="6"/>
      <c r="K584" s="7"/>
      <c r="L584" s="7"/>
      <c r="M584" s="7"/>
      <c r="N584" s="7"/>
      <c r="O584" s="69"/>
      <c r="P584" s="69"/>
    </row>
    <row r="585" spans="5:16" x14ac:dyDescent="0.3">
      <c r="E585" s="6"/>
      <c r="F585" s="6"/>
      <c r="G585" s="6"/>
      <c r="H585" s="6"/>
      <c r="I585" s="6"/>
      <c r="J585" s="6"/>
      <c r="K585" s="7"/>
      <c r="L585" s="7"/>
      <c r="M585" s="7"/>
      <c r="N585" s="7"/>
      <c r="O585" s="69"/>
      <c r="P585" s="69"/>
    </row>
    <row r="586" spans="5:16" x14ac:dyDescent="0.3">
      <c r="E586" s="6"/>
      <c r="F586" s="6"/>
      <c r="G586" s="6"/>
      <c r="H586" s="6"/>
      <c r="I586" s="6"/>
      <c r="J586" s="6"/>
      <c r="K586" s="7"/>
      <c r="L586" s="7"/>
      <c r="M586" s="7"/>
      <c r="N586" s="7"/>
      <c r="O586" s="69"/>
      <c r="P586" s="69"/>
    </row>
    <row r="587" spans="5:16" x14ac:dyDescent="0.3">
      <c r="E587" s="6"/>
      <c r="F587" s="6"/>
      <c r="G587" s="6"/>
      <c r="H587" s="6"/>
      <c r="I587" s="6"/>
      <c r="J587" s="6"/>
      <c r="K587" s="7"/>
      <c r="L587" s="7"/>
      <c r="M587" s="7"/>
      <c r="N587" s="7"/>
      <c r="O587" s="69"/>
      <c r="P587" s="69"/>
    </row>
    <row r="588" spans="5:16" x14ac:dyDescent="0.3">
      <c r="E588" s="6"/>
      <c r="F588" s="6"/>
      <c r="G588" s="6"/>
      <c r="H588" s="6"/>
      <c r="I588" s="6"/>
      <c r="J588" s="6"/>
      <c r="K588" s="7"/>
      <c r="L588" s="7"/>
      <c r="M588" s="7"/>
      <c r="N588" s="7"/>
      <c r="O588" s="69"/>
      <c r="P588" s="69"/>
    </row>
    <row r="589" spans="5:16" x14ac:dyDescent="0.3">
      <c r="E589" s="6"/>
      <c r="F589" s="6"/>
      <c r="G589" s="6"/>
      <c r="H589" s="6"/>
      <c r="I589" s="6"/>
      <c r="J589" s="6"/>
      <c r="K589" s="7"/>
      <c r="L589" s="7"/>
      <c r="M589" s="7"/>
      <c r="N589" s="7"/>
      <c r="O589" s="69"/>
      <c r="P589" s="69"/>
    </row>
    <row r="590" spans="5:16" x14ac:dyDescent="0.3">
      <c r="E590" s="6"/>
      <c r="F590" s="6"/>
      <c r="G590" s="6"/>
      <c r="H590" s="6"/>
      <c r="I590" s="6"/>
      <c r="J590" s="6"/>
      <c r="K590" s="7"/>
      <c r="L590" s="7"/>
      <c r="M590" s="7"/>
      <c r="N590" s="7"/>
      <c r="O590" s="69"/>
      <c r="P590" s="69"/>
    </row>
    <row r="591" spans="5:16" x14ac:dyDescent="0.3">
      <c r="E591" s="6"/>
      <c r="F591" s="6"/>
      <c r="G591" s="6"/>
      <c r="H591" s="6"/>
      <c r="I591" s="6"/>
      <c r="J591" s="6"/>
      <c r="K591" s="7"/>
      <c r="L591" s="7"/>
      <c r="M591" s="7"/>
      <c r="N591" s="7"/>
      <c r="O591" s="69"/>
      <c r="P591" s="69"/>
    </row>
    <row r="592" spans="5:16" x14ac:dyDescent="0.3">
      <c r="E592" s="6"/>
      <c r="F592" s="6"/>
      <c r="G592" s="6"/>
      <c r="H592" s="6"/>
      <c r="I592" s="6"/>
      <c r="J592" s="6"/>
      <c r="K592" s="7"/>
      <c r="L592" s="7"/>
      <c r="M592" s="7"/>
      <c r="N592" s="7"/>
      <c r="O592" s="69"/>
      <c r="P592" s="69"/>
    </row>
    <row r="593" spans="5:16" x14ac:dyDescent="0.3">
      <c r="E593" s="6"/>
      <c r="F593" s="6"/>
      <c r="G593" s="6"/>
      <c r="H593" s="6"/>
      <c r="I593" s="6"/>
      <c r="J593" s="6"/>
      <c r="K593" s="7"/>
      <c r="L593" s="7"/>
      <c r="M593" s="7"/>
      <c r="N593" s="7"/>
      <c r="O593" s="69"/>
      <c r="P593" s="69"/>
    </row>
    <row r="594" spans="5:16" x14ac:dyDescent="0.3">
      <c r="E594" s="6"/>
      <c r="F594" s="6"/>
      <c r="G594" s="6"/>
      <c r="H594" s="6"/>
      <c r="I594" s="6"/>
      <c r="J594" s="6"/>
      <c r="K594" s="7"/>
      <c r="L594" s="7"/>
      <c r="M594" s="7"/>
      <c r="N594" s="7"/>
      <c r="O594" s="69"/>
      <c r="P594" s="69"/>
    </row>
    <row r="595" spans="5:16" x14ac:dyDescent="0.3">
      <c r="E595" s="6"/>
      <c r="F595" s="6"/>
      <c r="G595" s="6"/>
      <c r="H595" s="6"/>
      <c r="I595" s="6"/>
      <c r="J595" s="6"/>
      <c r="K595" s="7"/>
      <c r="L595" s="7"/>
      <c r="M595" s="7"/>
      <c r="N595" s="7"/>
      <c r="O595" s="69"/>
      <c r="P595" s="69"/>
    </row>
    <row r="596" spans="5:16" x14ac:dyDescent="0.3">
      <c r="E596" s="6"/>
      <c r="F596" s="6"/>
      <c r="G596" s="6"/>
      <c r="H596" s="6"/>
      <c r="I596" s="6"/>
      <c r="J596" s="6"/>
      <c r="K596" s="7"/>
      <c r="L596" s="7"/>
      <c r="M596" s="7"/>
      <c r="N596" s="7"/>
      <c r="O596" s="69"/>
      <c r="P596" s="69"/>
    </row>
    <row r="597" spans="5:16" x14ac:dyDescent="0.3">
      <c r="E597" s="6"/>
      <c r="F597" s="6"/>
      <c r="G597" s="6"/>
      <c r="H597" s="6"/>
      <c r="I597" s="6"/>
      <c r="J597" s="6"/>
      <c r="K597" s="7"/>
      <c r="L597" s="7"/>
      <c r="M597" s="7"/>
      <c r="N597" s="7"/>
      <c r="O597" s="69"/>
      <c r="P597" s="69"/>
    </row>
    <row r="598" spans="5:16" x14ac:dyDescent="0.3">
      <c r="E598" s="6"/>
      <c r="F598" s="6"/>
      <c r="G598" s="6"/>
      <c r="H598" s="6"/>
      <c r="I598" s="6"/>
      <c r="J598" s="6"/>
      <c r="K598" s="7"/>
      <c r="L598" s="7"/>
      <c r="M598" s="7"/>
      <c r="N598" s="7"/>
      <c r="O598" s="69"/>
      <c r="P598" s="69"/>
    </row>
    <row r="599" spans="5:16" x14ac:dyDescent="0.3">
      <c r="E599" s="6"/>
      <c r="F599" s="6"/>
      <c r="G599" s="6"/>
      <c r="H599" s="6"/>
      <c r="I599" s="6"/>
      <c r="J599" s="6"/>
      <c r="K599" s="7"/>
      <c r="L599" s="7"/>
      <c r="M599" s="7"/>
      <c r="N599" s="7"/>
      <c r="O599" s="69"/>
      <c r="P599" s="69"/>
    </row>
    <row r="600" spans="5:16" x14ac:dyDescent="0.3">
      <c r="E600" s="6"/>
      <c r="F600" s="6"/>
      <c r="G600" s="6"/>
      <c r="H600" s="6"/>
      <c r="I600" s="6"/>
      <c r="J600" s="6"/>
      <c r="K600" s="7"/>
      <c r="L600" s="7"/>
      <c r="M600" s="7"/>
      <c r="N600" s="7"/>
      <c r="O600" s="69"/>
      <c r="P600" s="69"/>
    </row>
    <row r="601" spans="5:16" x14ac:dyDescent="0.3">
      <c r="E601" s="6"/>
      <c r="F601" s="6"/>
      <c r="G601" s="6"/>
      <c r="H601" s="6"/>
      <c r="I601" s="6"/>
      <c r="J601" s="6"/>
      <c r="K601" s="7"/>
      <c r="L601" s="7"/>
      <c r="M601" s="7"/>
      <c r="N601" s="7"/>
      <c r="O601" s="69"/>
      <c r="P601" s="69"/>
    </row>
    <row r="602" spans="5:16" x14ac:dyDescent="0.3">
      <c r="E602" s="6"/>
      <c r="F602" s="6"/>
      <c r="G602" s="6"/>
      <c r="H602" s="6"/>
      <c r="I602" s="6"/>
      <c r="J602" s="6"/>
      <c r="K602" s="7"/>
      <c r="L602" s="7"/>
      <c r="M602" s="7"/>
      <c r="N602" s="7"/>
      <c r="O602" s="69"/>
      <c r="P602" s="69"/>
    </row>
    <row r="603" spans="5:16" x14ac:dyDescent="0.3">
      <c r="E603" s="6"/>
      <c r="F603" s="6"/>
      <c r="G603" s="6"/>
      <c r="H603" s="6"/>
      <c r="I603" s="6"/>
      <c r="J603" s="6"/>
      <c r="K603" s="7"/>
      <c r="L603" s="7"/>
      <c r="M603" s="7"/>
      <c r="N603" s="7"/>
      <c r="O603" s="69"/>
      <c r="P603" s="69"/>
    </row>
    <row r="604" spans="5:16" x14ac:dyDescent="0.3">
      <c r="E604" s="6"/>
      <c r="F604" s="6"/>
      <c r="G604" s="6"/>
      <c r="H604" s="6"/>
      <c r="I604" s="6"/>
      <c r="J604" s="6"/>
      <c r="K604" s="7"/>
      <c r="L604" s="7"/>
      <c r="M604" s="7"/>
      <c r="N604" s="7"/>
      <c r="O604" s="69"/>
      <c r="P604" s="69"/>
    </row>
    <row r="605" spans="5:16" x14ac:dyDescent="0.3">
      <c r="E605" s="6"/>
      <c r="F605" s="6"/>
      <c r="G605" s="6"/>
      <c r="H605" s="6"/>
      <c r="I605" s="6"/>
      <c r="J605" s="6"/>
      <c r="K605" s="7"/>
      <c r="L605" s="7"/>
      <c r="M605" s="7"/>
      <c r="N605" s="7"/>
      <c r="O605" s="69"/>
      <c r="P605" s="69"/>
    </row>
    <row r="606" spans="5:16" x14ac:dyDescent="0.3">
      <c r="E606" s="6"/>
      <c r="F606" s="6"/>
      <c r="G606" s="6"/>
      <c r="H606" s="6"/>
      <c r="I606" s="6"/>
      <c r="J606" s="6"/>
      <c r="K606" s="7"/>
      <c r="L606" s="7"/>
      <c r="M606" s="7"/>
      <c r="N606" s="7"/>
      <c r="O606" s="69"/>
      <c r="P606" s="69"/>
    </row>
    <row r="607" spans="5:16" x14ac:dyDescent="0.3">
      <c r="E607" s="6"/>
      <c r="F607" s="6"/>
      <c r="G607" s="6"/>
      <c r="H607" s="6"/>
      <c r="I607" s="6"/>
      <c r="J607" s="6"/>
      <c r="K607" s="7"/>
      <c r="L607" s="7"/>
      <c r="M607" s="7"/>
      <c r="N607" s="7"/>
      <c r="O607" s="69"/>
      <c r="P607" s="69"/>
    </row>
    <row r="608" spans="5:16" x14ac:dyDescent="0.3">
      <c r="E608" s="6"/>
      <c r="F608" s="6"/>
      <c r="G608" s="6"/>
      <c r="H608" s="6"/>
      <c r="I608" s="6"/>
      <c r="J608" s="6"/>
      <c r="K608" s="7"/>
      <c r="L608" s="7"/>
      <c r="M608" s="7"/>
      <c r="N608" s="7"/>
      <c r="O608" s="69"/>
      <c r="P608" s="69"/>
    </row>
    <row r="609" spans="5:16" x14ac:dyDescent="0.3">
      <c r="E609" s="6"/>
      <c r="F609" s="6"/>
      <c r="G609" s="6"/>
      <c r="H609" s="6"/>
      <c r="I609" s="6"/>
      <c r="J609" s="6"/>
      <c r="K609" s="7"/>
      <c r="L609" s="7"/>
      <c r="M609" s="7"/>
      <c r="N609" s="7"/>
      <c r="O609" s="69"/>
      <c r="P609" s="69"/>
    </row>
    <row r="610" spans="5:16" x14ac:dyDescent="0.3">
      <c r="E610" s="6"/>
      <c r="F610" s="6"/>
      <c r="G610" s="6"/>
      <c r="H610" s="6"/>
      <c r="I610" s="6"/>
      <c r="J610" s="6"/>
      <c r="K610" s="7"/>
      <c r="L610" s="7"/>
      <c r="M610" s="7"/>
      <c r="N610" s="7"/>
      <c r="O610" s="69"/>
      <c r="P610" s="69"/>
    </row>
    <row r="611" spans="5:16" x14ac:dyDescent="0.3">
      <c r="E611" s="6"/>
      <c r="F611" s="6"/>
      <c r="G611" s="6"/>
      <c r="H611" s="6"/>
      <c r="I611" s="6"/>
      <c r="J611" s="6"/>
      <c r="K611" s="7"/>
      <c r="L611" s="7"/>
      <c r="M611" s="7"/>
      <c r="N611" s="7"/>
      <c r="O611" s="69"/>
      <c r="P611" s="69"/>
    </row>
    <row r="612" spans="5:16" x14ac:dyDescent="0.3">
      <c r="E612" s="6"/>
      <c r="F612" s="6"/>
      <c r="G612" s="6"/>
      <c r="H612" s="6"/>
      <c r="I612" s="6"/>
      <c r="J612" s="6"/>
      <c r="K612" s="7"/>
      <c r="L612" s="7"/>
      <c r="M612" s="7"/>
      <c r="N612" s="7"/>
      <c r="O612" s="69"/>
      <c r="P612" s="69"/>
    </row>
    <row r="613" spans="5:16" x14ac:dyDescent="0.3">
      <c r="E613" s="6"/>
      <c r="F613" s="6"/>
      <c r="G613" s="6"/>
      <c r="H613" s="6"/>
      <c r="I613" s="6"/>
      <c r="J613" s="6"/>
      <c r="K613" s="7"/>
      <c r="L613" s="7"/>
      <c r="M613" s="7"/>
      <c r="N613" s="7"/>
      <c r="O613" s="69"/>
      <c r="P613" s="69"/>
    </row>
    <row r="614" spans="5:16" x14ac:dyDescent="0.3">
      <c r="E614" s="6"/>
      <c r="F614" s="6"/>
      <c r="G614" s="6"/>
      <c r="H614" s="6"/>
      <c r="I614" s="6"/>
      <c r="J614" s="6"/>
      <c r="K614" s="7"/>
      <c r="L614" s="7"/>
      <c r="M614" s="7"/>
      <c r="N614" s="7"/>
      <c r="O614" s="69"/>
      <c r="P614" s="69"/>
    </row>
    <row r="615" spans="5:16" x14ac:dyDescent="0.3">
      <c r="E615" s="6"/>
      <c r="F615" s="6"/>
      <c r="G615" s="6"/>
      <c r="H615" s="6"/>
      <c r="I615" s="6"/>
      <c r="J615" s="6"/>
      <c r="K615" s="7"/>
      <c r="L615" s="7"/>
      <c r="M615" s="7"/>
      <c r="N615" s="7"/>
      <c r="O615" s="69"/>
      <c r="P615" s="69"/>
    </row>
    <row r="616" spans="5:16" x14ac:dyDescent="0.3">
      <c r="E616" s="6"/>
      <c r="F616" s="6"/>
      <c r="G616" s="6"/>
      <c r="H616" s="6"/>
      <c r="I616" s="6"/>
      <c r="J616" s="6"/>
      <c r="K616" s="7"/>
      <c r="L616" s="7"/>
      <c r="M616" s="7"/>
      <c r="N616" s="7"/>
      <c r="O616" s="69"/>
      <c r="P616" s="69"/>
    </row>
    <row r="617" spans="5:16" x14ac:dyDescent="0.3">
      <c r="E617" s="6"/>
      <c r="F617" s="6"/>
      <c r="G617" s="6"/>
      <c r="H617" s="6"/>
      <c r="I617" s="6"/>
      <c r="J617" s="6"/>
      <c r="K617" s="7"/>
      <c r="L617" s="7"/>
      <c r="M617" s="7"/>
      <c r="N617" s="7"/>
      <c r="O617" s="69"/>
      <c r="P617" s="69"/>
    </row>
    <row r="618" spans="5:16" x14ac:dyDescent="0.3">
      <c r="E618" s="6"/>
      <c r="F618" s="6"/>
      <c r="G618" s="6"/>
      <c r="H618" s="6"/>
      <c r="I618" s="6"/>
      <c r="J618" s="6"/>
      <c r="K618" s="7"/>
      <c r="L618" s="7"/>
      <c r="M618" s="7"/>
      <c r="N618" s="7"/>
      <c r="O618" s="69"/>
      <c r="P618" s="69"/>
    </row>
    <row r="619" spans="5:16" x14ac:dyDescent="0.3">
      <c r="E619" s="6"/>
      <c r="F619" s="6"/>
      <c r="G619" s="6"/>
      <c r="H619" s="6"/>
      <c r="I619" s="6"/>
      <c r="J619" s="6"/>
      <c r="K619" s="7"/>
      <c r="L619" s="7"/>
      <c r="M619" s="7"/>
      <c r="N619" s="7"/>
      <c r="O619" s="69"/>
      <c r="P619" s="69"/>
    </row>
    <row r="620" spans="5:16" x14ac:dyDescent="0.3">
      <c r="E620" s="6"/>
      <c r="F620" s="6"/>
      <c r="G620" s="6"/>
      <c r="H620" s="6"/>
      <c r="I620" s="6"/>
      <c r="J620" s="6"/>
      <c r="K620" s="7"/>
      <c r="L620" s="7"/>
      <c r="M620" s="7"/>
      <c r="N620" s="7"/>
      <c r="O620" s="69"/>
      <c r="P620" s="69"/>
    </row>
    <row r="621" spans="5:16" x14ac:dyDescent="0.3">
      <c r="E621" s="6"/>
      <c r="F621" s="6"/>
      <c r="G621" s="6"/>
      <c r="H621" s="6"/>
      <c r="I621" s="6"/>
      <c r="J621" s="6"/>
      <c r="K621" s="7"/>
      <c r="L621" s="7"/>
      <c r="M621" s="7"/>
      <c r="N621" s="7"/>
      <c r="O621" s="69"/>
      <c r="P621" s="69"/>
    </row>
    <row r="622" spans="5:16" x14ac:dyDescent="0.3">
      <c r="E622" s="6"/>
      <c r="F622" s="6"/>
      <c r="G622" s="6"/>
      <c r="H622" s="6"/>
      <c r="I622" s="6"/>
      <c r="J622" s="6"/>
      <c r="K622" s="7"/>
      <c r="L622" s="7"/>
      <c r="M622" s="7"/>
      <c r="N622" s="7"/>
      <c r="O622" s="69"/>
      <c r="P622" s="69"/>
    </row>
    <row r="623" spans="5:16" x14ac:dyDescent="0.3">
      <c r="E623" s="6"/>
      <c r="F623" s="6"/>
      <c r="G623" s="6"/>
      <c r="H623" s="6"/>
      <c r="I623" s="6"/>
      <c r="J623" s="6"/>
      <c r="K623" s="7"/>
      <c r="L623" s="7"/>
      <c r="M623" s="7"/>
      <c r="N623" s="7"/>
      <c r="O623" s="69"/>
      <c r="P623" s="69"/>
    </row>
    <row r="624" spans="5:16" x14ac:dyDescent="0.3">
      <c r="E624" s="6"/>
      <c r="F624" s="6"/>
      <c r="G624" s="6"/>
      <c r="H624" s="6"/>
      <c r="I624" s="6"/>
      <c r="J624" s="6"/>
      <c r="K624" s="7"/>
      <c r="L624" s="7"/>
      <c r="M624" s="7"/>
      <c r="N624" s="7"/>
      <c r="O624" s="69"/>
      <c r="P624" s="69"/>
    </row>
    <row r="625" spans="5:16" x14ac:dyDescent="0.3">
      <c r="E625" s="6"/>
      <c r="F625" s="6"/>
      <c r="G625" s="6"/>
      <c r="H625" s="6"/>
      <c r="I625" s="6"/>
      <c r="J625" s="6"/>
      <c r="K625" s="7"/>
      <c r="L625" s="7"/>
      <c r="M625" s="7"/>
      <c r="N625" s="7"/>
      <c r="O625" s="69"/>
      <c r="P625" s="69"/>
    </row>
    <row r="626" spans="5:16" x14ac:dyDescent="0.3">
      <c r="E626" s="6"/>
      <c r="F626" s="6"/>
      <c r="G626" s="6"/>
      <c r="H626" s="6"/>
      <c r="I626" s="6"/>
      <c r="J626" s="6"/>
      <c r="K626" s="7"/>
      <c r="L626" s="7"/>
      <c r="M626" s="7"/>
      <c r="N626" s="7"/>
      <c r="O626" s="69"/>
      <c r="P626" s="69"/>
    </row>
    <row r="627" spans="5:16" x14ac:dyDescent="0.3">
      <c r="E627" s="6"/>
      <c r="F627" s="6"/>
      <c r="G627" s="6"/>
      <c r="H627" s="6"/>
      <c r="I627" s="6"/>
      <c r="J627" s="6"/>
      <c r="K627" s="7"/>
      <c r="L627" s="7"/>
      <c r="M627" s="7"/>
      <c r="N627" s="7"/>
      <c r="O627" s="69"/>
      <c r="P627" s="69"/>
    </row>
    <row r="628" spans="5:16" x14ac:dyDescent="0.3">
      <c r="E628" s="6"/>
      <c r="F628" s="6"/>
      <c r="G628" s="6"/>
      <c r="H628" s="6"/>
      <c r="I628" s="6"/>
      <c r="J628" s="6"/>
      <c r="K628" s="7"/>
      <c r="L628" s="7"/>
      <c r="M628" s="7"/>
      <c r="N628" s="7"/>
      <c r="O628" s="69"/>
      <c r="P628" s="69"/>
    </row>
    <row r="629" spans="5:16" x14ac:dyDescent="0.3">
      <c r="E629" s="6"/>
      <c r="F629" s="6"/>
      <c r="G629" s="6"/>
      <c r="H629" s="6"/>
      <c r="I629" s="6"/>
      <c r="J629" s="6"/>
      <c r="K629" s="7"/>
      <c r="L629" s="7"/>
      <c r="M629" s="7"/>
      <c r="N629" s="7"/>
      <c r="O629" s="69"/>
      <c r="P629" s="69"/>
    </row>
    <row r="630" spans="5:16" x14ac:dyDescent="0.3">
      <c r="E630" s="6"/>
      <c r="F630" s="6"/>
      <c r="G630" s="6"/>
      <c r="H630" s="6"/>
      <c r="I630" s="6"/>
      <c r="J630" s="6"/>
      <c r="K630" s="7"/>
      <c r="L630" s="7"/>
      <c r="M630" s="7"/>
      <c r="N630" s="7"/>
      <c r="O630" s="69"/>
      <c r="P630" s="69"/>
    </row>
    <row r="631" spans="5:16" x14ac:dyDescent="0.3">
      <c r="E631" s="6"/>
      <c r="F631" s="6"/>
      <c r="G631" s="6"/>
      <c r="H631" s="6"/>
      <c r="I631" s="6"/>
      <c r="J631" s="6"/>
      <c r="K631" s="7"/>
      <c r="L631" s="7"/>
      <c r="M631" s="7"/>
      <c r="N631" s="7"/>
      <c r="O631" s="69"/>
      <c r="P631" s="69"/>
    </row>
    <row r="632" spans="5:16" x14ac:dyDescent="0.3">
      <c r="E632" s="6"/>
      <c r="F632" s="6"/>
      <c r="G632" s="6"/>
      <c r="H632" s="6"/>
      <c r="I632" s="6"/>
      <c r="J632" s="6"/>
      <c r="K632" s="7"/>
      <c r="L632" s="7"/>
      <c r="M632" s="7"/>
      <c r="N632" s="7"/>
      <c r="O632" s="69"/>
      <c r="P632" s="69"/>
    </row>
    <row r="633" spans="5:16" x14ac:dyDescent="0.3">
      <c r="E633" s="6"/>
      <c r="F633" s="6"/>
      <c r="G633" s="6"/>
      <c r="H633" s="6"/>
      <c r="I633" s="6"/>
      <c r="J633" s="6"/>
      <c r="K633" s="7"/>
      <c r="L633" s="7"/>
      <c r="M633" s="7"/>
      <c r="N633" s="7"/>
      <c r="O633" s="69"/>
      <c r="P633" s="69"/>
    </row>
    <row r="634" spans="5:16" x14ac:dyDescent="0.3">
      <c r="E634" s="6"/>
      <c r="F634" s="6"/>
      <c r="G634" s="6"/>
      <c r="H634" s="6"/>
      <c r="I634" s="6"/>
      <c r="J634" s="6"/>
      <c r="K634" s="7"/>
      <c r="L634" s="7"/>
      <c r="M634" s="7"/>
      <c r="N634" s="7"/>
      <c r="O634" s="69"/>
      <c r="P634" s="69"/>
    </row>
    <row r="635" spans="5:16" x14ac:dyDescent="0.3">
      <c r="E635" s="6"/>
      <c r="F635" s="6"/>
      <c r="G635" s="6"/>
      <c r="H635" s="6"/>
      <c r="I635" s="6"/>
      <c r="J635" s="6"/>
      <c r="K635" s="7"/>
      <c r="L635" s="7"/>
      <c r="M635" s="7"/>
      <c r="N635" s="7"/>
      <c r="O635" s="69"/>
      <c r="P635" s="69"/>
    </row>
    <row r="636" spans="5:16" x14ac:dyDescent="0.3">
      <c r="E636" s="6"/>
      <c r="F636" s="6"/>
      <c r="G636" s="6"/>
      <c r="H636" s="6"/>
      <c r="I636" s="6"/>
      <c r="J636" s="6"/>
      <c r="K636" s="7"/>
      <c r="L636" s="7"/>
      <c r="M636" s="7"/>
      <c r="N636" s="7"/>
      <c r="O636" s="69"/>
      <c r="P636" s="69"/>
    </row>
    <row r="637" spans="5:16" x14ac:dyDescent="0.3">
      <c r="E637" s="6"/>
      <c r="F637" s="6"/>
      <c r="G637" s="6"/>
      <c r="H637" s="6"/>
      <c r="I637" s="6"/>
      <c r="J637" s="6"/>
      <c r="K637" s="7"/>
      <c r="L637" s="7"/>
      <c r="M637" s="7"/>
      <c r="N637" s="7"/>
      <c r="O637" s="69"/>
      <c r="P637" s="69"/>
    </row>
    <row r="638" spans="5:16" x14ac:dyDescent="0.3">
      <c r="E638" s="6"/>
      <c r="F638" s="6"/>
      <c r="G638" s="6"/>
      <c r="H638" s="6"/>
      <c r="I638" s="6"/>
      <c r="J638" s="6"/>
      <c r="K638" s="7"/>
      <c r="L638" s="7"/>
      <c r="M638" s="7"/>
      <c r="N638" s="7"/>
      <c r="O638" s="69"/>
      <c r="P638" s="69"/>
    </row>
    <row r="639" spans="5:16" x14ac:dyDescent="0.3">
      <c r="E639" s="6"/>
      <c r="F639" s="6"/>
      <c r="G639" s="6"/>
      <c r="H639" s="6"/>
      <c r="I639" s="6"/>
      <c r="J639" s="6"/>
      <c r="K639" s="7"/>
      <c r="L639" s="7"/>
      <c r="M639" s="7"/>
      <c r="N639" s="7"/>
      <c r="O639" s="69"/>
      <c r="P639" s="69"/>
    </row>
    <row r="640" spans="5:16" x14ac:dyDescent="0.3">
      <c r="E640" s="6"/>
      <c r="F640" s="6"/>
      <c r="G640" s="6"/>
      <c r="H640" s="6"/>
      <c r="I640" s="6"/>
      <c r="J640" s="6"/>
      <c r="K640" s="7"/>
      <c r="L640" s="7"/>
      <c r="M640" s="7"/>
      <c r="N640" s="7"/>
      <c r="O640" s="69"/>
      <c r="P640" s="69"/>
    </row>
    <row r="641" spans="5:16" x14ac:dyDescent="0.3">
      <c r="E641" s="6"/>
      <c r="F641" s="6"/>
      <c r="G641" s="6"/>
      <c r="H641" s="6"/>
      <c r="I641" s="6"/>
      <c r="J641" s="6"/>
      <c r="K641" s="7"/>
      <c r="L641" s="7"/>
      <c r="M641" s="7"/>
      <c r="N641" s="7"/>
      <c r="O641" s="69"/>
      <c r="P641" s="69"/>
    </row>
    <row r="642" spans="5:16" x14ac:dyDescent="0.3">
      <c r="E642" s="6"/>
      <c r="F642" s="6"/>
      <c r="G642" s="6"/>
      <c r="H642" s="6"/>
      <c r="I642" s="6"/>
      <c r="J642" s="6"/>
      <c r="K642" s="7"/>
      <c r="L642" s="7"/>
      <c r="M642" s="7"/>
      <c r="N642" s="7"/>
      <c r="O642" s="69"/>
      <c r="P642" s="69"/>
    </row>
    <row r="643" spans="5:16" x14ac:dyDescent="0.3">
      <c r="E643" s="6"/>
      <c r="F643" s="6"/>
      <c r="G643" s="6"/>
      <c r="H643" s="6"/>
      <c r="I643" s="6"/>
      <c r="J643" s="6"/>
      <c r="K643" s="7"/>
      <c r="L643" s="7"/>
      <c r="M643" s="7"/>
      <c r="N643" s="7"/>
      <c r="O643" s="69"/>
      <c r="P643" s="69"/>
    </row>
    <row r="644" spans="5:16" x14ac:dyDescent="0.3">
      <c r="E644" s="6"/>
      <c r="F644" s="6"/>
      <c r="G644" s="6"/>
      <c r="H644" s="6"/>
      <c r="I644" s="6"/>
      <c r="J644" s="6"/>
      <c r="K644" s="7"/>
      <c r="L644" s="7"/>
      <c r="M644" s="7"/>
      <c r="N644" s="7"/>
      <c r="O644" s="69"/>
      <c r="P644" s="69"/>
    </row>
    <row r="645" spans="5:16" x14ac:dyDescent="0.3">
      <c r="E645" s="6"/>
      <c r="F645" s="6"/>
      <c r="G645" s="6"/>
      <c r="H645" s="6"/>
      <c r="I645" s="6"/>
      <c r="J645" s="6"/>
      <c r="K645" s="7"/>
      <c r="L645" s="7"/>
      <c r="M645" s="7"/>
      <c r="N645" s="7"/>
      <c r="O645" s="69"/>
      <c r="P645" s="69"/>
    </row>
    <row r="646" spans="5:16" x14ac:dyDescent="0.3">
      <c r="E646" s="6"/>
      <c r="F646" s="6"/>
      <c r="G646" s="6"/>
      <c r="H646" s="6"/>
      <c r="I646" s="6"/>
      <c r="J646" s="6"/>
      <c r="K646" s="7"/>
      <c r="L646" s="7"/>
      <c r="M646" s="7"/>
      <c r="N646" s="7"/>
      <c r="O646" s="69"/>
      <c r="P646" s="69"/>
    </row>
    <row r="647" spans="5:16" x14ac:dyDescent="0.3">
      <c r="E647" s="6"/>
      <c r="F647" s="6"/>
      <c r="G647" s="6"/>
      <c r="H647" s="6"/>
      <c r="I647" s="6"/>
      <c r="J647" s="6"/>
      <c r="K647" s="7"/>
      <c r="L647" s="7"/>
      <c r="M647" s="7"/>
      <c r="N647" s="7"/>
      <c r="O647" s="69"/>
      <c r="P647" s="69"/>
    </row>
    <row r="648" spans="5:16" x14ac:dyDescent="0.3">
      <c r="E648" s="6"/>
      <c r="F648" s="6"/>
      <c r="G648" s="6"/>
      <c r="H648" s="6"/>
      <c r="I648" s="6"/>
      <c r="J648" s="6"/>
      <c r="K648" s="7"/>
      <c r="L648" s="7"/>
      <c r="M648" s="7"/>
      <c r="N648" s="7"/>
      <c r="O648" s="69"/>
      <c r="P648" s="69"/>
    </row>
    <row r="649" spans="5:16" x14ac:dyDescent="0.3">
      <c r="E649" s="6"/>
      <c r="F649" s="6"/>
      <c r="G649" s="6"/>
      <c r="H649" s="6"/>
      <c r="I649" s="6"/>
      <c r="J649" s="6"/>
      <c r="K649" s="7"/>
      <c r="L649" s="7"/>
      <c r="M649" s="7"/>
      <c r="N649" s="7"/>
      <c r="O649" s="69"/>
      <c r="P649" s="69"/>
    </row>
    <row r="650" spans="5:16" x14ac:dyDescent="0.3">
      <c r="E650" s="6"/>
      <c r="F650" s="6"/>
      <c r="G650" s="6"/>
      <c r="H650" s="6"/>
      <c r="I650" s="6"/>
      <c r="J650" s="6"/>
      <c r="K650" s="7"/>
      <c r="L650" s="7"/>
      <c r="M650" s="7"/>
      <c r="N650" s="7"/>
      <c r="O650" s="69"/>
      <c r="P650" s="69"/>
    </row>
    <row r="651" spans="5:16" x14ac:dyDescent="0.3">
      <c r="E651" s="6"/>
      <c r="F651" s="6"/>
      <c r="G651" s="6"/>
      <c r="H651" s="6"/>
      <c r="I651" s="6"/>
      <c r="J651" s="6"/>
      <c r="K651" s="7"/>
      <c r="L651" s="7"/>
      <c r="M651" s="7"/>
      <c r="N651" s="7"/>
      <c r="O651" s="69"/>
      <c r="P651" s="69"/>
    </row>
    <row r="652" spans="5:16" x14ac:dyDescent="0.3">
      <c r="E652" s="6"/>
      <c r="F652" s="6"/>
      <c r="G652" s="6"/>
      <c r="H652" s="6"/>
      <c r="I652" s="6"/>
      <c r="J652" s="6"/>
      <c r="K652" s="7"/>
      <c r="L652" s="7"/>
      <c r="M652" s="7"/>
      <c r="N652" s="7"/>
      <c r="O652" s="69"/>
      <c r="P652" s="69"/>
    </row>
    <row r="653" spans="5:16" x14ac:dyDescent="0.3">
      <c r="E653" s="6"/>
      <c r="F653" s="6"/>
      <c r="G653" s="6"/>
      <c r="H653" s="6"/>
      <c r="I653" s="6"/>
      <c r="J653" s="6"/>
      <c r="K653" s="7"/>
      <c r="L653" s="7"/>
      <c r="M653" s="7"/>
      <c r="N653" s="7"/>
      <c r="O653" s="69"/>
      <c r="P653" s="69"/>
    </row>
    <row r="654" spans="5:16" x14ac:dyDescent="0.3">
      <c r="E654" s="6"/>
      <c r="F654" s="6"/>
      <c r="G654" s="6"/>
      <c r="H654" s="6"/>
      <c r="I654" s="6"/>
      <c r="J654" s="6"/>
      <c r="K654" s="7"/>
      <c r="L654" s="7"/>
      <c r="M654" s="7"/>
      <c r="N654" s="7"/>
      <c r="O654" s="69"/>
      <c r="P654" s="69"/>
    </row>
    <row r="655" spans="5:16" x14ac:dyDescent="0.3">
      <c r="E655" s="6"/>
      <c r="F655" s="6"/>
      <c r="G655" s="6"/>
      <c r="H655" s="6"/>
      <c r="I655" s="6"/>
      <c r="J655" s="6"/>
      <c r="K655" s="7"/>
      <c r="L655" s="7"/>
      <c r="M655" s="7"/>
      <c r="N655" s="7"/>
      <c r="O655" s="69"/>
      <c r="P655" s="69"/>
    </row>
    <row r="656" spans="5:16" x14ac:dyDescent="0.3">
      <c r="E656" s="6"/>
      <c r="F656" s="6"/>
      <c r="G656" s="6"/>
      <c r="H656" s="6"/>
      <c r="I656" s="6"/>
      <c r="J656" s="6"/>
      <c r="K656" s="7"/>
      <c r="L656" s="7"/>
      <c r="M656" s="7"/>
      <c r="N656" s="7"/>
      <c r="O656" s="69"/>
      <c r="P656" s="69"/>
    </row>
    <row r="657" spans="5:16" x14ac:dyDescent="0.3">
      <c r="E657" s="6"/>
      <c r="F657" s="6"/>
      <c r="G657" s="6"/>
      <c r="H657" s="6"/>
      <c r="I657" s="6"/>
      <c r="J657" s="6"/>
      <c r="K657" s="7"/>
      <c r="L657" s="7"/>
      <c r="M657" s="7"/>
      <c r="N657" s="7"/>
      <c r="O657" s="69"/>
      <c r="P657" s="69"/>
    </row>
    <row r="658" spans="5:16" x14ac:dyDescent="0.3">
      <c r="E658" s="6"/>
      <c r="F658" s="6"/>
      <c r="G658" s="6"/>
      <c r="H658" s="6"/>
      <c r="I658" s="6"/>
      <c r="J658" s="6"/>
      <c r="K658" s="7"/>
      <c r="L658" s="7"/>
      <c r="M658" s="7"/>
      <c r="N658" s="7"/>
      <c r="O658" s="69"/>
      <c r="P658" s="69"/>
    </row>
    <row r="659" spans="5:16" x14ac:dyDescent="0.3">
      <c r="E659" s="6"/>
      <c r="F659" s="6"/>
      <c r="G659" s="6"/>
      <c r="H659" s="6"/>
      <c r="I659" s="6"/>
      <c r="J659" s="6"/>
      <c r="K659" s="7"/>
      <c r="L659" s="7"/>
      <c r="M659" s="7"/>
      <c r="N659" s="7"/>
      <c r="O659" s="69"/>
      <c r="P659" s="69"/>
    </row>
    <row r="660" spans="5:16" x14ac:dyDescent="0.3">
      <c r="E660" s="6"/>
      <c r="F660" s="6"/>
      <c r="G660" s="6"/>
      <c r="H660" s="6"/>
      <c r="I660" s="6"/>
      <c r="J660" s="6"/>
      <c r="K660" s="7"/>
      <c r="L660" s="7"/>
      <c r="M660" s="7"/>
      <c r="N660" s="7"/>
      <c r="O660" s="69"/>
      <c r="P660" s="69"/>
    </row>
    <row r="661" spans="5:16" x14ac:dyDescent="0.3">
      <c r="E661" s="6"/>
      <c r="F661" s="6"/>
      <c r="G661" s="6"/>
      <c r="H661" s="6"/>
      <c r="I661" s="6"/>
      <c r="J661" s="6"/>
      <c r="K661" s="7"/>
      <c r="L661" s="7"/>
      <c r="M661" s="7"/>
      <c r="N661" s="7"/>
      <c r="O661" s="69"/>
      <c r="P661" s="69"/>
    </row>
    <row r="662" spans="5:16" x14ac:dyDescent="0.3">
      <c r="E662" s="6"/>
      <c r="F662" s="6"/>
      <c r="G662" s="6"/>
      <c r="H662" s="6"/>
      <c r="I662" s="6"/>
      <c r="J662" s="6"/>
      <c r="K662" s="7"/>
      <c r="L662" s="7"/>
      <c r="M662" s="7"/>
      <c r="N662" s="7"/>
      <c r="O662" s="69"/>
      <c r="P662" s="69"/>
    </row>
    <row r="663" spans="5:16" x14ac:dyDescent="0.3">
      <c r="E663" s="6"/>
      <c r="F663" s="6"/>
      <c r="G663" s="6"/>
      <c r="H663" s="6"/>
      <c r="I663" s="6"/>
      <c r="J663" s="6"/>
      <c r="K663" s="7"/>
      <c r="L663" s="7"/>
      <c r="M663" s="7"/>
      <c r="N663" s="7"/>
      <c r="O663" s="69"/>
      <c r="P663" s="69"/>
    </row>
    <row r="664" spans="5:16" x14ac:dyDescent="0.3">
      <c r="E664" s="6"/>
      <c r="F664" s="6"/>
      <c r="G664" s="6"/>
      <c r="H664" s="6"/>
      <c r="I664" s="6"/>
      <c r="J664" s="6"/>
      <c r="K664" s="7"/>
      <c r="L664" s="7"/>
      <c r="M664" s="7"/>
      <c r="N664" s="7"/>
      <c r="O664" s="69"/>
      <c r="P664" s="69"/>
    </row>
    <row r="665" spans="5:16" x14ac:dyDescent="0.3">
      <c r="E665" s="6"/>
      <c r="F665" s="6"/>
      <c r="G665" s="6"/>
      <c r="H665" s="6"/>
      <c r="I665" s="6"/>
      <c r="J665" s="6"/>
      <c r="K665" s="7"/>
      <c r="L665" s="7"/>
      <c r="M665" s="7"/>
      <c r="N665" s="7"/>
      <c r="O665" s="69"/>
      <c r="P665" s="69"/>
    </row>
    <row r="666" spans="5:16" x14ac:dyDescent="0.3">
      <c r="E666" s="6"/>
      <c r="F666" s="6"/>
      <c r="G666" s="6"/>
      <c r="H666" s="6"/>
      <c r="I666" s="6"/>
      <c r="J666" s="6"/>
      <c r="K666" s="7"/>
      <c r="L666" s="7"/>
      <c r="M666" s="7"/>
      <c r="N666" s="7"/>
      <c r="O666" s="69"/>
      <c r="P666" s="69"/>
    </row>
    <row r="667" spans="5:16" x14ac:dyDescent="0.3">
      <c r="E667" s="6"/>
      <c r="F667" s="6"/>
      <c r="G667" s="6"/>
      <c r="H667" s="6"/>
      <c r="I667" s="6"/>
      <c r="J667" s="6"/>
      <c r="K667" s="7"/>
      <c r="L667" s="7"/>
      <c r="M667" s="7"/>
      <c r="N667" s="7"/>
      <c r="O667" s="69"/>
      <c r="P667" s="69"/>
    </row>
    <row r="668" spans="5:16" x14ac:dyDescent="0.3">
      <c r="E668" s="6"/>
      <c r="F668" s="6"/>
      <c r="G668" s="6"/>
      <c r="H668" s="6"/>
      <c r="I668" s="6"/>
      <c r="J668" s="6"/>
      <c r="K668" s="7"/>
      <c r="L668" s="7"/>
      <c r="M668" s="7"/>
      <c r="N668" s="7"/>
      <c r="O668" s="69"/>
      <c r="P668" s="69"/>
    </row>
    <row r="669" spans="5:16" x14ac:dyDescent="0.3">
      <c r="E669" s="6"/>
      <c r="F669" s="6"/>
      <c r="G669" s="6"/>
      <c r="H669" s="6"/>
      <c r="I669" s="6"/>
      <c r="J669" s="6"/>
      <c r="K669" s="7"/>
      <c r="L669" s="7"/>
      <c r="M669" s="7"/>
      <c r="N669" s="7"/>
      <c r="O669" s="69"/>
      <c r="P669" s="69"/>
    </row>
    <row r="670" spans="5:16" x14ac:dyDescent="0.3">
      <c r="E670" s="6"/>
      <c r="F670" s="6"/>
      <c r="G670" s="6"/>
      <c r="H670" s="6"/>
      <c r="I670" s="6"/>
      <c r="J670" s="6"/>
      <c r="K670" s="7"/>
      <c r="L670" s="7"/>
      <c r="M670" s="7"/>
      <c r="N670" s="7"/>
      <c r="O670" s="69"/>
      <c r="P670" s="69"/>
    </row>
    <row r="671" spans="5:16" x14ac:dyDescent="0.3">
      <c r="E671" s="6"/>
      <c r="F671" s="6"/>
      <c r="G671" s="6"/>
      <c r="H671" s="6"/>
      <c r="I671" s="6"/>
      <c r="J671" s="6"/>
      <c r="K671" s="7"/>
      <c r="L671" s="7"/>
      <c r="M671" s="7"/>
      <c r="N671" s="7"/>
      <c r="O671" s="69"/>
      <c r="P671" s="69"/>
    </row>
    <row r="672" spans="5:16" x14ac:dyDescent="0.3">
      <c r="E672" s="6"/>
      <c r="F672" s="6"/>
      <c r="G672" s="6"/>
      <c r="H672" s="6"/>
      <c r="I672" s="6"/>
      <c r="J672" s="6"/>
      <c r="K672" s="7"/>
      <c r="L672" s="7"/>
      <c r="M672" s="7"/>
      <c r="N672" s="7"/>
      <c r="O672" s="69"/>
      <c r="P672" s="69"/>
    </row>
    <row r="673" spans="5:16" x14ac:dyDescent="0.3">
      <c r="E673" s="6"/>
      <c r="F673" s="6"/>
      <c r="G673" s="6"/>
      <c r="H673" s="6"/>
      <c r="I673" s="6"/>
      <c r="J673" s="6"/>
      <c r="K673" s="7"/>
      <c r="L673" s="7"/>
      <c r="M673" s="7"/>
      <c r="N673" s="7"/>
      <c r="O673" s="69"/>
      <c r="P673" s="69"/>
    </row>
    <row r="674" spans="5:16" x14ac:dyDescent="0.3">
      <c r="E674" s="6"/>
      <c r="F674" s="6"/>
      <c r="G674" s="6"/>
      <c r="H674" s="6"/>
      <c r="I674" s="6"/>
      <c r="J674" s="6"/>
      <c r="K674" s="7"/>
      <c r="L674" s="7"/>
      <c r="M674" s="7"/>
      <c r="N674" s="7"/>
      <c r="O674" s="69"/>
      <c r="P674" s="69"/>
    </row>
    <row r="675" spans="5:16" x14ac:dyDescent="0.3">
      <c r="E675" s="6"/>
      <c r="F675" s="6"/>
      <c r="G675" s="6"/>
      <c r="H675" s="6"/>
      <c r="I675" s="6"/>
      <c r="J675" s="6"/>
      <c r="K675" s="7"/>
      <c r="L675" s="7"/>
      <c r="M675" s="7"/>
      <c r="N675" s="7"/>
      <c r="O675" s="69"/>
      <c r="P675" s="69"/>
    </row>
    <row r="676" spans="5:16" x14ac:dyDescent="0.3">
      <c r="E676" s="6"/>
      <c r="F676" s="6"/>
      <c r="G676" s="6"/>
      <c r="H676" s="6"/>
      <c r="I676" s="6"/>
      <c r="J676" s="6"/>
      <c r="K676" s="7"/>
      <c r="L676" s="7"/>
      <c r="M676" s="7"/>
      <c r="N676" s="7"/>
      <c r="O676" s="69"/>
      <c r="P676" s="69"/>
    </row>
    <row r="677" spans="5:16" x14ac:dyDescent="0.3">
      <c r="E677" s="6"/>
      <c r="F677" s="6"/>
      <c r="G677" s="6"/>
      <c r="H677" s="6"/>
      <c r="I677" s="6"/>
      <c r="J677" s="6"/>
      <c r="K677" s="7"/>
      <c r="L677" s="7"/>
      <c r="M677" s="7"/>
      <c r="N677" s="7"/>
      <c r="O677" s="69"/>
      <c r="P677" s="69"/>
    </row>
    <row r="678" spans="5:16" x14ac:dyDescent="0.3">
      <c r="E678" s="6"/>
      <c r="F678" s="6"/>
      <c r="G678" s="6"/>
      <c r="H678" s="6"/>
      <c r="I678" s="6"/>
      <c r="J678" s="6"/>
      <c r="K678" s="7"/>
      <c r="L678" s="7"/>
      <c r="M678" s="7"/>
      <c r="N678" s="7"/>
      <c r="O678" s="69"/>
      <c r="P678" s="69"/>
    </row>
    <row r="679" spans="5:16" x14ac:dyDescent="0.3">
      <c r="E679" s="6"/>
      <c r="F679" s="6"/>
      <c r="G679" s="6"/>
      <c r="H679" s="6"/>
      <c r="I679" s="6"/>
      <c r="J679" s="6"/>
      <c r="K679" s="7"/>
      <c r="L679" s="7"/>
      <c r="M679" s="7"/>
      <c r="N679" s="7"/>
      <c r="O679" s="69"/>
      <c r="P679" s="69"/>
    </row>
    <row r="680" spans="5:16" x14ac:dyDescent="0.3">
      <c r="E680" s="6"/>
      <c r="F680" s="6"/>
      <c r="G680" s="6"/>
      <c r="H680" s="6"/>
      <c r="I680" s="6"/>
      <c r="J680" s="6"/>
      <c r="K680" s="7"/>
      <c r="L680" s="7"/>
      <c r="M680" s="7"/>
      <c r="N680" s="7"/>
      <c r="O680" s="69"/>
      <c r="P680" s="69"/>
    </row>
    <row r="681" spans="5:16" x14ac:dyDescent="0.3">
      <c r="E681" s="6"/>
      <c r="F681" s="6"/>
      <c r="G681" s="6"/>
      <c r="H681" s="6"/>
      <c r="I681" s="6"/>
      <c r="J681" s="6"/>
      <c r="K681" s="7"/>
      <c r="L681" s="7"/>
      <c r="M681" s="7"/>
      <c r="N681" s="7"/>
      <c r="O681" s="69"/>
      <c r="P681" s="69"/>
    </row>
    <row r="682" spans="5:16" x14ac:dyDescent="0.3">
      <c r="E682" s="6"/>
      <c r="F682" s="6"/>
      <c r="G682" s="6"/>
      <c r="H682" s="6"/>
      <c r="I682" s="6"/>
      <c r="J682" s="6"/>
      <c r="K682" s="7"/>
      <c r="L682" s="7"/>
      <c r="M682" s="7"/>
      <c r="N682" s="7"/>
      <c r="O682" s="69"/>
      <c r="P682" s="69"/>
    </row>
    <row r="683" spans="5:16" x14ac:dyDescent="0.3">
      <c r="E683" s="6"/>
      <c r="F683" s="6"/>
      <c r="G683" s="6"/>
      <c r="H683" s="6"/>
      <c r="I683" s="6"/>
      <c r="J683" s="6"/>
      <c r="K683" s="7"/>
      <c r="L683" s="7"/>
      <c r="M683" s="7"/>
      <c r="N683" s="7"/>
      <c r="O683" s="69"/>
      <c r="P683" s="69"/>
    </row>
    <row r="684" spans="5:16" x14ac:dyDescent="0.3">
      <c r="E684" s="6"/>
      <c r="F684" s="6"/>
      <c r="G684" s="6"/>
      <c r="H684" s="6"/>
      <c r="I684" s="6"/>
      <c r="J684" s="6"/>
      <c r="K684" s="7"/>
      <c r="L684" s="7"/>
      <c r="M684" s="7"/>
      <c r="N684" s="7"/>
      <c r="O684" s="69"/>
      <c r="P684" s="69"/>
    </row>
    <row r="685" spans="5:16" x14ac:dyDescent="0.3">
      <c r="E685" s="6"/>
      <c r="F685" s="6"/>
      <c r="G685" s="6"/>
      <c r="H685" s="6"/>
      <c r="I685" s="6"/>
      <c r="J685" s="6"/>
      <c r="K685" s="7"/>
      <c r="L685" s="7"/>
      <c r="M685" s="7"/>
      <c r="N685" s="7"/>
      <c r="O685" s="69"/>
      <c r="P685" s="69"/>
    </row>
    <row r="686" spans="5:16" x14ac:dyDescent="0.3">
      <c r="E686" s="6"/>
      <c r="F686" s="6"/>
      <c r="G686" s="6"/>
      <c r="H686" s="6"/>
      <c r="I686" s="6"/>
      <c r="J686" s="6"/>
      <c r="K686" s="7"/>
      <c r="L686" s="7"/>
      <c r="M686" s="7"/>
      <c r="N686" s="7"/>
      <c r="O686" s="69"/>
      <c r="P686" s="69"/>
    </row>
    <row r="687" spans="5:16" x14ac:dyDescent="0.3">
      <c r="E687" s="6"/>
      <c r="F687" s="6"/>
      <c r="G687" s="6"/>
      <c r="H687" s="6"/>
      <c r="I687" s="6"/>
      <c r="J687" s="6"/>
      <c r="K687" s="7"/>
      <c r="L687" s="7"/>
      <c r="M687" s="7"/>
      <c r="N687" s="7"/>
      <c r="O687" s="69"/>
      <c r="P687" s="69"/>
    </row>
    <row r="688" spans="5:16" x14ac:dyDescent="0.3">
      <c r="E688" s="6"/>
      <c r="F688" s="6"/>
      <c r="G688" s="6"/>
      <c r="H688" s="6"/>
      <c r="I688" s="6"/>
      <c r="J688" s="6"/>
      <c r="K688" s="7"/>
      <c r="L688" s="7"/>
      <c r="M688" s="7"/>
      <c r="N688" s="7"/>
      <c r="O688" s="69"/>
      <c r="P688" s="69"/>
    </row>
    <row r="689" spans="5:16" x14ac:dyDescent="0.3">
      <c r="E689" s="6"/>
      <c r="F689" s="6"/>
      <c r="G689" s="6"/>
      <c r="H689" s="6"/>
      <c r="I689" s="6"/>
      <c r="J689" s="6"/>
      <c r="K689" s="7"/>
      <c r="L689" s="7"/>
      <c r="M689" s="7"/>
      <c r="N689" s="7"/>
      <c r="O689" s="69"/>
      <c r="P689" s="69"/>
    </row>
    <row r="690" spans="5:16" x14ac:dyDescent="0.3">
      <c r="E690" s="6"/>
      <c r="F690" s="6"/>
      <c r="G690" s="6"/>
      <c r="H690" s="6"/>
      <c r="I690" s="6"/>
      <c r="J690" s="6"/>
      <c r="K690" s="7"/>
      <c r="L690" s="7"/>
      <c r="M690" s="7"/>
      <c r="N690" s="7"/>
      <c r="O690" s="69"/>
      <c r="P690" s="69"/>
    </row>
    <row r="691" spans="5:16" x14ac:dyDescent="0.3">
      <c r="E691" s="6"/>
      <c r="F691" s="6"/>
      <c r="G691" s="6"/>
      <c r="H691" s="6"/>
      <c r="I691" s="6"/>
      <c r="J691" s="6"/>
      <c r="K691" s="7"/>
      <c r="L691" s="7"/>
      <c r="M691" s="7"/>
      <c r="N691" s="7"/>
      <c r="O691" s="69"/>
      <c r="P691" s="69"/>
    </row>
    <row r="692" spans="5:16" x14ac:dyDescent="0.3">
      <c r="E692" s="6"/>
      <c r="F692" s="6"/>
      <c r="G692" s="6"/>
      <c r="H692" s="6"/>
      <c r="I692" s="6"/>
      <c r="J692" s="6"/>
      <c r="K692" s="7"/>
      <c r="L692" s="7"/>
      <c r="M692" s="7"/>
      <c r="N692" s="7"/>
      <c r="O692" s="69"/>
      <c r="P692" s="69"/>
    </row>
    <row r="693" spans="5:16" x14ac:dyDescent="0.3">
      <c r="E693" s="6"/>
      <c r="F693" s="6"/>
      <c r="G693" s="6"/>
      <c r="H693" s="6"/>
      <c r="I693" s="6"/>
      <c r="J693" s="6"/>
      <c r="K693" s="7"/>
      <c r="L693" s="7"/>
      <c r="M693" s="7"/>
      <c r="N693" s="7"/>
      <c r="O693" s="69"/>
      <c r="P693" s="69"/>
    </row>
    <row r="694" spans="5:16" x14ac:dyDescent="0.3">
      <c r="E694" s="6"/>
      <c r="F694" s="6"/>
      <c r="G694" s="6"/>
      <c r="H694" s="6"/>
      <c r="I694" s="6"/>
      <c r="J694" s="6"/>
      <c r="K694" s="7"/>
      <c r="L694" s="7"/>
      <c r="M694" s="7"/>
      <c r="N694" s="7"/>
      <c r="O694" s="69"/>
      <c r="P694" s="69"/>
    </row>
    <row r="695" spans="5:16" x14ac:dyDescent="0.3">
      <c r="E695" s="6"/>
      <c r="F695" s="6"/>
      <c r="G695" s="6"/>
      <c r="H695" s="6"/>
      <c r="I695" s="6"/>
      <c r="J695" s="6"/>
      <c r="K695" s="7"/>
      <c r="L695" s="7"/>
      <c r="M695" s="7"/>
      <c r="N695" s="7"/>
      <c r="O695" s="69"/>
      <c r="P695" s="69"/>
    </row>
    <row r="696" spans="5:16" x14ac:dyDescent="0.3">
      <c r="E696" s="6"/>
      <c r="F696" s="6"/>
      <c r="G696" s="6"/>
      <c r="H696" s="6"/>
      <c r="I696" s="6"/>
      <c r="J696" s="6"/>
      <c r="K696" s="7"/>
      <c r="L696" s="7"/>
      <c r="M696" s="7"/>
      <c r="N696" s="7"/>
      <c r="O696" s="69"/>
      <c r="P696" s="69"/>
    </row>
    <row r="697" spans="5:16" x14ac:dyDescent="0.3">
      <c r="E697" s="6"/>
      <c r="F697" s="6"/>
      <c r="G697" s="6"/>
      <c r="H697" s="6"/>
      <c r="I697" s="6"/>
      <c r="J697" s="6"/>
      <c r="K697" s="7"/>
      <c r="L697" s="7"/>
      <c r="M697" s="7"/>
      <c r="N697" s="7"/>
      <c r="O697" s="69"/>
      <c r="P697" s="69"/>
    </row>
    <row r="698" spans="5:16" x14ac:dyDescent="0.3">
      <c r="E698" s="6"/>
      <c r="F698" s="6"/>
      <c r="G698" s="6"/>
      <c r="H698" s="6"/>
      <c r="I698" s="6"/>
      <c r="J698" s="6"/>
      <c r="K698" s="7"/>
      <c r="L698" s="7"/>
      <c r="M698" s="7"/>
      <c r="N698" s="7"/>
      <c r="O698" s="69"/>
      <c r="P698" s="69"/>
    </row>
    <row r="699" spans="5:16" x14ac:dyDescent="0.3">
      <c r="E699" s="6"/>
      <c r="F699" s="6"/>
      <c r="G699" s="6"/>
      <c r="H699" s="6"/>
      <c r="I699" s="6"/>
      <c r="J699" s="6"/>
      <c r="K699" s="7"/>
      <c r="L699" s="7"/>
      <c r="M699" s="7"/>
      <c r="N699" s="7"/>
      <c r="O699" s="69"/>
      <c r="P699" s="69"/>
    </row>
    <row r="700" spans="5:16" x14ac:dyDescent="0.3">
      <c r="E700" s="6"/>
      <c r="F700" s="6"/>
      <c r="G700" s="6"/>
      <c r="H700" s="6"/>
      <c r="I700" s="6"/>
      <c r="J700" s="6"/>
      <c r="K700" s="7"/>
      <c r="L700" s="7"/>
      <c r="M700" s="7"/>
      <c r="N700" s="7"/>
      <c r="O700" s="69"/>
      <c r="P700" s="69"/>
    </row>
    <row r="701" spans="5:16" x14ac:dyDescent="0.3">
      <c r="E701" s="6"/>
      <c r="F701" s="6"/>
      <c r="G701" s="6"/>
      <c r="H701" s="6"/>
      <c r="I701" s="6"/>
      <c r="J701" s="6"/>
      <c r="K701" s="7"/>
      <c r="L701" s="7"/>
      <c r="M701" s="7"/>
      <c r="N701" s="7"/>
      <c r="O701" s="69"/>
      <c r="P701" s="69"/>
    </row>
    <row r="702" spans="5:16" x14ac:dyDescent="0.3">
      <c r="E702" s="6"/>
      <c r="F702" s="6"/>
      <c r="G702" s="6"/>
      <c r="H702" s="6"/>
      <c r="I702" s="6"/>
      <c r="J702" s="6"/>
      <c r="K702" s="7"/>
      <c r="L702" s="7"/>
      <c r="M702" s="7"/>
      <c r="N702" s="7"/>
      <c r="O702" s="69"/>
      <c r="P702" s="69"/>
    </row>
    <row r="703" spans="5:16" x14ac:dyDescent="0.3">
      <c r="E703" s="6"/>
      <c r="F703" s="6"/>
      <c r="G703" s="6"/>
      <c r="H703" s="6"/>
      <c r="I703" s="6"/>
      <c r="J703" s="6"/>
      <c r="K703" s="7"/>
      <c r="L703" s="7"/>
      <c r="M703" s="7"/>
      <c r="N703" s="7"/>
      <c r="O703" s="69"/>
      <c r="P703" s="69"/>
    </row>
    <row r="704" spans="5:16" x14ac:dyDescent="0.3">
      <c r="E704" s="6"/>
      <c r="F704" s="6"/>
      <c r="G704" s="6"/>
      <c r="H704" s="6"/>
      <c r="I704" s="6"/>
      <c r="J704" s="6"/>
      <c r="K704" s="7"/>
      <c r="L704" s="7"/>
      <c r="M704" s="7"/>
      <c r="N704" s="7"/>
      <c r="O704" s="69"/>
      <c r="P704" s="69"/>
    </row>
    <row r="705" spans="5:16" x14ac:dyDescent="0.3">
      <c r="E705" s="6"/>
      <c r="F705" s="6"/>
      <c r="G705" s="6"/>
      <c r="H705" s="6"/>
      <c r="I705" s="6"/>
      <c r="J705" s="6"/>
      <c r="K705" s="7"/>
      <c r="L705" s="7"/>
      <c r="M705" s="7"/>
      <c r="N705" s="7"/>
      <c r="O705" s="69"/>
      <c r="P705" s="69"/>
    </row>
    <row r="706" spans="5:16" x14ac:dyDescent="0.3">
      <c r="E706" s="6"/>
      <c r="F706" s="6"/>
      <c r="G706" s="6"/>
      <c r="H706" s="6"/>
      <c r="I706" s="6"/>
      <c r="J706" s="6"/>
      <c r="K706" s="7"/>
      <c r="L706" s="7"/>
      <c r="M706" s="7"/>
      <c r="N706" s="7"/>
      <c r="O706" s="69"/>
      <c r="P706" s="69"/>
    </row>
    <row r="707" spans="5:16" x14ac:dyDescent="0.3">
      <c r="E707" s="6"/>
      <c r="F707" s="6"/>
      <c r="G707" s="6"/>
      <c r="H707" s="6"/>
      <c r="I707" s="6"/>
      <c r="J707" s="6"/>
      <c r="K707" s="7"/>
      <c r="L707" s="7"/>
      <c r="M707" s="7"/>
      <c r="N707" s="7"/>
      <c r="O707" s="69"/>
      <c r="P707" s="69"/>
    </row>
    <row r="708" spans="5:16" x14ac:dyDescent="0.3">
      <c r="E708" s="6"/>
      <c r="F708" s="6"/>
      <c r="G708" s="6"/>
      <c r="H708" s="6"/>
      <c r="I708" s="6"/>
      <c r="J708" s="6"/>
      <c r="K708" s="7"/>
      <c r="L708" s="7"/>
      <c r="M708" s="7"/>
      <c r="N708" s="7"/>
      <c r="O708" s="69"/>
      <c r="P708" s="69"/>
    </row>
    <row r="709" spans="5:16" x14ac:dyDescent="0.3">
      <c r="E709" s="6"/>
      <c r="F709" s="6"/>
      <c r="G709" s="6"/>
      <c r="H709" s="6"/>
      <c r="I709" s="6"/>
      <c r="J709" s="6"/>
      <c r="K709" s="7"/>
      <c r="L709" s="7"/>
      <c r="M709" s="7"/>
      <c r="N709" s="7"/>
      <c r="O709" s="69"/>
      <c r="P709" s="69"/>
    </row>
    <row r="710" spans="5:16" x14ac:dyDescent="0.3">
      <c r="E710" s="6"/>
      <c r="F710" s="6"/>
      <c r="G710" s="6"/>
      <c r="H710" s="6"/>
      <c r="I710" s="6"/>
      <c r="J710" s="6"/>
      <c r="K710" s="7"/>
      <c r="L710" s="7"/>
      <c r="M710" s="7"/>
      <c r="N710" s="7"/>
      <c r="O710" s="69"/>
      <c r="P710" s="69"/>
    </row>
    <row r="711" spans="5:16" x14ac:dyDescent="0.3">
      <c r="E711" s="6"/>
      <c r="F711" s="6"/>
      <c r="G711" s="6"/>
      <c r="H711" s="6"/>
      <c r="I711" s="6"/>
      <c r="J711" s="6"/>
      <c r="K711" s="7"/>
      <c r="L711" s="7"/>
      <c r="M711" s="7"/>
      <c r="N711" s="7"/>
      <c r="O711" s="69"/>
      <c r="P711" s="69"/>
    </row>
    <row r="712" spans="5:16" x14ac:dyDescent="0.3">
      <c r="E712" s="6"/>
      <c r="F712" s="6"/>
      <c r="G712" s="6"/>
      <c r="H712" s="6"/>
      <c r="I712" s="6"/>
      <c r="J712" s="6"/>
      <c r="K712" s="7"/>
      <c r="L712" s="7"/>
      <c r="M712" s="7"/>
      <c r="N712" s="7"/>
      <c r="O712" s="69"/>
      <c r="P712" s="69"/>
    </row>
    <row r="713" spans="5:16" x14ac:dyDescent="0.3">
      <c r="E713" s="6"/>
      <c r="F713" s="6"/>
      <c r="G713" s="6"/>
      <c r="H713" s="6"/>
      <c r="I713" s="6"/>
      <c r="J713" s="6"/>
      <c r="K713" s="7"/>
      <c r="L713" s="7"/>
      <c r="M713" s="7"/>
      <c r="N713" s="7"/>
      <c r="O713" s="69"/>
      <c r="P713" s="69"/>
    </row>
    <row r="714" spans="5:16" x14ac:dyDescent="0.3">
      <c r="E714" s="6"/>
      <c r="F714" s="6"/>
      <c r="G714" s="6"/>
      <c r="H714" s="6"/>
      <c r="I714" s="6"/>
      <c r="J714" s="6"/>
      <c r="K714" s="7"/>
      <c r="L714" s="7"/>
      <c r="M714" s="7"/>
      <c r="N714" s="7"/>
      <c r="O714" s="69"/>
      <c r="P714" s="69"/>
    </row>
    <row r="715" spans="5:16" x14ac:dyDescent="0.3">
      <c r="E715" s="6"/>
      <c r="F715" s="6"/>
      <c r="G715" s="6"/>
      <c r="H715" s="6"/>
      <c r="I715" s="6"/>
      <c r="J715" s="6"/>
      <c r="K715" s="7"/>
      <c r="L715" s="7"/>
      <c r="M715" s="7"/>
      <c r="N715" s="7"/>
      <c r="O715" s="69"/>
      <c r="P715" s="69"/>
    </row>
    <row r="716" spans="5:16" x14ac:dyDescent="0.3">
      <c r="E716" s="6"/>
      <c r="F716" s="6"/>
      <c r="G716" s="6"/>
      <c r="H716" s="6"/>
      <c r="I716" s="6"/>
      <c r="J716" s="6"/>
      <c r="K716" s="7"/>
      <c r="L716" s="7"/>
      <c r="M716" s="7"/>
      <c r="N716" s="7"/>
      <c r="O716" s="69"/>
      <c r="P716" s="69"/>
    </row>
    <row r="717" spans="5:16" x14ac:dyDescent="0.3">
      <c r="E717" s="6"/>
      <c r="F717" s="6"/>
      <c r="G717" s="6"/>
      <c r="H717" s="6"/>
      <c r="I717" s="6"/>
      <c r="J717" s="6"/>
      <c r="K717" s="7"/>
      <c r="L717" s="7"/>
      <c r="M717" s="7"/>
      <c r="N717" s="7"/>
      <c r="O717" s="69"/>
      <c r="P717" s="69"/>
    </row>
    <row r="718" spans="5:16" x14ac:dyDescent="0.3">
      <c r="E718" s="6"/>
      <c r="F718" s="6"/>
      <c r="G718" s="6"/>
      <c r="H718" s="6"/>
      <c r="I718" s="6"/>
      <c r="J718" s="6"/>
      <c r="K718" s="7"/>
      <c r="L718" s="7"/>
      <c r="M718" s="7"/>
      <c r="N718" s="7"/>
      <c r="O718" s="69"/>
      <c r="P718" s="69"/>
    </row>
    <row r="719" spans="5:16" x14ac:dyDescent="0.3">
      <c r="E719" s="6"/>
      <c r="F719" s="6"/>
      <c r="G719" s="6"/>
      <c r="H719" s="6"/>
      <c r="I719" s="6"/>
      <c r="J719" s="6"/>
      <c r="K719" s="7"/>
      <c r="L719" s="7"/>
      <c r="M719" s="7"/>
      <c r="N719" s="7"/>
      <c r="O719" s="69"/>
      <c r="P719" s="69"/>
    </row>
    <row r="720" spans="5:16" x14ac:dyDescent="0.3">
      <c r="E720" s="6"/>
      <c r="F720" s="6"/>
      <c r="G720" s="6"/>
      <c r="H720" s="6"/>
      <c r="I720" s="6"/>
      <c r="J720" s="6"/>
      <c r="K720" s="7"/>
      <c r="L720" s="7"/>
      <c r="M720" s="7"/>
      <c r="N720" s="7"/>
      <c r="O720" s="69"/>
      <c r="P720" s="69"/>
    </row>
    <row r="721" spans="5:16" x14ac:dyDescent="0.3">
      <c r="E721" s="6"/>
      <c r="F721" s="6"/>
      <c r="G721" s="6"/>
      <c r="H721" s="6"/>
      <c r="I721" s="6"/>
      <c r="J721" s="6"/>
      <c r="K721" s="7"/>
      <c r="L721" s="7"/>
      <c r="M721" s="7"/>
      <c r="N721" s="7"/>
      <c r="O721" s="69"/>
      <c r="P721" s="69"/>
    </row>
    <row r="722" spans="5:16" x14ac:dyDescent="0.3">
      <c r="E722" s="6"/>
      <c r="F722" s="6"/>
      <c r="G722" s="6"/>
      <c r="H722" s="6"/>
      <c r="I722" s="6"/>
      <c r="J722" s="6"/>
      <c r="K722" s="7"/>
      <c r="L722" s="7"/>
      <c r="M722" s="7"/>
      <c r="N722" s="7"/>
      <c r="O722" s="69"/>
      <c r="P722" s="69"/>
    </row>
    <row r="723" spans="5:16" x14ac:dyDescent="0.3">
      <c r="E723" s="6"/>
      <c r="F723" s="6"/>
      <c r="G723" s="6"/>
      <c r="H723" s="6"/>
      <c r="I723" s="6"/>
      <c r="J723" s="6"/>
      <c r="K723" s="7"/>
      <c r="L723" s="7"/>
      <c r="M723" s="7"/>
      <c r="N723" s="7"/>
      <c r="O723" s="69"/>
      <c r="P723" s="69"/>
    </row>
    <row r="724" spans="5:16" x14ac:dyDescent="0.3">
      <c r="E724" s="6"/>
      <c r="F724" s="6"/>
      <c r="G724" s="6"/>
      <c r="H724" s="6"/>
      <c r="I724" s="6"/>
      <c r="J724" s="6"/>
      <c r="K724" s="7"/>
      <c r="L724" s="7"/>
      <c r="M724" s="7"/>
      <c r="N724" s="7"/>
      <c r="O724" s="69"/>
      <c r="P724" s="69"/>
    </row>
    <row r="725" spans="5:16" x14ac:dyDescent="0.3">
      <c r="E725" s="6"/>
      <c r="F725" s="6"/>
      <c r="G725" s="6"/>
      <c r="H725" s="6"/>
      <c r="I725" s="6"/>
      <c r="J725" s="6"/>
      <c r="K725" s="7"/>
      <c r="L725" s="7"/>
      <c r="M725" s="7"/>
      <c r="N725" s="7"/>
      <c r="O725" s="69"/>
      <c r="P725" s="69"/>
    </row>
    <row r="726" spans="5:16" x14ac:dyDescent="0.3">
      <c r="E726" s="6"/>
      <c r="F726" s="6"/>
      <c r="G726" s="6"/>
      <c r="H726" s="6"/>
      <c r="I726" s="6"/>
      <c r="J726" s="6"/>
      <c r="K726" s="7"/>
      <c r="L726" s="7"/>
      <c r="M726" s="7"/>
      <c r="N726" s="7"/>
      <c r="O726" s="69"/>
      <c r="P726" s="69"/>
    </row>
    <row r="727" spans="5:16" x14ac:dyDescent="0.3">
      <c r="E727" s="6"/>
      <c r="F727" s="6"/>
      <c r="G727" s="6"/>
      <c r="H727" s="6"/>
      <c r="I727" s="6"/>
      <c r="J727" s="6"/>
      <c r="K727" s="7"/>
      <c r="L727" s="7"/>
      <c r="M727" s="7"/>
      <c r="N727" s="7"/>
      <c r="O727" s="69"/>
      <c r="P727" s="69"/>
    </row>
    <row r="728" spans="5:16" x14ac:dyDescent="0.3">
      <c r="E728" s="6"/>
      <c r="F728" s="6"/>
      <c r="G728" s="6"/>
      <c r="H728" s="6"/>
      <c r="I728" s="6"/>
      <c r="J728" s="6"/>
      <c r="K728" s="7"/>
      <c r="L728" s="7"/>
      <c r="M728" s="7"/>
      <c r="N728" s="7"/>
      <c r="O728" s="69"/>
      <c r="P728" s="69"/>
    </row>
    <row r="729" spans="5:16" x14ac:dyDescent="0.3">
      <c r="E729" s="6"/>
      <c r="F729" s="6"/>
      <c r="G729" s="6"/>
      <c r="H729" s="6"/>
      <c r="I729" s="6"/>
      <c r="J729" s="6"/>
      <c r="K729" s="7"/>
      <c r="L729" s="7"/>
      <c r="M729" s="7"/>
      <c r="N729" s="7"/>
      <c r="O729" s="69"/>
      <c r="P729" s="69"/>
    </row>
    <row r="730" spans="5:16" x14ac:dyDescent="0.3">
      <c r="E730" s="6"/>
      <c r="F730" s="6"/>
      <c r="G730" s="6"/>
      <c r="H730" s="6"/>
      <c r="I730" s="6"/>
      <c r="J730" s="6"/>
      <c r="K730" s="7"/>
      <c r="L730" s="7"/>
      <c r="M730" s="7"/>
      <c r="N730" s="7"/>
      <c r="O730" s="69"/>
      <c r="P730" s="69"/>
    </row>
    <row r="731" spans="5:16" x14ac:dyDescent="0.3">
      <c r="E731" s="6"/>
      <c r="F731" s="6"/>
      <c r="G731" s="6"/>
      <c r="H731" s="6"/>
      <c r="I731" s="6"/>
      <c r="J731" s="6"/>
      <c r="K731" s="7"/>
      <c r="L731" s="7"/>
      <c r="M731" s="7"/>
      <c r="N731" s="7"/>
      <c r="O731" s="69"/>
      <c r="P731" s="69"/>
    </row>
    <row r="732" spans="5:16" x14ac:dyDescent="0.3">
      <c r="E732" s="6"/>
      <c r="F732" s="6"/>
      <c r="G732" s="6"/>
      <c r="H732" s="6"/>
      <c r="I732" s="6"/>
      <c r="J732" s="6"/>
      <c r="K732" s="7"/>
      <c r="L732" s="7"/>
      <c r="M732" s="7"/>
      <c r="N732" s="7"/>
      <c r="O732" s="69"/>
      <c r="P732" s="69"/>
    </row>
    <row r="733" spans="5:16" x14ac:dyDescent="0.3">
      <c r="E733" s="6"/>
      <c r="F733" s="6"/>
      <c r="G733" s="6"/>
      <c r="H733" s="6"/>
      <c r="I733" s="6"/>
      <c r="J733" s="6"/>
      <c r="K733" s="7"/>
      <c r="L733" s="7"/>
      <c r="M733" s="7"/>
      <c r="N733" s="7"/>
      <c r="O733" s="69"/>
      <c r="P733" s="69"/>
    </row>
    <row r="734" spans="5:16" x14ac:dyDescent="0.3">
      <c r="E734" s="6"/>
      <c r="F734" s="6"/>
      <c r="G734" s="6"/>
      <c r="H734" s="6"/>
      <c r="I734" s="6"/>
      <c r="J734" s="6"/>
      <c r="K734" s="7"/>
      <c r="L734" s="7"/>
      <c r="M734" s="7"/>
      <c r="N734" s="7"/>
      <c r="O734" s="69"/>
      <c r="P734" s="69"/>
    </row>
    <row r="735" spans="5:16" x14ac:dyDescent="0.3">
      <c r="E735" s="6"/>
      <c r="F735" s="6"/>
      <c r="G735" s="6"/>
      <c r="H735" s="6"/>
      <c r="I735" s="6"/>
      <c r="J735" s="6"/>
      <c r="K735" s="7"/>
      <c r="L735" s="7"/>
      <c r="M735" s="7"/>
      <c r="N735" s="7"/>
      <c r="O735" s="69"/>
      <c r="P735" s="69"/>
    </row>
    <row r="736" spans="5:16" x14ac:dyDescent="0.3">
      <c r="E736" s="6"/>
      <c r="F736" s="6"/>
      <c r="G736" s="6"/>
      <c r="H736" s="6"/>
      <c r="I736" s="6"/>
      <c r="J736" s="6"/>
      <c r="K736" s="7"/>
      <c r="L736" s="7"/>
      <c r="M736" s="7"/>
      <c r="N736" s="7"/>
      <c r="O736" s="69"/>
      <c r="P736" s="69"/>
    </row>
    <row r="737" spans="5:16" x14ac:dyDescent="0.3">
      <c r="E737" s="6"/>
      <c r="F737" s="6"/>
      <c r="G737" s="6"/>
      <c r="H737" s="6"/>
      <c r="I737" s="6"/>
      <c r="J737" s="6"/>
      <c r="K737" s="7"/>
      <c r="L737" s="7"/>
      <c r="M737" s="7"/>
      <c r="N737" s="7"/>
      <c r="O737" s="69"/>
      <c r="P737" s="69"/>
    </row>
    <row r="738" spans="5:16" x14ac:dyDescent="0.3">
      <c r="E738" s="6"/>
      <c r="F738" s="6"/>
      <c r="G738" s="6"/>
      <c r="H738" s="6"/>
      <c r="I738" s="6"/>
      <c r="J738" s="6"/>
      <c r="K738" s="7"/>
      <c r="L738" s="7"/>
      <c r="M738" s="7"/>
      <c r="N738" s="7"/>
      <c r="O738" s="69"/>
      <c r="P738" s="69"/>
    </row>
    <row r="739" spans="5:16" x14ac:dyDescent="0.3">
      <c r="E739" s="6"/>
      <c r="F739" s="6"/>
      <c r="G739" s="6"/>
      <c r="H739" s="6"/>
      <c r="I739" s="6"/>
      <c r="J739" s="6"/>
      <c r="K739" s="7"/>
      <c r="L739" s="7"/>
      <c r="M739" s="7"/>
      <c r="N739" s="7"/>
      <c r="O739" s="69"/>
      <c r="P739" s="69"/>
    </row>
    <row r="740" spans="5:16" x14ac:dyDescent="0.3">
      <c r="E740" s="6"/>
      <c r="F740" s="6"/>
      <c r="G740" s="6"/>
      <c r="H740" s="6"/>
      <c r="I740" s="6"/>
      <c r="J740" s="6"/>
      <c r="K740" s="7"/>
      <c r="L740" s="7"/>
      <c r="M740" s="7"/>
      <c r="N740" s="7"/>
      <c r="O740" s="69"/>
      <c r="P740" s="69"/>
    </row>
    <row r="741" spans="5:16" x14ac:dyDescent="0.3">
      <c r="E741" s="6"/>
      <c r="F741" s="6"/>
      <c r="G741" s="6"/>
      <c r="H741" s="6"/>
      <c r="I741" s="6"/>
      <c r="J741" s="6"/>
      <c r="K741" s="7"/>
      <c r="L741" s="7"/>
      <c r="M741" s="7"/>
      <c r="N741" s="7"/>
      <c r="O741" s="69"/>
      <c r="P741" s="69"/>
    </row>
    <row r="742" spans="5:16" x14ac:dyDescent="0.3">
      <c r="E742" s="6"/>
      <c r="F742" s="6"/>
      <c r="G742" s="6"/>
      <c r="H742" s="6"/>
      <c r="I742" s="6"/>
      <c r="J742" s="6"/>
      <c r="K742" s="7"/>
      <c r="L742" s="7"/>
      <c r="M742" s="7"/>
      <c r="N742" s="7"/>
      <c r="O742" s="69"/>
      <c r="P742" s="69"/>
    </row>
    <row r="743" spans="5:16" x14ac:dyDescent="0.3">
      <c r="E743" s="6"/>
      <c r="F743" s="6"/>
      <c r="G743" s="6"/>
      <c r="H743" s="6"/>
      <c r="I743" s="6"/>
      <c r="J743" s="6"/>
      <c r="K743" s="7"/>
      <c r="L743" s="7"/>
      <c r="M743" s="7"/>
      <c r="N743" s="7"/>
      <c r="O743" s="69"/>
      <c r="P743" s="69"/>
    </row>
    <row r="744" spans="5:16" x14ac:dyDescent="0.3">
      <c r="E744" s="6"/>
      <c r="F744" s="6"/>
      <c r="G744" s="6"/>
      <c r="H744" s="6"/>
      <c r="I744" s="6"/>
      <c r="J744" s="6"/>
      <c r="K744" s="7"/>
      <c r="L744" s="7"/>
      <c r="M744" s="7"/>
      <c r="N744" s="7"/>
      <c r="O744" s="69"/>
      <c r="P744" s="69"/>
    </row>
    <row r="745" spans="5:16" x14ac:dyDescent="0.3">
      <c r="E745" s="6"/>
      <c r="F745" s="6"/>
      <c r="G745" s="6"/>
      <c r="H745" s="6"/>
      <c r="I745" s="6"/>
      <c r="J745" s="6"/>
      <c r="K745" s="7"/>
      <c r="L745" s="7"/>
      <c r="M745" s="7"/>
      <c r="N745" s="7"/>
      <c r="O745" s="69"/>
      <c r="P745" s="69"/>
    </row>
    <row r="746" spans="5:16" x14ac:dyDescent="0.3">
      <c r="E746" s="6"/>
      <c r="F746" s="6"/>
      <c r="G746" s="6"/>
      <c r="H746" s="6"/>
      <c r="I746" s="6"/>
      <c r="J746" s="6"/>
      <c r="K746" s="7"/>
      <c r="L746" s="7"/>
      <c r="M746" s="7"/>
      <c r="N746" s="7"/>
      <c r="O746" s="69"/>
      <c r="P746" s="69"/>
    </row>
    <row r="747" spans="5:16" x14ac:dyDescent="0.3">
      <c r="E747" s="6"/>
      <c r="F747" s="6"/>
      <c r="G747" s="6"/>
      <c r="H747" s="6"/>
      <c r="I747" s="6"/>
      <c r="J747" s="6"/>
      <c r="K747" s="7"/>
      <c r="L747" s="7"/>
      <c r="M747" s="7"/>
      <c r="N747" s="7"/>
      <c r="O747" s="69"/>
      <c r="P747" s="69"/>
    </row>
    <row r="748" spans="5:16" x14ac:dyDescent="0.3">
      <c r="E748" s="6"/>
      <c r="F748" s="6"/>
      <c r="G748" s="6"/>
      <c r="H748" s="6"/>
      <c r="I748" s="6"/>
      <c r="J748" s="6"/>
      <c r="K748" s="7"/>
      <c r="L748" s="7"/>
      <c r="M748" s="7"/>
      <c r="N748" s="7"/>
      <c r="O748" s="69"/>
      <c r="P748" s="69"/>
    </row>
    <row r="749" spans="5:16" x14ac:dyDescent="0.3">
      <c r="E749" s="6"/>
      <c r="F749" s="6"/>
      <c r="G749" s="6"/>
      <c r="H749" s="6"/>
      <c r="I749" s="6"/>
      <c r="J749" s="6"/>
      <c r="K749" s="7"/>
      <c r="L749" s="7"/>
      <c r="M749" s="7"/>
      <c r="N749" s="7"/>
      <c r="O749" s="69"/>
      <c r="P749" s="69"/>
    </row>
    <row r="750" spans="5:16" x14ac:dyDescent="0.3">
      <c r="E750" s="6"/>
      <c r="F750" s="6"/>
      <c r="G750" s="6"/>
      <c r="H750" s="6"/>
      <c r="I750" s="6"/>
      <c r="J750" s="6"/>
      <c r="K750" s="7"/>
      <c r="L750" s="7"/>
      <c r="M750" s="7"/>
      <c r="N750" s="7"/>
      <c r="O750" s="69"/>
      <c r="P750" s="69"/>
    </row>
    <row r="751" spans="5:16" x14ac:dyDescent="0.3">
      <c r="E751" s="6"/>
      <c r="F751" s="6"/>
      <c r="G751" s="6"/>
      <c r="H751" s="6"/>
      <c r="I751" s="6"/>
      <c r="J751" s="6"/>
      <c r="K751" s="7"/>
      <c r="L751" s="7"/>
      <c r="M751" s="7"/>
      <c r="N751" s="7"/>
      <c r="O751" s="69"/>
      <c r="P751" s="69"/>
    </row>
    <row r="752" spans="5:16" x14ac:dyDescent="0.3">
      <c r="E752" s="6"/>
      <c r="F752" s="6"/>
      <c r="G752" s="6"/>
      <c r="H752" s="6"/>
      <c r="I752" s="6"/>
      <c r="J752" s="6"/>
      <c r="K752" s="7"/>
      <c r="L752" s="7"/>
      <c r="M752" s="7"/>
      <c r="N752" s="7"/>
      <c r="O752" s="69"/>
      <c r="P752" s="69"/>
    </row>
    <row r="753" spans="5:16" x14ac:dyDescent="0.3">
      <c r="E753" s="6"/>
      <c r="F753" s="6"/>
      <c r="G753" s="6"/>
      <c r="H753" s="6"/>
      <c r="I753" s="6"/>
      <c r="J753" s="6"/>
      <c r="K753" s="7"/>
      <c r="L753" s="7"/>
      <c r="M753" s="7"/>
      <c r="N753" s="7"/>
      <c r="O753" s="69"/>
      <c r="P753" s="69"/>
    </row>
    <row r="754" spans="5:16" x14ac:dyDescent="0.3">
      <c r="E754" s="6"/>
      <c r="F754" s="6"/>
      <c r="G754" s="6"/>
      <c r="H754" s="6"/>
      <c r="I754" s="6"/>
      <c r="J754" s="6"/>
      <c r="K754" s="7"/>
      <c r="L754" s="7"/>
      <c r="M754" s="7"/>
      <c r="N754" s="7"/>
      <c r="O754" s="69"/>
      <c r="P754" s="69"/>
    </row>
    <row r="755" spans="5:16" x14ac:dyDescent="0.3">
      <c r="E755" s="6"/>
      <c r="F755" s="6"/>
      <c r="G755" s="6"/>
      <c r="H755" s="6"/>
      <c r="I755" s="6"/>
      <c r="J755" s="6"/>
      <c r="K755" s="7"/>
      <c r="L755" s="7"/>
      <c r="M755" s="7"/>
      <c r="N755" s="7"/>
      <c r="O755" s="69"/>
      <c r="P755" s="69"/>
    </row>
    <row r="756" spans="5:16" x14ac:dyDescent="0.3">
      <c r="E756" s="6"/>
      <c r="F756" s="6"/>
      <c r="G756" s="6"/>
      <c r="H756" s="6"/>
      <c r="I756" s="6"/>
      <c r="J756" s="6"/>
      <c r="K756" s="7"/>
      <c r="L756" s="7"/>
      <c r="M756" s="7"/>
      <c r="N756" s="7"/>
      <c r="O756" s="69"/>
      <c r="P756" s="69"/>
    </row>
    <row r="757" spans="5:16" x14ac:dyDescent="0.3">
      <c r="E757" s="6"/>
      <c r="F757" s="6"/>
      <c r="G757" s="6"/>
      <c r="H757" s="6"/>
      <c r="I757" s="6"/>
      <c r="J757" s="6"/>
      <c r="K757" s="7"/>
      <c r="L757" s="7"/>
      <c r="M757" s="7"/>
      <c r="N757" s="7"/>
      <c r="O757" s="69"/>
      <c r="P757" s="69"/>
    </row>
    <row r="758" spans="5:16" x14ac:dyDescent="0.3">
      <c r="E758" s="6"/>
      <c r="F758" s="6"/>
      <c r="G758" s="6"/>
      <c r="H758" s="6"/>
      <c r="I758" s="6"/>
      <c r="J758" s="6"/>
      <c r="K758" s="7"/>
      <c r="L758" s="7"/>
      <c r="M758" s="7"/>
      <c r="N758" s="7"/>
      <c r="O758" s="69"/>
      <c r="P758" s="69"/>
    </row>
    <row r="759" spans="5:16" x14ac:dyDescent="0.3">
      <c r="E759" s="6"/>
      <c r="F759" s="6"/>
      <c r="G759" s="6"/>
      <c r="H759" s="6"/>
      <c r="I759" s="6"/>
      <c r="J759" s="6"/>
      <c r="K759" s="7"/>
      <c r="L759" s="7"/>
      <c r="M759" s="7"/>
      <c r="N759" s="7"/>
      <c r="O759" s="69"/>
      <c r="P759" s="69"/>
    </row>
    <row r="760" spans="5:16" x14ac:dyDescent="0.3">
      <c r="E760" s="6"/>
      <c r="F760" s="6"/>
      <c r="G760" s="6"/>
      <c r="H760" s="6"/>
      <c r="I760" s="6"/>
      <c r="J760" s="6"/>
      <c r="K760" s="7"/>
      <c r="L760" s="7"/>
      <c r="M760" s="7"/>
      <c r="N760" s="7"/>
      <c r="O760" s="69"/>
      <c r="P760" s="69"/>
    </row>
    <row r="761" spans="5:16" x14ac:dyDescent="0.3">
      <c r="E761" s="6"/>
      <c r="F761" s="6"/>
      <c r="G761" s="6"/>
      <c r="H761" s="6"/>
      <c r="I761" s="6"/>
      <c r="J761" s="6"/>
      <c r="K761" s="7"/>
      <c r="L761" s="7"/>
      <c r="M761" s="7"/>
      <c r="N761" s="7"/>
      <c r="O761" s="69"/>
      <c r="P761" s="69"/>
    </row>
    <row r="762" spans="5:16" x14ac:dyDescent="0.3">
      <c r="E762" s="6"/>
      <c r="F762" s="6"/>
      <c r="G762" s="6"/>
      <c r="H762" s="6"/>
      <c r="I762" s="6"/>
      <c r="J762" s="6"/>
      <c r="K762" s="7"/>
      <c r="L762" s="7"/>
      <c r="M762" s="7"/>
      <c r="N762" s="7"/>
      <c r="O762" s="69"/>
      <c r="P762" s="69"/>
    </row>
    <row r="763" spans="5:16" x14ac:dyDescent="0.3">
      <c r="E763" s="6"/>
      <c r="F763" s="6"/>
      <c r="G763" s="6"/>
      <c r="H763" s="6"/>
      <c r="I763" s="6"/>
      <c r="J763" s="6"/>
      <c r="K763" s="7"/>
      <c r="L763" s="7"/>
      <c r="M763" s="7"/>
      <c r="N763" s="7"/>
      <c r="O763" s="69"/>
      <c r="P763" s="69"/>
    </row>
    <row r="764" spans="5:16" x14ac:dyDescent="0.3">
      <c r="E764" s="6"/>
      <c r="F764" s="6"/>
      <c r="G764" s="6"/>
      <c r="H764" s="6"/>
      <c r="I764" s="6"/>
      <c r="J764" s="6"/>
      <c r="K764" s="7"/>
      <c r="L764" s="7"/>
      <c r="M764" s="7"/>
      <c r="N764" s="7"/>
      <c r="O764" s="69"/>
      <c r="P764" s="69"/>
    </row>
    <row r="765" spans="5:16" x14ac:dyDescent="0.3">
      <c r="E765" s="6"/>
      <c r="F765" s="6"/>
      <c r="G765" s="6"/>
      <c r="H765" s="6"/>
      <c r="I765" s="6"/>
      <c r="J765" s="6"/>
      <c r="K765" s="7"/>
      <c r="L765" s="7"/>
      <c r="M765" s="7"/>
      <c r="N765" s="7"/>
      <c r="O765" s="69"/>
      <c r="P765" s="69"/>
    </row>
    <row r="766" spans="5:16" x14ac:dyDescent="0.3">
      <c r="E766" s="6"/>
      <c r="F766" s="6"/>
      <c r="G766" s="6"/>
      <c r="H766" s="6"/>
      <c r="I766" s="6"/>
      <c r="J766" s="6"/>
      <c r="K766" s="7"/>
      <c r="L766" s="7"/>
      <c r="M766" s="7"/>
      <c r="N766" s="7"/>
      <c r="O766" s="69"/>
      <c r="P766" s="69"/>
    </row>
    <row r="767" spans="5:16" x14ac:dyDescent="0.3">
      <c r="E767" s="6"/>
      <c r="F767" s="6"/>
      <c r="G767" s="6"/>
      <c r="H767" s="6"/>
      <c r="I767" s="6"/>
      <c r="J767" s="6"/>
      <c r="K767" s="7"/>
      <c r="L767" s="7"/>
      <c r="M767" s="7"/>
      <c r="N767" s="7"/>
      <c r="O767" s="69"/>
      <c r="P767" s="69"/>
    </row>
    <row r="768" spans="5:16" x14ac:dyDescent="0.3">
      <c r="E768" s="6"/>
      <c r="F768" s="6"/>
      <c r="G768" s="6"/>
      <c r="H768" s="6"/>
      <c r="I768" s="6"/>
      <c r="J768" s="6"/>
      <c r="K768" s="7"/>
      <c r="L768" s="7"/>
      <c r="M768" s="7"/>
      <c r="N768" s="7"/>
      <c r="O768" s="69"/>
      <c r="P768" s="69"/>
    </row>
    <row r="769" spans="5:16" x14ac:dyDescent="0.3">
      <c r="E769" s="6"/>
      <c r="F769" s="6"/>
      <c r="G769" s="6"/>
      <c r="H769" s="6"/>
      <c r="I769" s="6"/>
      <c r="J769" s="6"/>
      <c r="K769" s="7"/>
      <c r="L769" s="7"/>
      <c r="M769" s="7"/>
      <c r="N769" s="7"/>
      <c r="O769" s="69"/>
      <c r="P769" s="69"/>
    </row>
    <row r="770" spans="5:16" x14ac:dyDescent="0.3">
      <c r="E770" s="6"/>
      <c r="F770" s="6"/>
      <c r="G770" s="6"/>
      <c r="H770" s="6"/>
      <c r="I770" s="6"/>
      <c r="J770" s="6"/>
      <c r="K770" s="7"/>
      <c r="L770" s="7"/>
      <c r="M770" s="7"/>
      <c r="N770" s="7"/>
      <c r="O770" s="69"/>
      <c r="P770" s="69"/>
    </row>
    <row r="771" spans="5:16" x14ac:dyDescent="0.3">
      <c r="E771" s="6"/>
      <c r="F771" s="6"/>
      <c r="G771" s="6"/>
      <c r="H771" s="6"/>
      <c r="I771" s="6"/>
      <c r="J771" s="6"/>
      <c r="K771" s="7"/>
      <c r="L771" s="7"/>
      <c r="M771" s="7"/>
      <c r="N771" s="7"/>
      <c r="O771" s="69"/>
      <c r="P771" s="69"/>
    </row>
    <row r="772" spans="5:16" x14ac:dyDescent="0.3">
      <c r="E772" s="6"/>
      <c r="F772" s="6"/>
      <c r="G772" s="6"/>
      <c r="H772" s="6"/>
      <c r="I772" s="6"/>
      <c r="J772" s="6"/>
      <c r="K772" s="7"/>
      <c r="L772" s="7"/>
      <c r="M772" s="7"/>
      <c r="N772" s="7"/>
      <c r="O772" s="69"/>
      <c r="P772" s="69"/>
    </row>
    <row r="773" spans="5:16" x14ac:dyDescent="0.3">
      <c r="E773" s="6"/>
      <c r="F773" s="6"/>
      <c r="G773" s="6"/>
      <c r="H773" s="6"/>
      <c r="I773" s="6"/>
      <c r="J773" s="6"/>
      <c r="K773" s="7"/>
      <c r="L773" s="7"/>
      <c r="M773" s="7"/>
      <c r="N773" s="7"/>
      <c r="O773" s="69"/>
      <c r="P773" s="69"/>
    </row>
    <row r="774" spans="5:16" x14ac:dyDescent="0.3">
      <c r="E774" s="6"/>
      <c r="F774" s="6"/>
      <c r="G774" s="6"/>
      <c r="H774" s="6"/>
      <c r="I774" s="6"/>
      <c r="J774" s="6"/>
      <c r="K774" s="7"/>
      <c r="L774" s="7"/>
      <c r="M774" s="7"/>
      <c r="N774" s="7"/>
      <c r="O774" s="69"/>
      <c r="P774" s="69"/>
    </row>
    <row r="775" spans="5:16" x14ac:dyDescent="0.3">
      <c r="E775" s="6"/>
      <c r="F775" s="6"/>
      <c r="G775" s="6"/>
      <c r="H775" s="6"/>
      <c r="I775" s="6"/>
      <c r="J775" s="6"/>
      <c r="K775" s="7"/>
      <c r="L775" s="7"/>
      <c r="M775" s="7"/>
      <c r="N775" s="7"/>
      <c r="O775" s="69"/>
      <c r="P775" s="69"/>
    </row>
    <row r="776" spans="5:16" x14ac:dyDescent="0.3">
      <c r="E776" s="6"/>
      <c r="F776" s="6"/>
      <c r="G776" s="6"/>
      <c r="H776" s="6"/>
      <c r="I776" s="6"/>
      <c r="J776" s="6"/>
      <c r="K776" s="7"/>
      <c r="L776" s="7"/>
      <c r="M776" s="7"/>
      <c r="N776" s="7"/>
      <c r="O776" s="69"/>
      <c r="P776" s="69"/>
    </row>
    <row r="777" spans="5:16" x14ac:dyDescent="0.3">
      <c r="E777" s="6"/>
      <c r="F777" s="6"/>
      <c r="G777" s="6"/>
      <c r="H777" s="6"/>
      <c r="I777" s="6"/>
      <c r="J777" s="6"/>
      <c r="K777" s="7"/>
      <c r="L777" s="7"/>
      <c r="M777" s="7"/>
      <c r="N777" s="7"/>
      <c r="O777" s="69"/>
      <c r="P777" s="69"/>
    </row>
    <row r="778" spans="5:16" x14ac:dyDescent="0.3">
      <c r="E778" s="6"/>
      <c r="F778" s="6"/>
      <c r="G778" s="6"/>
      <c r="H778" s="6"/>
      <c r="I778" s="6"/>
      <c r="J778" s="6"/>
      <c r="K778" s="7"/>
      <c r="L778" s="7"/>
      <c r="M778" s="7"/>
      <c r="N778" s="7"/>
      <c r="O778" s="69"/>
      <c r="P778" s="69"/>
    </row>
    <row r="779" spans="5:16" x14ac:dyDescent="0.3">
      <c r="E779" s="6"/>
      <c r="F779" s="6"/>
      <c r="G779" s="6"/>
      <c r="H779" s="6"/>
      <c r="I779" s="6"/>
      <c r="J779" s="6"/>
      <c r="K779" s="7"/>
      <c r="L779" s="7"/>
      <c r="M779" s="7"/>
      <c r="N779" s="7"/>
      <c r="O779" s="69"/>
      <c r="P779" s="69"/>
    </row>
    <row r="780" spans="5:16" x14ac:dyDescent="0.3">
      <c r="E780" s="6"/>
      <c r="F780" s="6"/>
      <c r="G780" s="6"/>
      <c r="H780" s="6"/>
      <c r="I780" s="6"/>
      <c r="J780" s="6"/>
      <c r="K780" s="7"/>
      <c r="L780" s="7"/>
      <c r="M780" s="7"/>
      <c r="N780" s="7"/>
      <c r="O780" s="69"/>
      <c r="P780" s="69"/>
    </row>
    <row r="781" spans="5:16" x14ac:dyDescent="0.3">
      <c r="E781" s="6"/>
      <c r="F781" s="6"/>
      <c r="G781" s="6"/>
      <c r="H781" s="6"/>
      <c r="I781" s="6"/>
      <c r="J781" s="6"/>
      <c r="K781" s="7"/>
      <c r="L781" s="7"/>
      <c r="M781" s="7"/>
      <c r="N781" s="7"/>
      <c r="O781" s="69"/>
      <c r="P781" s="69"/>
    </row>
    <row r="782" spans="5:16" x14ac:dyDescent="0.3">
      <c r="E782" s="6"/>
      <c r="F782" s="6"/>
      <c r="G782" s="6"/>
      <c r="H782" s="6"/>
      <c r="I782" s="6"/>
      <c r="J782" s="6"/>
      <c r="K782" s="7"/>
      <c r="L782" s="7"/>
      <c r="M782" s="7"/>
      <c r="N782" s="7"/>
      <c r="O782" s="69"/>
      <c r="P782" s="69"/>
    </row>
    <row r="783" spans="5:16" x14ac:dyDescent="0.3">
      <c r="E783" s="6"/>
      <c r="F783" s="6"/>
      <c r="G783" s="6"/>
      <c r="H783" s="6"/>
      <c r="I783" s="6"/>
      <c r="J783" s="6"/>
      <c r="K783" s="7"/>
      <c r="L783" s="7"/>
      <c r="M783" s="7"/>
      <c r="N783" s="7"/>
      <c r="O783" s="69"/>
      <c r="P783" s="69"/>
    </row>
    <row r="784" spans="5:16" x14ac:dyDescent="0.3">
      <c r="E784" s="6"/>
      <c r="F784" s="6"/>
      <c r="G784" s="6"/>
      <c r="H784" s="6"/>
      <c r="I784" s="6"/>
      <c r="J784" s="6"/>
      <c r="K784" s="7"/>
      <c r="L784" s="7"/>
      <c r="M784" s="7"/>
      <c r="N784" s="7"/>
      <c r="O784" s="69"/>
      <c r="P784" s="69"/>
    </row>
    <row r="785" spans="5:16" x14ac:dyDescent="0.3">
      <c r="E785" s="6"/>
      <c r="F785" s="6"/>
      <c r="G785" s="6"/>
      <c r="H785" s="6"/>
      <c r="I785" s="6"/>
      <c r="J785" s="6"/>
      <c r="K785" s="7"/>
      <c r="L785" s="7"/>
      <c r="M785" s="7"/>
      <c r="N785" s="7"/>
      <c r="O785" s="69"/>
      <c r="P785" s="69"/>
    </row>
    <row r="786" spans="5:16" x14ac:dyDescent="0.3">
      <c r="E786" s="6"/>
      <c r="F786" s="6"/>
      <c r="G786" s="6"/>
      <c r="H786" s="6"/>
      <c r="I786" s="6"/>
      <c r="J786" s="6"/>
      <c r="K786" s="7"/>
      <c r="L786" s="7"/>
      <c r="M786" s="7"/>
      <c r="N786" s="7"/>
      <c r="O786" s="69"/>
      <c r="P786" s="69"/>
    </row>
    <row r="787" spans="5:16" x14ac:dyDescent="0.3">
      <c r="E787" s="6"/>
      <c r="F787" s="6"/>
      <c r="G787" s="6"/>
      <c r="H787" s="6"/>
      <c r="I787" s="6"/>
      <c r="J787" s="6"/>
      <c r="K787" s="7"/>
      <c r="L787" s="7"/>
      <c r="M787" s="7"/>
      <c r="N787" s="7"/>
      <c r="O787" s="69"/>
      <c r="P787" s="69"/>
    </row>
    <row r="788" spans="5:16" x14ac:dyDescent="0.3">
      <c r="E788" s="6"/>
      <c r="F788" s="6"/>
      <c r="G788" s="6"/>
      <c r="H788" s="6"/>
      <c r="I788" s="6"/>
      <c r="J788" s="6"/>
      <c r="K788" s="7"/>
      <c r="L788" s="7"/>
      <c r="M788" s="7"/>
      <c r="N788" s="7"/>
      <c r="O788" s="69"/>
      <c r="P788" s="69"/>
    </row>
    <row r="789" spans="5:16" x14ac:dyDescent="0.3">
      <c r="E789" s="6"/>
      <c r="F789" s="6"/>
      <c r="G789" s="6"/>
      <c r="H789" s="6"/>
      <c r="I789" s="6"/>
      <c r="J789" s="6"/>
      <c r="K789" s="7"/>
      <c r="L789" s="7"/>
      <c r="M789" s="7"/>
      <c r="N789" s="7"/>
      <c r="O789" s="69"/>
      <c r="P789" s="69"/>
    </row>
    <row r="790" spans="5:16" x14ac:dyDescent="0.3">
      <c r="E790" s="6"/>
      <c r="F790" s="6"/>
      <c r="G790" s="6"/>
      <c r="H790" s="6"/>
      <c r="I790" s="6"/>
      <c r="J790" s="6"/>
      <c r="K790" s="7"/>
      <c r="L790" s="7"/>
      <c r="M790" s="7"/>
      <c r="N790" s="7"/>
      <c r="O790" s="69"/>
      <c r="P790" s="69"/>
    </row>
    <row r="791" spans="5:16" x14ac:dyDescent="0.3">
      <c r="E791" s="6"/>
      <c r="F791" s="6"/>
      <c r="G791" s="6"/>
      <c r="H791" s="6"/>
      <c r="I791" s="6"/>
      <c r="J791" s="6"/>
      <c r="K791" s="7"/>
      <c r="L791" s="7"/>
      <c r="M791" s="7"/>
      <c r="N791" s="7"/>
      <c r="O791" s="69"/>
      <c r="P791" s="69"/>
    </row>
    <row r="792" spans="5:16" x14ac:dyDescent="0.3">
      <c r="E792" s="6"/>
      <c r="F792" s="6"/>
      <c r="G792" s="6"/>
      <c r="H792" s="6"/>
      <c r="I792" s="6"/>
      <c r="J792" s="6"/>
      <c r="K792" s="7"/>
      <c r="L792" s="7"/>
      <c r="M792" s="7"/>
      <c r="N792" s="7"/>
      <c r="O792" s="69"/>
      <c r="P792" s="69"/>
    </row>
    <row r="793" spans="5:16" x14ac:dyDescent="0.3">
      <c r="E793" s="6"/>
      <c r="F793" s="6"/>
      <c r="G793" s="6"/>
      <c r="H793" s="6"/>
      <c r="I793" s="6"/>
      <c r="J793" s="6"/>
      <c r="K793" s="7"/>
      <c r="L793" s="7"/>
      <c r="M793" s="7"/>
      <c r="N793" s="7"/>
      <c r="O793" s="69"/>
      <c r="P793" s="69"/>
    </row>
    <row r="794" spans="5:16" x14ac:dyDescent="0.3">
      <c r="E794" s="6"/>
      <c r="F794" s="6"/>
      <c r="G794" s="6"/>
      <c r="H794" s="6"/>
      <c r="I794" s="6"/>
      <c r="J794" s="6"/>
      <c r="K794" s="7"/>
      <c r="L794" s="7"/>
      <c r="M794" s="7"/>
      <c r="N794" s="7"/>
      <c r="O794" s="69"/>
      <c r="P794" s="69"/>
    </row>
    <row r="795" spans="5:16" x14ac:dyDescent="0.3">
      <c r="E795" s="6"/>
      <c r="F795" s="6"/>
      <c r="G795" s="6"/>
      <c r="H795" s="6"/>
      <c r="I795" s="6"/>
      <c r="J795" s="6"/>
      <c r="K795" s="7"/>
      <c r="L795" s="7"/>
      <c r="M795" s="7"/>
      <c r="N795" s="7"/>
      <c r="O795" s="69"/>
      <c r="P795" s="69"/>
    </row>
    <row r="796" spans="5:16" x14ac:dyDescent="0.3">
      <c r="E796" s="6"/>
      <c r="F796" s="6"/>
      <c r="G796" s="6"/>
      <c r="H796" s="6"/>
      <c r="I796" s="6"/>
      <c r="J796" s="6"/>
      <c r="K796" s="7"/>
      <c r="L796" s="7"/>
      <c r="M796" s="7"/>
      <c r="N796" s="7"/>
      <c r="O796" s="69"/>
      <c r="P796" s="69"/>
    </row>
    <row r="797" spans="5:16" x14ac:dyDescent="0.3">
      <c r="E797" s="6"/>
      <c r="F797" s="6"/>
      <c r="G797" s="6"/>
      <c r="H797" s="6"/>
      <c r="I797" s="6"/>
      <c r="J797" s="6"/>
      <c r="K797" s="7"/>
      <c r="L797" s="7"/>
      <c r="M797" s="7"/>
      <c r="N797" s="7"/>
      <c r="O797" s="69"/>
      <c r="P797" s="69"/>
    </row>
    <row r="798" spans="5:16" x14ac:dyDescent="0.3">
      <c r="E798" s="6"/>
      <c r="F798" s="6"/>
      <c r="G798" s="6"/>
      <c r="H798" s="6"/>
      <c r="I798" s="6"/>
      <c r="J798" s="6"/>
      <c r="K798" s="7"/>
      <c r="L798" s="7"/>
      <c r="M798" s="7"/>
      <c r="N798" s="7"/>
      <c r="O798" s="69"/>
      <c r="P798" s="69"/>
    </row>
    <row r="799" spans="5:16" x14ac:dyDescent="0.3">
      <c r="E799" s="6"/>
      <c r="F799" s="6"/>
      <c r="G799" s="6"/>
      <c r="H799" s="6"/>
      <c r="I799" s="6"/>
      <c r="J799" s="6"/>
      <c r="K799" s="7"/>
      <c r="L799" s="7"/>
      <c r="M799" s="7"/>
      <c r="N799" s="7"/>
      <c r="O799" s="69"/>
      <c r="P799" s="69"/>
    </row>
    <row r="800" spans="5:16" x14ac:dyDescent="0.3">
      <c r="E800" s="6"/>
      <c r="F800" s="6"/>
      <c r="G800" s="6"/>
      <c r="H800" s="6"/>
      <c r="I800" s="6"/>
      <c r="J800" s="6"/>
      <c r="K800" s="7"/>
      <c r="L800" s="7"/>
      <c r="M800" s="7"/>
      <c r="N800" s="7"/>
      <c r="O800" s="69"/>
      <c r="P800" s="69"/>
    </row>
    <row r="801" spans="5:16" x14ac:dyDescent="0.3">
      <c r="E801" s="6"/>
      <c r="F801" s="6"/>
      <c r="G801" s="6"/>
      <c r="H801" s="6"/>
      <c r="I801" s="6"/>
      <c r="J801" s="6"/>
      <c r="K801" s="7"/>
      <c r="L801" s="7"/>
      <c r="M801" s="7"/>
      <c r="N801" s="7"/>
      <c r="O801" s="69"/>
      <c r="P801" s="69"/>
    </row>
    <row r="802" spans="5:16" x14ac:dyDescent="0.3">
      <c r="E802" s="6"/>
      <c r="F802" s="6"/>
      <c r="G802" s="6"/>
      <c r="H802" s="6"/>
      <c r="I802" s="6"/>
      <c r="J802" s="6"/>
      <c r="K802" s="7"/>
      <c r="L802" s="7"/>
      <c r="M802" s="7"/>
      <c r="N802" s="7"/>
      <c r="O802" s="69"/>
      <c r="P802" s="69"/>
    </row>
    <row r="803" spans="5:16" x14ac:dyDescent="0.3">
      <c r="E803" s="6"/>
      <c r="F803" s="6"/>
      <c r="G803" s="6"/>
      <c r="H803" s="6"/>
      <c r="I803" s="6"/>
      <c r="J803" s="6"/>
      <c r="K803" s="7"/>
      <c r="L803" s="7"/>
      <c r="M803" s="7"/>
      <c r="N803" s="7"/>
      <c r="O803" s="69"/>
      <c r="P803" s="69"/>
    </row>
    <row r="804" spans="5:16" x14ac:dyDescent="0.3">
      <c r="E804" s="6"/>
      <c r="F804" s="6"/>
      <c r="G804" s="6"/>
      <c r="H804" s="6"/>
      <c r="I804" s="6"/>
      <c r="J804" s="6"/>
      <c r="K804" s="7"/>
      <c r="L804" s="7"/>
      <c r="M804" s="7"/>
      <c r="N804" s="7"/>
      <c r="O804" s="69"/>
      <c r="P804" s="69"/>
    </row>
    <row r="805" spans="5:16" x14ac:dyDescent="0.3">
      <c r="E805" s="6"/>
      <c r="F805" s="6"/>
      <c r="G805" s="6"/>
      <c r="H805" s="6"/>
      <c r="I805" s="6"/>
      <c r="J805" s="6"/>
      <c r="K805" s="7"/>
      <c r="L805" s="7"/>
      <c r="M805" s="7"/>
      <c r="N805" s="7"/>
      <c r="O805" s="69"/>
      <c r="P805" s="69"/>
    </row>
    <row r="806" spans="5:16" x14ac:dyDescent="0.3">
      <c r="E806" s="6"/>
      <c r="F806" s="6"/>
      <c r="G806" s="6"/>
      <c r="H806" s="6"/>
      <c r="I806" s="6"/>
      <c r="J806" s="6"/>
      <c r="K806" s="7"/>
      <c r="L806" s="7"/>
      <c r="M806" s="7"/>
      <c r="N806" s="7"/>
      <c r="O806" s="69"/>
      <c r="P806" s="69"/>
    </row>
    <row r="807" spans="5:16" x14ac:dyDescent="0.3">
      <c r="E807" s="6"/>
      <c r="F807" s="6"/>
      <c r="G807" s="6"/>
      <c r="H807" s="6"/>
      <c r="I807" s="6"/>
      <c r="J807" s="6"/>
      <c r="K807" s="7"/>
      <c r="L807" s="7"/>
      <c r="M807" s="7"/>
      <c r="N807" s="7"/>
      <c r="O807" s="69"/>
      <c r="P807" s="69"/>
    </row>
    <row r="808" spans="5:16" x14ac:dyDescent="0.3">
      <c r="E808" s="6"/>
      <c r="F808" s="6"/>
      <c r="G808" s="6"/>
      <c r="H808" s="6"/>
      <c r="I808" s="6"/>
      <c r="J808" s="6"/>
      <c r="K808" s="7"/>
      <c r="L808" s="7"/>
      <c r="M808" s="7"/>
      <c r="N808" s="7"/>
      <c r="O808" s="69"/>
      <c r="P808" s="69"/>
    </row>
    <row r="809" spans="5:16" x14ac:dyDescent="0.3">
      <c r="E809" s="6"/>
      <c r="F809" s="6"/>
      <c r="G809" s="6"/>
      <c r="H809" s="6"/>
      <c r="I809" s="6"/>
      <c r="J809" s="6"/>
      <c r="K809" s="7"/>
      <c r="L809" s="7"/>
      <c r="M809" s="7"/>
      <c r="N809" s="7"/>
      <c r="O809" s="69"/>
      <c r="P809" s="69"/>
    </row>
    <row r="810" spans="5:16" x14ac:dyDescent="0.3">
      <c r="E810" s="6"/>
      <c r="F810" s="6"/>
      <c r="G810" s="6"/>
      <c r="H810" s="6"/>
      <c r="I810" s="6"/>
      <c r="J810" s="6"/>
      <c r="K810" s="7"/>
      <c r="L810" s="7"/>
      <c r="M810" s="7"/>
      <c r="N810" s="7"/>
      <c r="O810" s="69"/>
      <c r="P810" s="69"/>
    </row>
    <row r="811" spans="5:16" x14ac:dyDescent="0.3">
      <c r="E811" s="6"/>
      <c r="F811" s="6"/>
      <c r="G811" s="6"/>
      <c r="H811" s="6"/>
      <c r="I811" s="6"/>
      <c r="J811" s="6"/>
      <c r="K811" s="7"/>
      <c r="L811" s="7"/>
      <c r="M811" s="7"/>
      <c r="N811" s="7"/>
      <c r="O811" s="69"/>
      <c r="P811" s="69"/>
    </row>
    <row r="812" spans="5:16" x14ac:dyDescent="0.3">
      <c r="E812" s="6"/>
      <c r="F812" s="6"/>
      <c r="G812" s="6"/>
      <c r="H812" s="6"/>
      <c r="I812" s="6"/>
      <c r="J812" s="6"/>
      <c r="K812" s="7"/>
      <c r="L812" s="7"/>
      <c r="M812" s="7"/>
      <c r="N812" s="7"/>
      <c r="O812" s="69"/>
      <c r="P812" s="69"/>
    </row>
    <row r="813" spans="5:16" x14ac:dyDescent="0.3">
      <c r="E813" s="6"/>
      <c r="F813" s="6"/>
      <c r="G813" s="6"/>
      <c r="H813" s="6"/>
      <c r="I813" s="6"/>
      <c r="J813" s="6"/>
      <c r="K813" s="7"/>
      <c r="L813" s="7"/>
      <c r="M813" s="7"/>
      <c r="N813" s="7"/>
      <c r="O813" s="69"/>
      <c r="P813" s="69"/>
    </row>
    <row r="814" spans="5:16" x14ac:dyDescent="0.3">
      <c r="E814" s="6"/>
      <c r="F814" s="6"/>
      <c r="G814" s="6"/>
      <c r="H814" s="6"/>
      <c r="I814" s="6"/>
      <c r="J814" s="6"/>
      <c r="K814" s="7"/>
      <c r="L814" s="7"/>
      <c r="M814" s="7"/>
      <c r="N814" s="7"/>
      <c r="O814" s="69"/>
      <c r="P814" s="69"/>
    </row>
    <row r="815" spans="5:16" x14ac:dyDescent="0.3">
      <c r="E815" s="6"/>
      <c r="F815" s="6"/>
      <c r="G815" s="6"/>
      <c r="H815" s="6"/>
      <c r="I815" s="6"/>
      <c r="J815" s="6"/>
      <c r="K815" s="7"/>
      <c r="L815" s="7"/>
      <c r="M815" s="7"/>
      <c r="N815" s="7"/>
      <c r="O815" s="69"/>
      <c r="P815" s="69"/>
    </row>
    <row r="816" spans="5:16" x14ac:dyDescent="0.3">
      <c r="E816" s="6"/>
      <c r="F816" s="6"/>
      <c r="G816" s="6"/>
      <c r="H816" s="6"/>
      <c r="I816" s="6"/>
      <c r="J816" s="6"/>
      <c r="K816" s="7"/>
      <c r="L816" s="7"/>
      <c r="M816" s="7"/>
      <c r="N816" s="7"/>
      <c r="O816" s="69"/>
      <c r="P816" s="69"/>
    </row>
    <row r="817" spans="5:16" x14ac:dyDescent="0.3">
      <c r="E817" s="6"/>
      <c r="F817" s="6"/>
      <c r="G817" s="6"/>
      <c r="H817" s="6"/>
      <c r="I817" s="6"/>
      <c r="J817" s="6"/>
      <c r="K817" s="7"/>
      <c r="L817" s="7"/>
      <c r="M817" s="7"/>
      <c r="N817" s="7"/>
      <c r="O817" s="69"/>
      <c r="P817" s="69"/>
    </row>
    <row r="818" spans="5:16" x14ac:dyDescent="0.3">
      <c r="E818" s="6"/>
      <c r="F818" s="6"/>
      <c r="G818" s="6"/>
      <c r="H818" s="6"/>
      <c r="I818" s="6"/>
      <c r="J818" s="6"/>
      <c r="K818" s="7"/>
      <c r="L818" s="7"/>
      <c r="M818" s="7"/>
      <c r="N818" s="7"/>
      <c r="O818" s="69"/>
      <c r="P818" s="69"/>
    </row>
    <row r="819" spans="5:16" x14ac:dyDescent="0.3">
      <c r="E819" s="6"/>
      <c r="F819" s="6"/>
      <c r="G819" s="6"/>
      <c r="H819" s="6"/>
      <c r="I819" s="6"/>
      <c r="J819" s="6"/>
      <c r="K819" s="7"/>
      <c r="L819" s="7"/>
      <c r="M819" s="7"/>
      <c r="N819" s="7"/>
      <c r="O819" s="69"/>
      <c r="P819" s="69"/>
    </row>
    <row r="820" spans="5:16" x14ac:dyDescent="0.3">
      <c r="E820" s="6"/>
      <c r="F820" s="6"/>
      <c r="G820" s="6"/>
      <c r="H820" s="6"/>
      <c r="I820" s="6"/>
      <c r="J820" s="6"/>
      <c r="K820" s="7"/>
      <c r="L820" s="7"/>
      <c r="M820" s="7"/>
      <c r="N820" s="7"/>
      <c r="O820" s="69"/>
      <c r="P820" s="69"/>
    </row>
    <row r="821" spans="5:16" x14ac:dyDescent="0.3">
      <c r="E821" s="6"/>
      <c r="F821" s="6"/>
      <c r="G821" s="6"/>
      <c r="H821" s="6"/>
      <c r="I821" s="6"/>
      <c r="J821" s="6"/>
      <c r="K821" s="7"/>
      <c r="L821" s="7"/>
      <c r="M821" s="7"/>
      <c r="N821" s="7"/>
      <c r="O821" s="69"/>
      <c r="P821" s="69"/>
    </row>
    <row r="822" spans="5:16" x14ac:dyDescent="0.3">
      <c r="E822" s="6"/>
      <c r="F822" s="6"/>
      <c r="G822" s="6"/>
      <c r="H822" s="6"/>
      <c r="I822" s="6"/>
      <c r="J822" s="6"/>
      <c r="K822" s="7"/>
      <c r="L822" s="7"/>
      <c r="M822" s="7"/>
      <c r="N822" s="7"/>
      <c r="O822" s="69"/>
      <c r="P822" s="69"/>
    </row>
    <row r="823" spans="5:16" x14ac:dyDescent="0.3">
      <c r="E823" s="6"/>
      <c r="F823" s="6"/>
      <c r="G823" s="6"/>
      <c r="H823" s="6"/>
      <c r="I823" s="6"/>
      <c r="J823" s="6"/>
      <c r="K823" s="7"/>
      <c r="L823" s="7"/>
      <c r="M823" s="7"/>
      <c r="N823" s="7"/>
      <c r="O823" s="69"/>
      <c r="P823" s="69"/>
    </row>
    <row r="824" spans="5:16" x14ac:dyDescent="0.3">
      <c r="E824" s="6"/>
      <c r="F824" s="6"/>
      <c r="G824" s="6"/>
      <c r="H824" s="6"/>
      <c r="I824" s="6"/>
      <c r="J824" s="6"/>
      <c r="K824" s="7"/>
      <c r="L824" s="7"/>
      <c r="M824" s="7"/>
      <c r="N824" s="7"/>
      <c r="O824" s="69"/>
      <c r="P824" s="69"/>
    </row>
    <row r="825" spans="5:16" x14ac:dyDescent="0.3">
      <c r="E825" s="6"/>
      <c r="F825" s="6"/>
      <c r="G825" s="6"/>
      <c r="H825" s="6"/>
      <c r="I825" s="6"/>
      <c r="J825" s="6"/>
      <c r="K825" s="7"/>
      <c r="L825" s="7"/>
      <c r="M825" s="7"/>
      <c r="N825" s="7"/>
      <c r="O825" s="69"/>
      <c r="P825" s="69"/>
    </row>
    <row r="826" spans="5:16" x14ac:dyDescent="0.3">
      <c r="E826" s="6"/>
      <c r="F826" s="6"/>
      <c r="G826" s="6"/>
      <c r="H826" s="6"/>
      <c r="I826" s="6"/>
      <c r="J826" s="6"/>
      <c r="K826" s="7"/>
      <c r="L826" s="7"/>
      <c r="M826" s="7"/>
      <c r="N826" s="7"/>
      <c r="O826" s="69"/>
      <c r="P826" s="69"/>
    </row>
    <row r="827" spans="5:16" x14ac:dyDescent="0.3">
      <c r="E827" s="6"/>
      <c r="F827" s="6"/>
      <c r="G827" s="6"/>
      <c r="H827" s="6"/>
      <c r="I827" s="6"/>
      <c r="J827" s="6"/>
      <c r="K827" s="7"/>
      <c r="L827" s="7"/>
      <c r="M827" s="7"/>
      <c r="N827" s="7"/>
      <c r="O827" s="69"/>
      <c r="P827" s="69"/>
    </row>
    <row r="828" spans="5:16" x14ac:dyDescent="0.3">
      <c r="E828" s="6"/>
      <c r="F828" s="6"/>
      <c r="G828" s="6"/>
      <c r="H828" s="6"/>
      <c r="I828" s="6"/>
      <c r="J828" s="6"/>
      <c r="K828" s="7"/>
      <c r="L828" s="7"/>
      <c r="M828" s="7"/>
      <c r="N828" s="7"/>
      <c r="O828" s="69"/>
      <c r="P828" s="69"/>
    </row>
    <row r="829" spans="5:16" x14ac:dyDescent="0.3">
      <c r="E829" s="6"/>
      <c r="F829" s="6"/>
      <c r="G829" s="6"/>
      <c r="H829" s="6"/>
      <c r="I829" s="6"/>
      <c r="J829" s="6"/>
      <c r="K829" s="7"/>
      <c r="L829" s="7"/>
      <c r="M829" s="7"/>
      <c r="N829" s="7"/>
      <c r="O829" s="69"/>
      <c r="P829" s="69"/>
    </row>
    <row r="830" spans="5:16" x14ac:dyDescent="0.3">
      <c r="E830" s="6"/>
      <c r="F830" s="6"/>
      <c r="G830" s="6"/>
      <c r="H830" s="6"/>
      <c r="I830" s="6"/>
      <c r="J830" s="6"/>
      <c r="K830" s="7"/>
      <c r="L830" s="7"/>
      <c r="M830" s="7"/>
      <c r="N830" s="7"/>
      <c r="O830" s="69"/>
      <c r="P830" s="69"/>
    </row>
    <row r="831" spans="5:16" x14ac:dyDescent="0.3">
      <c r="E831" s="6"/>
      <c r="F831" s="6"/>
      <c r="G831" s="6"/>
      <c r="H831" s="6"/>
      <c r="I831" s="6"/>
      <c r="J831" s="6"/>
      <c r="K831" s="7"/>
      <c r="L831" s="7"/>
      <c r="M831" s="7"/>
      <c r="N831" s="7"/>
      <c r="O831" s="69"/>
      <c r="P831" s="69"/>
    </row>
    <row r="832" spans="5:16" x14ac:dyDescent="0.3">
      <c r="E832" s="6"/>
      <c r="F832" s="6"/>
      <c r="G832" s="6"/>
      <c r="H832" s="6"/>
      <c r="I832" s="6"/>
      <c r="J832" s="6"/>
      <c r="K832" s="7"/>
      <c r="L832" s="7"/>
      <c r="M832" s="7"/>
      <c r="N832" s="7"/>
      <c r="O832" s="69"/>
      <c r="P832" s="69"/>
    </row>
    <row r="833" spans="5:16" x14ac:dyDescent="0.3">
      <c r="E833" s="6"/>
      <c r="F833" s="6"/>
      <c r="G833" s="6"/>
      <c r="H833" s="6"/>
      <c r="I833" s="6"/>
      <c r="J833" s="6"/>
      <c r="K833" s="7"/>
      <c r="L833" s="7"/>
      <c r="M833" s="7"/>
      <c r="N833" s="7"/>
      <c r="O833" s="69"/>
      <c r="P833" s="69"/>
    </row>
    <row r="834" spans="5:16" x14ac:dyDescent="0.3">
      <c r="E834" s="6"/>
      <c r="F834" s="6"/>
      <c r="G834" s="6"/>
      <c r="H834" s="6"/>
      <c r="I834" s="6"/>
      <c r="J834" s="6"/>
      <c r="K834" s="7"/>
      <c r="L834" s="7"/>
      <c r="M834" s="7"/>
      <c r="N834" s="7"/>
      <c r="O834" s="69"/>
      <c r="P834" s="69"/>
    </row>
    <row r="835" spans="5:16" x14ac:dyDescent="0.3">
      <c r="E835" s="6"/>
      <c r="F835" s="6"/>
      <c r="G835" s="6"/>
      <c r="H835" s="6"/>
      <c r="I835" s="6"/>
      <c r="J835" s="6"/>
      <c r="K835" s="7"/>
      <c r="L835" s="7"/>
      <c r="M835" s="7"/>
      <c r="N835" s="7"/>
      <c r="O835" s="69"/>
      <c r="P835" s="69"/>
    </row>
    <row r="836" spans="5:16" x14ac:dyDescent="0.3">
      <c r="E836" s="6"/>
      <c r="F836" s="6"/>
      <c r="G836" s="6"/>
      <c r="H836" s="6"/>
      <c r="I836" s="6"/>
      <c r="J836" s="6"/>
      <c r="K836" s="7"/>
      <c r="L836" s="7"/>
      <c r="M836" s="7"/>
      <c r="N836" s="7"/>
      <c r="O836" s="69"/>
      <c r="P836" s="69"/>
    </row>
    <row r="837" spans="5:16" x14ac:dyDescent="0.3">
      <c r="E837" s="6"/>
      <c r="F837" s="6"/>
      <c r="G837" s="6"/>
      <c r="H837" s="6"/>
      <c r="I837" s="6"/>
      <c r="J837" s="6"/>
      <c r="K837" s="7"/>
      <c r="L837" s="7"/>
      <c r="M837" s="7"/>
      <c r="N837" s="7"/>
      <c r="O837" s="69"/>
      <c r="P837" s="69"/>
    </row>
    <row r="838" spans="5:16" x14ac:dyDescent="0.3">
      <c r="E838" s="6"/>
      <c r="F838" s="6"/>
      <c r="G838" s="6"/>
      <c r="H838" s="6"/>
      <c r="I838" s="6"/>
      <c r="J838" s="6"/>
      <c r="K838" s="7"/>
      <c r="L838" s="7"/>
      <c r="M838" s="7"/>
      <c r="N838" s="7"/>
      <c r="O838" s="69"/>
      <c r="P838" s="69"/>
    </row>
    <row r="839" spans="5:16" x14ac:dyDescent="0.3">
      <c r="E839" s="6"/>
      <c r="F839" s="6"/>
      <c r="G839" s="6"/>
      <c r="H839" s="6"/>
      <c r="I839" s="6"/>
      <c r="J839" s="6"/>
      <c r="K839" s="7"/>
      <c r="L839" s="7"/>
      <c r="M839" s="7"/>
      <c r="N839" s="7"/>
      <c r="O839" s="69"/>
      <c r="P839" s="69"/>
    </row>
    <row r="840" spans="5:16" x14ac:dyDescent="0.3">
      <c r="E840" s="6"/>
      <c r="F840" s="6"/>
      <c r="G840" s="6"/>
      <c r="H840" s="6"/>
      <c r="I840" s="6"/>
      <c r="J840" s="6"/>
      <c r="K840" s="7"/>
      <c r="L840" s="7"/>
      <c r="M840" s="7"/>
      <c r="N840" s="7"/>
      <c r="O840" s="69"/>
      <c r="P840" s="69"/>
    </row>
    <row r="841" spans="5:16" x14ac:dyDescent="0.3">
      <c r="E841" s="6"/>
      <c r="F841" s="6"/>
      <c r="G841" s="6"/>
      <c r="H841" s="6"/>
      <c r="I841" s="6"/>
      <c r="J841" s="6"/>
      <c r="K841" s="7"/>
      <c r="L841" s="7"/>
      <c r="M841" s="7"/>
      <c r="N841" s="7"/>
      <c r="O841" s="69"/>
      <c r="P841" s="69"/>
    </row>
    <row r="842" spans="5:16" x14ac:dyDescent="0.3">
      <c r="E842" s="6"/>
      <c r="F842" s="6"/>
      <c r="G842" s="6"/>
      <c r="H842" s="6"/>
      <c r="I842" s="6"/>
      <c r="J842" s="6"/>
      <c r="K842" s="7"/>
      <c r="L842" s="7"/>
      <c r="M842" s="7"/>
      <c r="N842" s="7"/>
      <c r="O842" s="69"/>
      <c r="P842" s="69"/>
    </row>
    <row r="843" spans="5:16" x14ac:dyDescent="0.3">
      <c r="E843" s="6"/>
      <c r="F843" s="6"/>
      <c r="G843" s="6"/>
      <c r="H843" s="6"/>
      <c r="I843" s="6"/>
      <c r="J843" s="6"/>
      <c r="K843" s="7"/>
      <c r="L843" s="7"/>
      <c r="M843" s="7"/>
      <c r="N843" s="7"/>
      <c r="O843" s="69"/>
      <c r="P843" s="69"/>
    </row>
    <row r="844" spans="5:16" x14ac:dyDescent="0.3">
      <c r="E844" s="6"/>
      <c r="F844" s="6"/>
      <c r="G844" s="6"/>
      <c r="H844" s="6"/>
      <c r="I844" s="6"/>
      <c r="J844" s="6"/>
      <c r="K844" s="7"/>
      <c r="L844" s="7"/>
      <c r="M844" s="7"/>
      <c r="N844" s="7"/>
      <c r="O844" s="69"/>
      <c r="P844" s="69"/>
    </row>
    <row r="845" spans="5:16" x14ac:dyDescent="0.3">
      <c r="E845" s="6"/>
      <c r="F845" s="6"/>
      <c r="G845" s="6"/>
      <c r="H845" s="6"/>
      <c r="I845" s="6"/>
      <c r="J845" s="6"/>
      <c r="K845" s="7"/>
      <c r="L845" s="7"/>
      <c r="M845" s="7"/>
      <c r="N845" s="7"/>
      <c r="O845" s="69"/>
      <c r="P845" s="69"/>
    </row>
    <row r="846" spans="5:16" x14ac:dyDescent="0.3">
      <c r="E846" s="6"/>
      <c r="F846" s="6"/>
      <c r="G846" s="6"/>
      <c r="H846" s="6"/>
      <c r="I846" s="6"/>
      <c r="J846" s="6"/>
      <c r="K846" s="7"/>
      <c r="L846" s="7"/>
      <c r="M846" s="7"/>
      <c r="N846" s="7"/>
      <c r="O846" s="69"/>
      <c r="P846" s="69"/>
    </row>
    <row r="847" spans="5:16" x14ac:dyDescent="0.3">
      <c r="E847" s="6"/>
      <c r="F847" s="6"/>
      <c r="G847" s="6"/>
      <c r="H847" s="6"/>
      <c r="I847" s="6"/>
      <c r="J847" s="6"/>
      <c r="K847" s="7"/>
      <c r="L847" s="7"/>
      <c r="M847" s="7"/>
      <c r="N847" s="7"/>
      <c r="O847" s="69"/>
      <c r="P847" s="69"/>
    </row>
    <row r="848" spans="5:16" x14ac:dyDescent="0.3">
      <c r="E848" s="6"/>
      <c r="F848" s="6"/>
      <c r="G848" s="6"/>
      <c r="H848" s="6"/>
      <c r="I848" s="6"/>
      <c r="J848" s="6"/>
      <c r="K848" s="7"/>
      <c r="L848" s="7"/>
      <c r="M848" s="7"/>
      <c r="N848" s="7"/>
      <c r="O848" s="69"/>
      <c r="P848" s="69"/>
    </row>
    <row r="849" spans="5:16" x14ac:dyDescent="0.3">
      <c r="E849" s="6"/>
      <c r="F849" s="6"/>
      <c r="G849" s="6"/>
      <c r="H849" s="6"/>
      <c r="I849" s="6"/>
      <c r="J849" s="6"/>
      <c r="K849" s="7"/>
      <c r="L849" s="7"/>
      <c r="M849" s="7"/>
      <c r="N849" s="7"/>
      <c r="O849" s="69"/>
      <c r="P849" s="69"/>
    </row>
    <row r="850" spans="5:16" x14ac:dyDescent="0.3">
      <c r="E850" s="6"/>
      <c r="F850" s="6"/>
      <c r="G850" s="6"/>
      <c r="H850" s="6"/>
      <c r="I850" s="6"/>
      <c r="J850" s="6"/>
      <c r="K850" s="7"/>
      <c r="L850" s="7"/>
      <c r="M850" s="7"/>
      <c r="N850" s="7"/>
      <c r="O850" s="69"/>
      <c r="P850" s="69"/>
    </row>
    <row r="851" spans="5:16" x14ac:dyDescent="0.3">
      <c r="E851" s="6"/>
      <c r="F851" s="6"/>
      <c r="G851" s="6"/>
      <c r="H851" s="6"/>
      <c r="I851" s="6"/>
      <c r="J851" s="6"/>
      <c r="K851" s="7"/>
      <c r="L851" s="7"/>
      <c r="M851" s="7"/>
      <c r="N851" s="7"/>
      <c r="O851" s="69"/>
      <c r="P851" s="69"/>
    </row>
    <row r="852" spans="5:16" x14ac:dyDescent="0.3">
      <c r="E852" s="6"/>
      <c r="F852" s="6"/>
      <c r="G852" s="6"/>
      <c r="H852" s="6"/>
      <c r="I852" s="6"/>
      <c r="J852" s="6"/>
      <c r="K852" s="7"/>
      <c r="L852" s="7"/>
      <c r="M852" s="7"/>
      <c r="N852" s="7"/>
      <c r="O852" s="69"/>
      <c r="P852" s="69"/>
    </row>
    <row r="853" spans="5:16" x14ac:dyDescent="0.3">
      <c r="E853" s="6"/>
      <c r="F853" s="6"/>
      <c r="G853" s="6"/>
      <c r="H853" s="6"/>
      <c r="I853" s="6"/>
      <c r="J853" s="6"/>
      <c r="K853" s="7"/>
      <c r="L853" s="7"/>
      <c r="M853" s="7"/>
      <c r="N853" s="7"/>
      <c r="O853" s="69"/>
      <c r="P853" s="69"/>
    </row>
    <row r="854" spans="5:16" x14ac:dyDescent="0.3">
      <c r="E854" s="6"/>
      <c r="F854" s="6"/>
      <c r="G854" s="6"/>
      <c r="H854" s="6"/>
      <c r="I854" s="6"/>
      <c r="J854" s="6"/>
      <c r="K854" s="7"/>
      <c r="L854" s="7"/>
      <c r="M854" s="7"/>
      <c r="N854" s="7"/>
      <c r="O854" s="69"/>
      <c r="P854" s="69"/>
    </row>
    <row r="855" spans="5:16" x14ac:dyDescent="0.3">
      <c r="E855" s="6"/>
      <c r="F855" s="6"/>
      <c r="G855" s="6"/>
      <c r="H855" s="6"/>
      <c r="I855" s="6"/>
      <c r="J855" s="6"/>
      <c r="K855" s="7"/>
      <c r="L855" s="7"/>
      <c r="M855" s="7"/>
      <c r="N855" s="7"/>
      <c r="O855" s="69"/>
      <c r="P855" s="69"/>
    </row>
    <row r="856" spans="5:16" x14ac:dyDescent="0.3">
      <c r="E856" s="6"/>
      <c r="F856" s="6"/>
      <c r="G856" s="6"/>
      <c r="H856" s="6"/>
      <c r="I856" s="6"/>
      <c r="J856" s="6"/>
      <c r="K856" s="7"/>
      <c r="L856" s="7"/>
      <c r="M856" s="7"/>
      <c r="N856" s="7"/>
      <c r="O856" s="69"/>
      <c r="P856" s="69"/>
    </row>
    <row r="857" spans="5:16" x14ac:dyDescent="0.3">
      <c r="E857" s="6"/>
      <c r="F857" s="6"/>
      <c r="G857" s="6"/>
      <c r="H857" s="6"/>
      <c r="I857" s="6"/>
      <c r="J857" s="6"/>
      <c r="K857" s="7"/>
      <c r="L857" s="7"/>
      <c r="M857" s="7"/>
      <c r="N857" s="7"/>
      <c r="O857" s="69"/>
      <c r="P857" s="69"/>
    </row>
    <row r="858" spans="5:16" x14ac:dyDescent="0.3">
      <c r="E858" s="6"/>
      <c r="F858" s="6"/>
      <c r="G858" s="6"/>
      <c r="H858" s="6"/>
      <c r="I858" s="6"/>
      <c r="J858" s="6"/>
      <c r="K858" s="7"/>
      <c r="L858" s="7"/>
      <c r="M858" s="7"/>
      <c r="N858" s="7"/>
      <c r="O858" s="69"/>
      <c r="P858" s="69"/>
    </row>
    <row r="859" spans="5:16" x14ac:dyDescent="0.3">
      <c r="E859" s="6"/>
      <c r="F859" s="6"/>
      <c r="G859" s="6"/>
      <c r="H859" s="6"/>
      <c r="I859" s="6"/>
      <c r="J859" s="6"/>
      <c r="K859" s="7"/>
      <c r="L859" s="7"/>
      <c r="M859" s="7"/>
      <c r="N859" s="7"/>
      <c r="O859" s="69"/>
      <c r="P859" s="69"/>
    </row>
    <row r="860" spans="5:16" x14ac:dyDescent="0.3">
      <c r="E860" s="6"/>
      <c r="F860" s="6"/>
      <c r="G860" s="6"/>
      <c r="H860" s="6"/>
      <c r="I860" s="6"/>
      <c r="J860" s="6"/>
      <c r="K860" s="7"/>
      <c r="L860" s="7"/>
      <c r="M860" s="7"/>
      <c r="N860" s="7"/>
      <c r="O860" s="69"/>
      <c r="P860" s="69"/>
    </row>
    <row r="861" spans="5:16" x14ac:dyDescent="0.3">
      <c r="E861" s="6"/>
      <c r="F861" s="6"/>
      <c r="G861" s="6"/>
      <c r="H861" s="6"/>
      <c r="I861" s="6"/>
      <c r="J861" s="6"/>
      <c r="K861" s="7"/>
      <c r="L861" s="7"/>
      <c r="M861" s="7"/>
      <c r="N861" s="7"/>
      <c r="O861" s="69"/>
      <c r="P861" s="69"/>
    </row>
    <row r="862" spans="5:16" x14ac:dyDescent="0.3">
      <c r="E862" s="6"/>
      <c r="F862" s="6"/>
      <c r="G862" s="6"/>
      <c r="H862" s="6"/>
      <c r="I862" s="6"/>
      <c r="J862" s="6"/>
      <c r="K862" s="7"/>
      <c r="L862" s="7"/>
      <c r="M862" s="7"/>
      <c r="N862" s="7"/>
      <c r="O862" s="69"/>
      <c r="P862" s="69"/>
    </row>
    <row r="863" spans="5:16" x14ac:dyDescent="0.3">
      <c r="E863" s="6"/>
      <c r="F863" s="6"/>
      <c r="G863" s="6"/>
      <c r="H863" s="6"/>
      <c r="I863" s="6"/>
      <c r="J863" s="6"/>
      <c r="K863" s="7"/>
      <c r="L863" s="7"/>
      <c r="M863" s="7"/>
      <c r="N863" s="7"/>
      <c r="O863" s="69"/>
      <c r="P863" s="69"/>
    </row>
    <row r="864" spans="5:16" x14ac:dyDescent="0.3">
      <c r="E864" s="6"/>
      <c r="F864" s="6"/>
      <c r="G864" s="6"/>
      <c r="H864" s="6"/>
      <c r="I864" s="6"/>
      <c r="J864" s="6"/>
      <c r="K864" s="7"/>
      <c r="L864" s="7"/>
      <c r="M864" s="7"/>
      <c r="N864" s="7"/>
      <c r="O864" s="69"/>
      <c r="P864" s="69"/>
    </row>
    <row r="865" spans="5:16" x14ac:dyDescent="0.3">
      <c r="E865" s="6"/>
      <c r="F865" s="6"/>
      <c r="G865" s="6"/>
      <c r="H865" s="6"/>
      <c r="I865" s="6"/>
      <c r="J865" s="6"/>
      <c r="K865" s="7"/>
      <c r="L865" s="7"/>
      <c r="M865" s="7"/>
      <c r="N865" s="7"/>
      <c r="O865" s="69"/>
      <c r="P865" s="69"/>
    </row>
    <row r="866" spans="5:16" x14ac:dyDescent="0.3">
      <c r="E866" s="6"/>
      <c r="F866" s="6"/>
      <c r="G866" s="6"/>
      <c r="H866" s="6"/>
      <c r="I866" s="6"/>
      <c r="J866" s="6"/>
      <c r="K866" s="7"/>
      <c r="L866" s="7"/>
      <c r="M866" s="7"/>
      <c r="N866" s="7"/>
      <c r="O866" s="69"/>
      <c r="P866" s="69"/>
    </row>
    <row r="867" spans="5:16" x14ac:dyDescent="0.3">
      <c r="E867" s="6"/>
      <c r="F867" s="6"/>
      <c r="G867" s="6"/>
      <c r="H867" s="6"/>
      <c r="I867" s="6"/>
      <c r="J867" s="6"/>
      <c r="K867" s="7"/>
      <c r="L867" s="7"/>
      <c r="M867" s="7"/>
      <c r="N867" s="7"/>
      <c r="O867" s="69"/>
      <c r="P867" s="69"/>
    </row>
    <row r="868" spans="5:16" x14ac:dyDescent="0.3">
      <c r="E868" s="6"/>
      <c r="F868" s="6"/>
      <c r="G868" s="6"/>
      <c r="H868" s="6"/>
      <c r="I868" s="6"/>
      <c r="J868" s="6"/>
      <c r="K868" s="7"/>
      <c r="L868" s="7"/>
      <c r="M868" s="7"/>
      <c r="N868" s="7"/>
      <c r="O868" s="69"/>
      <c r="P868" s="69"/>
    </row>
    <row r="869" spans="5:16" x14ac:dyDescent="0.3">
      <c r="E869" s="6"/>
      <c r="F869" s="6"/>
      <c r="G869" s="6"/>
      <c r="H869" s="6"/>
      <c r="I869" s="6"/>
      <c r="J869" s="6"/>
      <c r="K869" s="7"/>
      <c r="L869" s="7"/>
      <c r="M869" s="7"/>
      <c r="N869" s="7"/>
      <c r="O869" s="69"/>
      <c r="P869" s="69"/>
    </row>
    <row r="870" spans="5:16" x14ac:dyDescent="0.3">
      <c r="E870" s="6"/>
      <c r="F870" s="6"/>
      <c r="G870" s="6"/>
      <c r="H870" s="6"/>
      <c r="I870" s="6"/>
      <c r="J870" s="6"/>
      <c r="K870" s="7"/>
      <c r="L870" s="7"/>
      <c r="M870" s="7"/>
      <c r="N870" s="7"/>
      <c r="O870" s="69"/>
      <c r="P870" s="69"/>
    </row>
    <row r="871" spans="5:16" x14ac:dyDescent="0.3">
      <c r="E871" s="6"/>
      <c r="F871" s="6"/>
      <c r="G871" s="6"/>
      <c r="H871" s="6"/>
      <c r="I871" s="6"/>
      <c r="J871" s="6"/>
      <c r="K871" s="7"/>
      <c r="L871" s="7"/>
      <c r="M871" s="7"/>
      <c r="N871" s="7"/>
      <c r="O871" s="69"/>
      <c r="P871" s="69"/>
    </row>
    <row r="872" spans="5:16" x14ac:dyDescent="0.3">
      <c r="E872" s="6"/>
      <c r="F872" s="6"/>
      <c r="G872" s="6"/>
      <c r="H872" s="6"/>
      <c r="I872" s="6"/>
      <c r="J872" s="6"/>
      <c r="K872" s="7"/>
      <c r="L872" s="7"/>
      <c r="M872" s="7"/>
      <c r="N872" s="7"/>
      <c r="O872" s="69"/>
      <c r="P872" s="69"/>
    </row>
    <row r="873" spans="5:16" x14ac:dyDescent="0.3">
      <c r="E873" s="6"/>
      <c r="F873" s="6"/>
      <c r="G873" s="6"/>
      <c r="H873" s="6"/>
      <c r="I873" s="6"/>
      <c r="J873" s="6"/>
      <c r="K873" s="7"/>
      <c r="L873" s="7"/>
      <c r="M873" s="7"/>
      <c r="N873" s="7"/>
      <c r="O873" s="69"/>
      <c r="P873" s="69"/>
    </row>
    <row r="874" spans="5:16" x14ac:dyDescent="0.3">
      <c r="E874" s="6"/>
      <c r="F874" s="6"/>
      <c r="G874" s="6"/>
      <c r="H874" s="6"/>
      <c r="I874" s="6"/>
      <c r="J874" s="6"/>
      <c r="K874" s="7"/>
      <c r="L874" s="7"/>
      <c r="M874" s="7"/>
      <c r="N874" s="7"/>
      <c r="O874" s="69"/>
      <c r="P874" s="69"/>
    </row>
    <row r="875" spans="5:16" x14ac:dyDescent="0.3">
      <c r="E875" s="6"/>
      <c r="F875" s="6"/>
      <c r="G875" s="6"/>
      <c r="H875" s="6"/>
      <c r="I875" s="6"/>
      <c r="J875" s="6"/>
      <c r="K875" s="7"/>
      <c r="L875" s="7"/>
      <c r="M875" s="7"/>
      <c r="N875" s="7"/>
      <c r="O875" s="69"/>
      <c r="P875" s="69"/>
    </row>
    <row r="876" spans="5:16" x14ac:dyDescent="0.3">
      <c r="E876" s="6"/>
      <c r="F876" s="6"/>
      <c r="G876" s="6"/>
      <c r="H876" s="6"/>
      <c r="I876" s="6"/>
      <c r="J876" s="6"/>
      <c r="K876" s="7"/>
      <c r="L876" s="7"/>
      <c r="M876" s="7"/>
      <c r="N876" s="7"/>
      <c r="O876" s="69"/>
      <c r="P876" s="69"/>
    </row>
    <row r="877" spans="5:16" x14ac:dyDescent="0.3">
      <c r="E877" s="6"/>
      <c r="F877" s="6"/>
      <c r="G877" s="6"/>
      <c r="H877" s="6"/>
      <c r="I877" s="6"/>
      <c r="J877" s="6"/>
      <c r="K877" s="7"/>
      <c r="L877" s="7"/>
      <c r="M877" s="7"/>
      <c r="N877" s="7"/>
      <c r="O877" s="69"/>
      <c r="P877" s="69"/>
    </row>
    <row r="878" spans="5:16" x14ac:dyDescent="0.3">
      <c r="E878" s="6"/>
      <c r="F878" s="6"/>
      <c r="G878" s="6"/>
      <c r="H878" s="6"/>
      <c r="I878" s="6"/>
      <c r="J878" s="6"/>
      <c r="K878" s="7"/>
      <c r="L878" s="7"/>
      <c r="M878" s="7"/>
      <c r="N878" s="7"/>
      <c r="O878" s="69"/>
      <c r="P878" s="69"/>
    </row>
    <row r="879" spans="5:16" x14ac:dyDescent="0.3">
      <c r="E879" s="6"/>
      <c r="F879" s="6"/>
      <c r="G879" s="6"/>
      <c r="H879" s="6"/>
      <c r="I879" s="6"/>
      <c r="J879" s="6"/>
      <c r="K879" s="7"/>
      <c r="L879" s="7"/>
      <c r="M879" s="7"/>
      <c r="N879" s="7"/>
      <c r="O879" s="69"/>
      <c r="P879" s="69"/>
    </row>
    <row r="880" spans="5:16" x14ac:dyDescent="0.3">
      <c r="E880" s="6"/>
      <c r="F880" s="6"/>
      <c r="G880" s="6"/>
      <c r="H880" s="6"/>
      <c r="I880" s="6"/>
      <c r="J880" s="6"/>
      <c r="K880" s="7"/>
      <c r="L880" s="7"/>
      <c r="M880" s="7"/>
      <c r="N880" s="7"/>
      <c r="O880" s="69"/>
      <c r="P880" s="69"/>
    </row>
    <row r="881" spans="5:16" x14ac:dyDescent="0.3">
      <c r="E881" s="6"/>
      <c r="F881" s="6"/>
      <c r="G881" s="6"/>
      <c r="H881" s="6"/>
      <c r="I881" s="6"/>
      <c r="J881" s="6"/>
      <c r="K881" s="7"/>
      <c r="L881" s="7"/>
      <c r="M881" s="7"/>
      <c r="N881" s="7"/>
      <c r="O881" s="69"/>
      <c r="P881" s="69"/>
    </row>
    <row r="882" spans="5:16" x14ac:dyDescent="0.3">
      <c r="E882" s="6"/>
      <c r="F882" s="6"/>
      <c r="G882" s="6"/>
      <c r="H882" s="6"/>
      <c r="I882" s="6"/>
      <c r="J882" s="6"/>
      <c r="K882" s="7"/>
      <c r="L882" s="7"/>
      <c r="M882" s="7"/>
      <c r="N882" s="7"/>
      <c r="O882" s="69"/>
      <c r="P882" s="69"/>
    </row>
    <row r="883" spans="5:16" x14ac:dyDescent="0.3">
      <c r="E883" s="6"/>
      <c r="F883" s="6"/>
      <c r="G883" s="6"/>
      <c r="H883" s="6"/>
      <c r="I883" s="6"/>
      <c r="J883" s="6"/>
      <c r="K883" s="7"/>
      <c r="L883" s="7"/>
      <c r="M883" s="7"/>
      <c r="N883" s="7"/>
      <c r="O883" s="69"/>
      <c r="P883" s="69"/>
    </row>
    <row r="884" spans="5:16" x14ac:dyDescent="0.3">
      <c r="E884" s="6"/>
      <c r="F884" s="6"/>
      <c r="G884" s="6"/>
      <c r="H884" s="6"/>
      <c r="I884" s="6"/>
      <c r="J884" s="6"/>
      <c r="K884" s="7"/>
      <c r="L884" s="7"/>
      <c r="M884" s="7"/>
      <c r="N884" s="7"/>
      <c r="O884" s="69"/>
      <c r="P884" s="69"/>
    </row>
    <row r="885" spans="5:16" x14ac:dyDescent="0.3">
      <c r="E885" s="6"/>
      <c r="F885" s="6"/>
      <c r="G885" s="6"/>
      <c r="H885" s="6"/>
      <c r="I885" s="6"/>
      <c r="J885" s="6"/>
      <c r="K885" s="7"/>
      <c r="L885" s="7"/>
      <c r="M885" s="7"/>
      <c r="N885" s="7"/>
      <c r="O885" s="69"/>
      <c r="P885" s="69"/>
    </row>
    <row r="886" spans="5:16" x14ac:dyDescent="0.3">
      <c r="E886" s="6"/>
      <c r="F886" s="6"/>
      <c r="G886" s="6"/>
      <c r="H886" s="6"/>
      <c r="I886" s="6"/>
      <c r="J886" s="6"/>
      <c r="K886" s="7"/>
      <c r="L886" s="7"/>
      <c r="M886" s="7"/>
      <c r="N886" s="7"/>
      <c r="O886" s="69"/>
      <c r="P886" s="69"/>
    </row>
    <row r="887" spans="5:16" x14ac:dyDescent="0.3">
      <c r="E887" s="6"/>
      <c r="F887" s="6"/>
      <c r="G887" s="6"/>
      <c r="H887" s="6"/>
      <c r="I887" s="6"/>
      <c r="J887" s="6"/>
      <c r="K887" s="7"/>
      <c r="L887" s="7"/>
      <c r="M887" s="7"/>
      <c r="N887" s="7"/>
      <c r="O887" s="69"/>
      <c r="P887" s="69"/>
    </row>
    <row r="888" spans="5:16" x14ac:dyDescent="0.3">
      <c r="E888" s="6"/>
      <c r="F888" s="6"/>
      <c r="G888" s="6"/>
      <c r="H888" s="6"/>
      <c r="I888" s="6"/>
      <c r="J888" s="6"/>
      <c r="K888" s="7"/>
      <c r="L888" s="7"/>
      <c r="M888" s="7"/>
      <c r="N888" s="7"/>
      <c r="O888" s="69"/>
      <c r="P888" s="69"/>
    </row>
    <row r="889" spans="5:16" x14ac:dyDescent="0.3">
      <c r="E889" s="6"/>
      <c r="F889" s="6"/>
      <c r="G889" s="6"/>
      <c r="H889" s="6"/>
      <c r="I889" s="6"/>
      <c r="J889" s="6"/>
      <c r="K889" s="7"/>
      <c r="L889" s="7"/>
      <c r="M889" s="7"/>
      <c r="N889" s="7"/>
      <c r="O889" s="69"/>
      <c r="P889" s="69"/>
    </row>
    <row r="890" spans="5:16" x14ac:dyDescent="0.3">
      <c r="E890" s="6"/>
      <c r="F890" s="6"/>
      <c r="G890" s="6"/>
      <c r="H890" s="6"/>
      <c r="I890" s="6"/>
      <c r="J890" s="6"/>
      <c r="K890" s="7"/>
      <c r="L890" s="7"/>
      <c r="M890" s="7"/>
      <c r="N890" s="7"/>
      <c r="O890" s="69"/>
      <c r="P890" s="69"/>
    </row>
    <row r="891" spans="5:16" x14ac:dyDescent="0.3">
      <c r="E891" s="6"/>
      <c r="F891" s="6"/>
      <c r="G891" s="6"/>
      <c r="H891" s="6"/>
      <c r="I891" s="6"/>
      <c r="J891" s="6"/>
      <c r="K891" s="7"/>
      <c r="L891" s="7"/>
      <c r="M891" s="7"/>
      <c r="N891" s="7"/>
      <c r="O891" s="69"/>
      <c r="P891" s="69"/>
    </row>
    <row r="892" spans="5:16" x14ac:dyDescent="0.3">
      <c r="E892" s="6"/>
      <c r="F892" s="6"/>
      <c r="G892" s="6"/>
      <c r="H892" s="6"/>
      <c r="I892" s="6"/>
      <c r="J892" s="6"/>
      <c r="K892" s="7"/>
      <c r="L892" s="7"/>
      <c r="M892" s="7"/>
      <c r="N892" s="7"/>
      <c r="O892" s="69"/>
      <c r="P892" s="69"/>
    </row>
    <row r="893" spans="5:16" x14ac:dyDescent="0.3">
      <c r="E893" s="6"/>
      <c r="F893" s="6"/>
      <c r="G893" s="6"/>
      <c r="H893" s="6"/>
      <c r="I893" s="6"/>
      <c r="J893" s="6"/>
      <c r="K893" s="7"/>
      <c r="L893" s="7"/>
      <c r="M893" s="7"/>
      <c r="N893" s="7"/>
      <c r="O893" s="69"/>
      <c r="P893" s="69"/>
    </row>
    <row r="894" spans="5:16" x14ac:dyDescent="0.3">
      <c r="E894" s="6"/>
      <c r="F894" s="6"/>
      <c r="G894" s="6"/>
      <c r="H894" s="6"/>
      <c r="I894" s="6"/>
      <c r="J894" s="6"/>
      <c r="K894" s="7"/>
      <c r="L894" s="7"/>
      <c r="M894" s="7"/>
      <c r="N894" s="7"/>
      <c r="O894" s="69"/>
      <c r="P894" s="69"/>
    </row>
    <row r="895" spans="5:16" x14ac:dyDescent="0.3">
      <c r="E895" s="6"/>
      <c r="F895" s="6"/>
      <c r="G895" s="6"/>
      <c r="H895" s="6"/>
      <c r="I895" s="6"/>
      <c r="J895" s="6"/>
      <c r="K895" s="7"/>
      <c r="L895" s="7"/>
      <c r="M895" s="7"/>
      <c r="N895" s="7"/>
      <c r="O895" s="69"/>
      <c r="P895" s="69"/>
    </row>
    <row r="896" spans="5:16" x14ac:dyDescent="0.3">
      <c r="E896" s="6"/>
      <c r="F896" s="6"/>
      <c r="G896" s="6"/>
      <c r="H896" s="6"/>
      <c r="I896" s="6"/>
      <c r="J896" s="6"/>
      <c r="K896" s="7"/>
      <c r="L896" s="7"/>
      <c r="M896" s="7"/>
      <c r="N896" s="7"/>
      <c r="O896" s="69"/>
      <c r="P896" s="69"/>
    </row>
    <row r="897" spans="5:16" x14ac:dyDescent="0.3">
      <c r="E897" s="6"/>
      <c r="F897" s="6"/>
      <c r="G897" s="6"/>
      <c r="H897" s="6"/>
      <c r="I897" s="6"/>
      <c r="J897" s="6"/>
      <c r="K897" s="7"/>
      <c r="L897" s="7"/>
      <c r="M897" s="7"/>
      <c r="N897" s="7"/>
      <c r="O897" s="69"/>
      <c r="P897" s="69"/>
    </row>
    <row r="898" spans="5:16" x14ac:dyDescent="0.3">
      <c r="E898" s="6"/>
      <c r="F898" s="6"/>
      <c r="G898" s="6"/>
      <c r="H898" s="6"/>
      <c r="I898" s="6"/>
      <c r="J898" s="6"/>
      <c r="K898" s="7"/>
      <c r="L898" s="7"/>
      <c r="M898" s="7"/>
      <c r="N898" s="7"/>
      <c r="O898" s="69"/>
      <c r="P898" s="69"/>
    </row>
    <row r="899" spans="5:16" x14ac:dyDescent="0.3">
      <c r="E899" s="6"/>
      <c r="F899" s="6"/>
      <c r="G899" s="6"/>
      <c r="H899" s="6"/>
      <c r="I899" s="6"/>
      <c r="J899" s="6"/>
      <c r="K899" s="7"/>
      <c r="L899" s="7"/>
      <c r="M899" s="7"/>
      <c r="N899" s="7"/>
      <c r="O899" s="69"/>
      <c r="P899" s="69"/>
    </row>
    <row r="900" spans="5:16" x14ac:dyDescent="0.3">
      <c r="E900" s="6"/>
      <c r="F900" s="6"/>
      <c r="G900" s="6"/>
      <c r="H900" s="6"/>
      <c r="I900" s="6"/>
      <c r="J900" s="6"/>
      <c r="K900" s="7"/>
      <c r="L900" s="7"/>
      <c r="M900" s="7"/>
      <c r="N900" s="7"/>
      <c r="O900" s="69"/>
      <c r="P900" s="69"/>
    </row>
    <row r="901" spans="5:16" x14ac:dyDescent="0.3">
      <c r="E901" s="6"/>
      <c r="F901" s="6"/>
      <c r="G901" s="6"/>
      <c r="H901" s="6"/>
      <c r="I901" s="6"/>
      <c r="J901" s="6"/>
      <c r="K901" s="7"/>
      <c r="L901" s="7"/>
      <c r="M901" s="7"/>
      <c r="N901" s="7"/>
      <c r="O901" s="69"/>
      <c r="P901" s="69"/>
    </row>
    <row r="902" spans="5:16" x14ac:dyDescent="0.3">
      <c r="E902" s="6"/>
      <c r="F902" s="6"/>
      <c r="G902" s="6"/>
      <c r="H902" s="6"/>
      <c r="I902" s="6"/>
      <c r="J902" s="6"/>
      <c r="K902" s="7"/>
      <c r="L902" s="7"/>
      <c r="M902" s="7"/>
      <c r="N902" s="7"/>
      <c r="O902" s="69"/>
      <c r="P902" s="69"/>
    </row>
    <row r="903" spans="5:16" x14ac:dyDescent="0.3">
      <c r="E903" s="6"/>
      <c r="F903" s="6"/>
      <c r="G903" s="6"/>
      <c r="H903" s="6"/>
      <c r="I903" s="6"/>
      <c r="J903" s="6"/>
      <c r="K903" s="7"/>
      <c r="L903" s="7"/>
      <c r="M903" s="7"/>
      <c r="N903" s="7"/>
      <c r="O903" s="69"/>
      <c r="P903" s="69"/>
    </row>
    <row r="904" spans="5:16" x14ac:dyDescent="0.3">
      <c r="E904" s="6"/>
      <c r="F904" s="6"/>
      <c r="G904" s="6"/>
      <c r="H904" s="6"/>
      <c r="I904" s="6"/>
      <c r="J904" s="6"/>
      <c r="K904" s="7"/>
      <c r="L904" s="7"/>
      <c r="M904" s="7"/>
      <c r="N904" s="7"/>
      <c r="O904" s="69"/>
      <c r="P904" s="69"/>
    </row>
    <row r="905" spans="5:16" x14ac:dyDescent="0.3">
      <c r="E905" s="6"/>
      <c r="F905" s="6"/>
      <c r="G905" s="6"/>
      <c r="H905" s="6"/>
      <c r="I905" s="6"/>
      <c r="J905" s="6"/>
      <c r="K905" s="7"/>
      <c r="L905" s="7"/>
      <c r="M905" s="7"/>
      <c r="N905" s="7"/>
      <c r="O905" s="69"/>
      <c r="P905" s="69"/>
    </row>
    <row r="906" spans="5:16" x14ac:dyDescent="0.3">
      <c r="E906" s="6"/>
      <c r="F906" s="6"/>
      <c r="G906" s="6"/>
      <c r="H906" s="6"/>
      <c r="I906" s="6"/>
      <c r="J906" s="6"/>
      <c r="K906" s="7"/>
      <c r="L906" s="7"/>
      <c r="M906" s="7"/>
      <c r="N906" s="7"/>
      <c r="O906" s="69"/>
      <c r="P906" s="69"/>
    </row>
    <row r="907" spans="5:16" x14ac:dyDescent="0.3">
      <c r="E907" s="6"/>
      <c r="F907" s="6"/>
      <c r="G907" s="6"/>
      <c r="H907" s="6"/>
      <c r="I907" s="6"/>
      <c r="J907" s="6"/>
      <c r="K907" s="7"/>
      <c r="L907" s="7"/>
      <c r="M907" s="7"/>
      <c r="N907" s="7"/>
      <c r="O907" s="69"/>
      <c r="P907" s="69"/>
    </row>
    <row r="908" spans="5:16" x14ac:dyDescent="0.3">
      <c r="E908" s="6"/>
      <c r="F908" s="6"/>
      <c r="G908" s="6"/>
      <c r="H908" s="6"/>
      <c r="I908" s="6"/>
      <c r="J908" s="6"/>
      <c r="K908" s="7"/>
      <c r="L908" s="7"/>
      <c r="M908" s="7"/>
      <c r="N908" s="7"/>
      <c r="O908" s="69"/>
      <c r="P908" s="69"/>
    </row>
    <row r="909" spans="5:16" x14ac:dyDescent="0.3">
      <c r="E909" s="6"/>
      <c r="F909" s="6"/>
      <c r="G909" s="6"/>
      <c r="H909" s="6"/>
      <c r="I909" s="6"/>
      <c r="J909" s="6"/>
      <c r="K909" s="7"/>
      <c r="L909" s="7"/>
      <c r="M909" s="7"/>
      <c r="N909" s="7"/>
      <c r="O909" s="69"/>
      <c r="P909" s="69"/>
    </row>
    <row r="910" spans="5:16" x14ac:dyDescent="0.3">
      <c r="E910" s="6"/>
      <c r="F910" s="6"/>
      <c r="G910" s="6"/>
      <c r="H910" s="6"/>
      <c r="I910" s="6"/>
      <c r="J910" s="6"/>
      <c r="K910" s="7"/>
      <c r="L910" s="7"/>
      <c r="M910" s="7"/>
      <c r="N910" s="7"/>
      <c r="O910" s="69"/>
      <c r="P910" s="69"/>
    </row>
    <row r="911" spans="5:16" x14ac:dyDescent="0.3">
      <c r="E911" s="6"/>
      <c r="F911" s="6"/>
      <c r="G911" s="6"/>
      <c r="H911" s="6"/>
      <c r="I911" s="6"/>
      <c r="J911" s="6"/>
      <c r="K911" s="7"/>
      <c r="L911" s="7"/>
      <c r="M911" s="7"/>
      <c r="N911" s="7"/>
      <c r="O911" s="69"/>
      <c r="P911" s="69"/>
    </row>
    <row r="912" spans="5:16" x14ac:dyDescent="0.3">
      <c r="E912" s="6"/>
      <c r="F912" s="6"/>
      <c r="G912" s="6"/>
      <c r="H912" s="6"/>
      <c r="I912" s="6"/>
      <c r="J912" s="6"/>
      <c r="K912" s="7"/>
      <c r="L912" s="7"/>
      <c r="M912" s="7"/>
      <c r="N912" s="7"/>
      <c r="O912" s="69"/>
      <c r="P912" s="69"/>
    </row>
    <row r="913" spans="5:16" x14ac:dyDescent="0.3">
      <c r="E913" s="6"/>
      <c r="F913" s="6"/>
      <c r="G913" s="6"/>
      <c r="H913" s="6"/>
      <c r="I913" s="6"/>
      <c r="J913" s="6"/>
      <c r="K913" s="7"/>
      <c r="L913" s="7"/>
      <c r="M913" s="7"/>
      <c r="N913" s="7"/>
      <c r="O913" s="69"/>
      <c r="P913" s="69"/>
    </row>
    <row r="914" spans="5:16" x14ac:dyDescent="0.3">
      <c r="E914" s="6"/>
      <c r="F914" s="6"/>
      <c r="G914" s="6"/>
      <c r="H914" s="6"/>
      <c r="I914" s="6"/>
      <c r="J914" s="6"/>
      <c r="K914" s="7"/>
      <c r="L914" s="7"/>
      <c r="M914" s="7"/>
      <c r="N914" s="7"/>
      <c r="O914" s="69"/>
      <c r="P914" s="69"/>
    </row>
    <row r="915" spans="5:16" x14ac:dyDescent="0.3">
      <c r="E915" s="6"/>
      <c r="F915" s="6"/>
      <c r="G915" s="6"/>
      <c r="H915" s="6"/>
      <c r="I915" s="6"/>
      <c r="J915" s="6"/>
      <c r="K915" s="7"/>
      <c r="L915" s="7"/>
      <c r="M915" s="7"/>
      <c r="N915" s="7"/>
      <c r="O915" s="69"/>
      <c r="P915" s="69"/>
    </row>
    <row r="916" spans="5:16" x14ac:dyDescent="0.3">
      <c r="E916" s="6"/>
      <c r="F916" s="6"/>
      <c r="G916" s="6"/>
      <c r="H916" s="6"/>
      <c r="I916" s="6"/>
      <c r="J916" s="6"/>
      <c r="K916" s="7"/>
      <c r="L916" s="7"/>
      <c r="M916" s="7"/>
      <c r="N916" s="7"/>
      <c r="O916" s="69"/>
      <c r="P916" s="69"/>
    </row>
    <row r="917" spans="5:16" x14ac:dyDescent="0.3">
      <c r="E917" s="6"/>
      <c r="F917" s="6"/>
      <c r="G917" s="6"/>
      <c r="H917" s="6"/>
      <c r="I917" s="6"/>
      <c r="J917" s="6"/>
      <c r="K917" s="7"/>
      <c r="L917" s="7"/>
      <c r="M917" s="7"/>
      <c r="N917" s="7"/>
      <c r="O917" s="69"/>
      <c r="P917" s="69"/>
    </row>
    <row r="918" spans="5:16" x14ac:dyDescent="0.3">
      <c r="E918" s="6"/>
      <c r="F918" s="6"/>
      <c r="G918" s="6"/>
      <c r="H918" s="6"/>
      <c r="I918" s="6"/>
      <c r="J918" s="6"/>
      <c r="K918" s="7"/>
      <c r="L918" s="7"/>
      <c r="M918" s="7"/>
      <c r="N918" s="7"/>
      <c r="O918" s="69"/>
      <c r="P918" s="69"/>
    </row>
    <row r="919" spans="5:16" x14ac:dyDescent="0.3">
      <c r="E919" s="6"/>
      <c r="F919" s="6"/>
      <c r="G919" s="6"/>
      <c r="H919" s="6"/>
      <c r="I919" s="6"/>
      <c r="J919" s="6"/>
      <c r="K919" s="7"/>
      <c r="L919" s="7"/>
      <c r="M919" s="7"/>
      <c r="N919" s="7"/>
      <c r="O919" s="69"/>
      <c r="P919" s="69"/>
    </row>
    <row r="920" spans="5:16" x14ac:dyDescent="0.3">
      <c r="E920" s="6"/>
      <c r="F920" s="6"/>
      <c r="G920" s="6"/>
      <c r="H920" s="6"/>
      <c r="I920" s="6"/>
      <c r="J920" s="6"/>
      <c r="K920" s="7"/>
      <c r="L920" s="7"/>
      <c r="M920" s="7"/>
      <c r="N920" s="7"/>
      <c r="O920" s="69"/>
      <c r="P920" s="69"/>
    </row>
    <row r="921" spans="5:16" x14ac:dyDescent="0.3">
      <c r="E921" s="6"/>
      <c r="F921" s="6"/>
      <c r="G921" s="6"/>
      <c r="H921" s="6"/>
      <c r="I921" s="6"/>
      <c r="J921" s="6"/>
      <c r="K921" s="7"/>
      <c r="L921" s="7"/>
      <c r="M921" s="7"/>
      <c r="N921" s="7"/>
      <c r="O921" s="69"/>
      <c r="P921" s="69"/>
    </row>
    <row r="922" spans="5:16" x14ac:dyDescent="0.3">
      <c r="E922" s="6"/>
      <c r="F922" s="6"/>
      <c r="G922" s="6"/>
      <c r="H922" s="6"/>
      <c r="I922" s="6"/>
      <c r="J922" s="6"/>
      <c r="K922" s="7"/>
      <c r="L922" s="7"/>
      <c r="M922" s="7"/>
      <c r="N922" s="7"/>
      <c r="O922" s="69"/>
      <c r="P922" s="69"/>
    </row>
    <row r="923" spans="5:16" x14ac:dyDescent="0.3">
      <c r="E923" s="6"/>
      <c r="F923" s="6"/>
      <c r="G923" s="6"/>
      <c r="H923" s="6"/>
      <c r="I923" s="6"/>
      <c r="J923" s="6"/>
      <c r="K923" s="7"/>
      <c r="L923" s="7"/>
      <c r="M923" s="7"/>
      <c r="N923" s="7"/>
      <c r="O923" s="69"/>
      <c r="P923" s="69"/>
    </row>
    <row r="924" spans="5:16" x14ac:dyDescent="0.3">
      <c r="E924" s="6"/>
      <c r="F924" s="6"/>
      <c r="G924" s="6"/>
      <c r="H924" s="6"/>
      <c r="I924" s="6"/>
      <c r="J924" s="6"/>
      <c r="K924" s="7"/>
      <c r="L924" s="7"/>
      <c r="M924" s="7"/>
      <c r="N924" s="7"/>
      <c r="O924" s="69"/>
      <c r="P924" s="69"/>
    </row>
    <row r="925" spans="5:16" x14ac:dyDescent="0.3">
      <c r="E925" s="6"/>
      <c r="F925" s="6"/>
      <c r="G925" s="6"/>
      <c r="H925" s="6"/>
      <c r="I925" s="6"/>
      <c r="J925" s="6"/>
      <c r="K925" s="7"/>
      <c r="L925" s="7"/>
      <c r="M925" s="7"/>
      <c r="N925" s="7"/>
      <c r="O925" s="69"/>
      <c r="P925" s="69"/>
    </row>
    <row r="926" spans="5:16" x14ac:dyDescent="0.3">
      <c r="E926" s="6"/>
      <c r="F926" s="6"/>
      <c r="G926" s="6"/>
      <c r="H926" s="6"/>
      <c r="I926" s="6"/>
      <c r="J926" s="6"/>
      <c r="K926" s="7"/>
      <c r="L926" s="7"/>
      <c r="M926" s="7"/>
      <c r="N926" s="7"/>
      <c r="O926" s="69"/>
      <c r="P926" s="69"/>
    </row>
    <row r="927" spans="5:16" x14ac:dyDescent="0.3">
      <c r="E927" s="6"/>
      <c r="F927" s="6"/>
      <c r="G927" s="6"/>
      <c r="H927" s="6"/>
      <c r="I927" s="6"/>
      <c r="J927" s="6"/>
      <c r="K927" s="7"/>
      <c r="L927" s="7"/>
      <c r="M927" s="7"/>
      <c r="N927" s="7"/>
      <c r="O927" s="69"/>
      <c r="P927" s="69"/>
    </row>
    <row r="928" spans="5:16" x14ac:dyDescent="0.3">
      <c r="E928" s="6"/>
      <c r="F928" s="6"/>
      <c r="G928" s="6"/>
      <c r="H928" s="6"/>
      <c r="I928" s="6"/>
      <c r="J928" s="6"/>
      <c r="K928" s="7"/>
      <c r="L928" s="7"/>
      <c r="M928" s="7"/>
      <c r="N928" s="7"/>
      <c r="O928" s="69"/>
      <c r="P928" s="69"/>
    </row>
    <row r="929" spans="5:16" x14ac:dyDescent="0.3">
      <c r="E929" s="6"/>
      <c r="F929" s="6"/>
      <c r="G929" s="6"/>
      <c r="H929" s="6"/>
      <c r="I929" s="6"/>
      <c r="J929" s="6"/>
      <c r="K929" s="7"/>
      <c r="L929" s="7"/>
      <c r="M929" s="7"/>
      <c r="N929" s="7"/>
      <c r="O929" s="69"/>
      <c r="P929" s="69"/>
    </row>
    <row r="930" spans="5:16" x14ac:dyDescent="0.3">
      <c r="E930" s="6"/>
      <c r="F930" s="6"/>
      <c r="G930" s="6"/>
      <c r="H930" s="6"/>
      <c r="I930" s="6"/>
      <c r="J930" s="6"/>
      <c r="K930" s="7"/>
      <c r="L930" s="7"/>
      <c r="M930" s="7"/>
      <c r="N930" s="7"/>
      <c r="O930" s="69"/>
      <c r="P930" s="69"/>
    </row>
    <row r="931" spans="5:16" x14ac:dyDescent="0.3">
      <c r="E931" s="6"/>
      <c r="F931" s="6"/>
      <c r="G931" s="6"/>
      <c r="H931" s="6"/>
      <c r="I931" s="6"/>
      <c r="J931" s="6"/>
      <c r="K931" s="7"/>
      <c r="L931" s="7"/>
      <c r="M931" s="7"/>
      <c r="N931" s="7"/>
      <c r="O931" s="69"/>
      <c r="P931" s="69"/>
    </row>
    <row r="932" spans="5:16" x14ac:dyDescent="0.3">
      <c r="E932" s="6"/>
      <c r="F932" s="6"/>
      <c r="G932" s="6"/>
      <c r="H932" s="6"/>
      <c r="I932" s="6"/>
      <c r="J932" s="6"/>
      <c r="K932" s="7"/>
      <c r="L932" s="7"/>
      <c r="M932" s="7"/>
      <c r="N932" s="7"/>
      <c r="O932" s="69"/>
      <c r="P932" s="69"/>
    </row>
    <row r="933" spans="5:16" x14ac:dyDescent="0.3">
      <c r="E933" s="6"/>
      <c r="F933" s="6"/>
      <c r="G933" s="6"/>
      <c r="H933" s="6"/>
      <c r="I933" s="6"/>
      <c r="J933" s="6"/>
      <c r="K933" s="7"/>
      <c r="L933" s="7"/>
      <c r="M933" s="7"/>
      <c r="N933" s="7"/>
      <c r="O933" s="69"/>
      <c r="P933" s="69"/>
    </row>
    <row r="934" spans="5:16" x14ac:dyDescent="0.3">
      <c r="E934" s="6"/>
      <c r="F934" s="6"/>
      <c r="G934" s="6"/>
      <c r="H934" s="6"/>
      <c r="I934" s="6"/>
      <c r="J934" s="6"/>
      <c r="K934" s="7"/>
      <c r="L934" s="7"/>
      <c r="M934" s="7"/>
      <c r="N934" s="7"/>
      <c r="O934" s="69"/>
      <c r="P934" s="69"/>
    </row>
    <row r="935" spans="5:16" x14ac:dyDescent="0.3">
      <c r="E935" s="6"/>
      <c r="F935" s="6"/>
      <c r="G935" s="6"/>
      <c r="H935" s="6"/>
      <c r="I935" s="6"/>
      <c r="J935" s="6"/>
      <c r="K935" s="7"/>
      <c r="L935" s="7"/>
      <c r="M935" s="7"/>
      <c r="N935" s="7"/>
      <c r="O935" s="69"/>
      <c r="P935" s="69"/>
    </row>
    <row r="936" spans="5:16" x14ac:dyDescent="0.3">
      <c r="E936" s="6"/>
      <c r="F936" s="6"/>
      <c r="G936" s="6"/>
      <c r="H936" s="6"/>
      <c r="I936" s="6"/>
      <c r="J936" s="6"/>
      <c r="K936" s="7"/>
      <c r="L936" s="7"/>
      <c r="M936" s="7"/>
      <c r="N936" s="7"/>
      <c r="O936" s="69"/>
      <c r="P936" s="69"/>
    </row>
    <row r="937" spans="5:16" x14ac:dyDescent="0.3">
      <c r="E937" s="6"/>
      <c r="F937" s="6"/>
      <c r="G937" s="6"/>
      <c r="H937" s="6"/>
      <c r="I937" s="6"/>
      <c r="J937" s="6"/>
      <c r="K937" s="7"/>
      <c r="L937" s="7"/>
      <c r="M937" s="7"/>
      <c r="N937" s="7"/>
      <c r="O937" s="69"/>
      <c r="P937" s="69"/>
    </row>
    <row r="938" spans="5:16" x14ac:dyDescent="0.3">
      <c r="E938" s="6"/>
      <c r="F938" s="6"/>
      <c r="G938" s="6"/>
      <c r="H938" s="6"/>
      <c r="I938" s="6"/>
      <c r="J938" s="6"/>
      <c r="K938" s="7"/>
      <c r="L938" s="7"/>
      <c r="M938" s="7"/>
      <c r="N938" s="7"/>
      <c r="O938" s="69"/>
      <c r="P938" s="69"/>
    </row>
    <row r="939" spans="5:16" x14ac:dyDescent="0.3">
      <c r="E939" s="6"/>
      <c r="F939" s="6"/>
      <c r="G939" s="6"/>
      <c r="H939" s="6"/>
      <c r="I939" s="6"/>
      <c r="J939" s="6"/>
      <c r="K939" s="7"/>
      <c r="L939" s="7"/>
      <c r="M939" s="7"/>
      <c r="N939" s="7"/>
      <c r="O939" s="69"/>
      <c r="P939" s="69"/>
    </row>
    <row r="940" spans="5:16" x14ac:dyDescent="0.3">
      <c r="E940" s="6"/>
      <c r="F940" s="6"/>
      <c r="G940" s="6"/>
      <c r="H940" s="6"/>
      <c r="I940" s="6"/>
      <c r="J940" s="6"/>
      <c r="K940" s="7"/>
      <c r="L940" s="7"/>
      <c r="M940" s="7"/>
      <c r="N940" s="7"/>
      <c r="O940" s="69"/>
      <c r="P940" s="69"/>
    </row>
    <row r="941" spans="5:16" x14ac:dyDescent="0.3">
      <c r="E941" s="6"/>
      <c r="F941" s="6"/>
      <c r="G941" s="6"/>
      <c r="H941" s="6"/>
      <c r="I941" s="6"/>
      <c r="J941" s="6"/>
      <c r="K941" s="7"/>
      <c r="L941" s="7"/>
      <c r="M941" s="7"/>
      <c r="N941" s="7"/>
      <c r="O941" s="69"/>
      <c r="P941" s="69"/>
    </row>
    <row r="942" spans="5:16" x14ac:dyDescent="0.3">
      <c r="E942" s="6"/>
      <c r="F942" s="6"/>
      <c r="G942" s="6"/>
      <c r="H942" s="6"/>
      <c r="I942" s="6"/>
      <c r="J942" s="6"/>
      <c r="K942" s="7"/>
      <c r="L942" s="7"/>
      <c r="M942" s="7"/>
      <c r="N942" s="7"/>
      <c r="O942" s="69"/>
      <c r="P942" s="69"/>
    </row>
    <row r="943" spans="5:16" x14ac:dyDescent="0.3">
      <c r="E943" s="6"/>
      <c r="F943" s="6"/>
      <c r="G943" s="6"/>
      <c r="H943" s="6"/>
      <c r="I943" s="6"/>
      <c r="J943" s="6"/>
      <c r="K943" s="7"/>
      <c r="L943" s="7"/>
      <c r="M943" s="7"/>
      <c r="N943" s="7"/>
      <c r="O943" s="69"/>
      <c r="P943" s="69"/>
    </row>
    <row r="944" spans="5:16" x14ac:dyDescent="0.3">
      <c r="E944" s="6"/>
      <c r="F944" s="6"/>
      <c r="G944" s="6"/>
      <c r="H944" s="6"/>
      <c r="I944" s="6"/>
      <c r="J944" s="6"/>
      <c r="K944" s="7"/>
      <c r="L944" s="7"/>
      <c r="M944" s="7"/>
      <c r="N944" s="7"/>
      <c r="O944" s="69"/>
      <c r="P944" s="69"/>
    </row>
    <row r="945" spans="5:16" x14ac:dyDescent="0.3">
      <c r="E945" s="6"/>
      <c r="F945" s="6"/>
      <c r="G945" s="6"/>
      <c r="H945" s="6"/>
      <c r="I945" s="6"/>
      <c r="J945" s="6"/>
      <c r="K945" s="7"/>
      <c r="L945" s="7"/>
      <c r="M945" s="7"/>
      <c r="N945" s="7"/>
      <c r="O945" s="69"/>
      <c r="P945" s="69"/>
    </row>
    <row r="946" spans="5:16" x14ac:dyDescent="0.3">
      <c r="E946" s="6"/>
      <c r="F946" s="6"/>
      <c r="G946" s="6"/>
      <c r="H946" s="6"/>
      <c r="I946" s="6"/>
      <c r="J946" s="6"/>
      <c r="K946" s="7"/>
      <c r="L946" s="7"/>
      <c r="M946" s="7"/>
      <c r="N946" s="7"/>
      <c r="O946" s="69"/>
      <c r="P946" s="69"/>
    </row>
    <row r="947" spans="5:16" x14ac:dyDescent="0.3">
      <c r="E947" s="6"/>
      <c r="F947" s="6"/>
      <c r="G947" s="6"/>
      <c r="H947" s="6"/>
      <c r="I947" s="6"/>
      <c r="J947" s="6"/>
      <c r="K947" s="7"/>
      <c r="L947" s="7"/>
      <c r="M947" s="7"/>
      <c r="N947" s="7"/>
      <c r="O947" s="69"/>
      <c r="P947" s="69"/>
    </row>
    <row r="948" spans="5:16" x14ac:dyDescent="0.3">
      <c r="E948" s="6"/>
      <c r="F948" s="6"/>
      <c r="G948" s="6"/>
      <c r="H948" s="6"/>
      <c r="I948" s="6"/>
      <c r="J948" s="6"/>
      <c r="K948" s="7"/>
      <c r="L948" s="7"/>
      <c r="M948" s="7"/>
      <c r="N948" s="7"/>
      <c r="O948" s="69"/>
      <c r="P948" s="69"/>
    </row>
    <row r="949" spans="5:16" x14ac:dyDescent="0.3">
      <c r="E949" s="6"/>
      <c r="F949" s="6"/>
      <c r="G949" s="6"/>
      <c r="H949" s="6"/>
      <c r="I949" s="6"/>
      <c r="J949" s="6"/>
      <c r="K949" s="7"/>
      <c r="L949" s="7"/>
      <c r="M949" s="7"/>
      <c r="N949" s="7"/>
      <c r="O949" s="69"/>
      <c r="P949" s="69"/>
    </row>
    <row r="950" spans="5:16" x14ac:dyDescent="0.3">
      <c r="E950" s="6"/>
      <c r="F950" s="6"/>
      <c r="G950" s="6"/>
      <c r="H950" s="6"/>
      <c r="I950" s="6"/>
      <c r="J950" s="6"/>
      <c r="K950" s="7"/>
      <c r="L950" s="7"/>
      <c r="M950" s="7"/>
      <c r="N950" s="7"/>
      <c r="O950" s="69"/>
      <c r="P950" s="69"/>
    </row>
    <row r="951" spans="5:16" x14ac:dyDescent="0.3">
      <c r="E951" s="6"/>
      <c r="F951" s="6"/>
      <c r="G951" s="6"/>
      <c r="H951" s="6"/>
      <c r="I951" s="6"/>
      <c r="J951" s="6"/>
      <c r="K951" s="7"/>
      <c r="L951" s="7"/>
      <c r="M951" s="7"/>
      <c r="N951" s="7"/>
      <c r="O951" s="69"/>
      <c r="P951" s="69"/>
    </row>
    <row r="952" spans="5:16" x14ac:dyDescent="0.3">
      <c r="E952" s="6"/>
      <c r="F952" s="6"/>
      <c r="G952" s="6"/>
      <c r="H952" s="6"/>
      <c r="I952" s="6"/>
      <c r="J952" s="6"/>
      <c r="K952" s="7"/>
      <c r="L952" s="7"/>
      <c r="M952" s="7"/>
      <c r="N952" s="7"/>
      <c r="O952" s="69"/>
      <c r="P952" s="69"/>
    </row>
    <row r="953" spans="5:16" x14ac:dyDescent="0.3">
      <c r="E953" s="6"/>
      <c r="F953" s="6"/>
      <c r="G953" s="6"/>
      <c r="H953" s="6"/>
      <c r="I953" s="6"/>
      <c r="J953" s="6"/>
      <c r="K953" s="7"/>
      <c r="L953" s="7"/>
      <c r="M953" s="7"/>
      <c r="N953" s="7"/>
      <c r="O953" s="69"/>
      <c r="P953" s="69"/>
    </row>
    <row r="954" spans="5:16" x14ac:dyDescent="0.3">
      <c r="E954" s="6"/>
      <c r="F954" s="6"/>
      <c r="G954" s="6"/>
      <c r="H954" s="6"/>
      <c r="I954" s="6"/>
      <c r="J954" s="6"/>
      <c r="K954" s="7"/>
      <c r="L954" s="7"/>
      <c r="M954" s="7"/>
      <c r="N954" s="7"/>
      <c r="O954" s="69"/>
      <c r="P954" s="69"/>
    </row>
    <row r="955" spans="5:16" x14ac:dyDescent="0.3">
      <c r="E955" s="6"/>
      <c r="F955" s="6"/>
      <c r="G955" s="6"/>
      <c r="H955" s="6"/>
      <c r="I955" s="6"/>
      <c r="J955" s="6"/>
      <c r="K955" s="7"/>
      <c r="L955" s="7"/>
      <c r="M955" s="7"/>
      <c r="N955" s="7"/>
      <c r="O955" s="69"/>
      <c r="P955" s="69"/>
    </row>
    <row r="956" spans="5:16" x14ac:dyDescent="0.3">
      <c r="E956" s="6"/>
      <c r="F956" s="6"/>
      <c r="G956" s="6"/>
      <c r="H956" s="6"/>
      <c r="I956" s="6"/>
      <c r="J956" s="6"/>
      <c r="K956" s="7"/>
      <c r="L956" s="7"/>
      <c r="M956" s="7"/>
      <c r="N956" s="7"/>
      <c r="O956" s="69"/>
      <c r="P956" s="69"/>
    </row>
    <row r="957" spans="5:16" x14ac:dyDescent="0.3">
      <c r="E957" s="6"/>
      <c r="F957" s="6"/>
      <c r="G957" s="6"/>
      <c r="H957" s="6"/>
      <c r="I957" s="6"/>
      <c r="J957" s="6"/>
      <c r="K957" s="7"/>
      <c r="L957" s="7"/>
      <c r="M957" s="7"/>
      <c r="N957" s="7"/>
      <c r="O957" s="69"/>
      <c r="P957" s="69"/>
    </row>
    <row r="958" spans="5:16" x14ac:dyDescent="0.3">
      <c r="E958" s="6"/>
      <c r="F958" s="6"/>
      <c r="G958" s="6"/>
      <c r="H958" s="6"/>
      <c r="I958" s="6"/>
      <c r="J958" s="6"/>
      <c r="K958" s="7"/>
      <c r="L958" s="7"/>
      <c r="M958" s="7"/>
      <c r="N958" s="7"/>
      <c r="O958" s="69"/>
      <c r="P958" s="69"/>
    </row>
    <row r="959" spans="5:16" x14ac:dyDescent="0.3">
      <c r="E959" s="6"/>
      <c r="F959" s="6"/>
      <c r="G959" s="6"/>
      <c r="H959" s="6"/>
      <c r="I959" s="6"/>
      <c r="J959" s="6"/>
      <c r="K959" s="7"/>
      <c r="L959" s="7"/>
      <c r="M959" s="7"/>
      <c r="N959" s="7"/>
      <c r="O959" s="69"/>
      <c r="P959" s="69"/>
    </row>
    <row r="960" spans="5:16" x14ac:dyDescent="0.3">
      <c r="E960" s="6"/>
      <c r="F960" s="6"/>
      <c r="G960" s="6"/>
      <c r="H960" s="6"/>
      <c r="I960" s="6"/>
      <c r="J960" s="6"/>
      <c r="K960" s="7"/>
      <c r="L960" s="7"/>
      <c r="M960" s="7"/>
      <c r="N960" s="7"/>
      <c r="O960" s="69"/>
      <c r="P960" s="69"/>
    </row>
    <row r="961" spans="5:16" x14ac:dyDescent="0.3">
      <c r="E961" s="6"/>
      <c r="F961" s="6"/>
      <c r="G961" s="6"/>
      <c r="H961" s="6"/>
      <c r="I961" s="6"/>
      <c r="J961" s="6"/>
      <c r="K961" s="7"/>
      <c r="L961" s="7"/>
      <c r="M961" s="7"/>
      <c r="N961" s="7"/>
      <c r="O961" s="69"/>
      <c r="P961" s="69"/>
    </row>
    <row r="962" spans="5:16" x14ac:dyDescent="0.3">
      <c r="E962" s="6"/>
      <c r="F962" s="6"/>
      <c r="G962" s="6"/>
      <c r="H962" s="6"/>
      <c r="I962" s="6"/>
      <c r="J962" s="6"/>
      <c r="K962" s="7"/>
      <c r="L962" s="7"/>
      <c r="M962" s="7"/>
      <c r="N962" s="7"/>
      <c r="O962" s="69"/>
      <c r="P962" s="69"/>
    </row>
    <row r="963" spans="5:16" x14ac:dyDescent="0.3">
      <c r="E963" s="6"/>
      <c r="F963" s="6"/>
      <c r="G963" s="6"/>
      <c r="H963" s="6"/>
      <c r="I963" s="6"/>
      <c r="J963" s="6"/>
      <c r="K963" s="7"/>
      <c r="L963" s="7"/>
      <c r="M963" s="7"/>
      <c r="N963" s="7"/>
      <c r="O963" s="69"/>
      <c r="P963" s="69"/>
    </row>
    <row r="964" spans="5:16" x14ac:dyDescent="0.3">
      <c r="E964" s="6"/>
      <c r="F964" s="6"/>
      <c r="G964" s="6"/>
      <c r="H964" s="6"/>
      <c r="I964" s="6"/>
      <c r="J964" s="6"/>
      <c r="K964" s="7"/>
      <c r="L964" s="7"/>
      <c r="M964" s="7"/>
      <c r="N964" s="7"/>
      <c r="O964" s="69"/>
      <c r="P964" s="69"/>
    </row>
  </sheetData>
  <phoneticPr fontId="2" type="noConversion"/>
  <conditionalFormatting sqref="B59:B61">
    <cfRule type="duplicateValues" dxfId="32" priority="1077"/>
  </conditionalFormatting>
  <conditionalFormatting sqref="B79:B1048576 B1:B71">
    <cfRule type="duplicateValues" dxfId="31" priority="1"/>
  </conditionalFormatting>
  <conditionalFormatting sqref="B80:D81 B79 B1:D6 B7:B61 B101:D1048576">
    <cfRule type="duplicateValues" dxfId="30" priority="383"/>
  </conditionalFormatting>
  <conditionalFormatting sqref="B80:D81 B1:D6 B101:D1048576 B7:B79">
    <cfRule type="duplicateValues" dxfId="29" priority="147"/>
  </conditionalFormatting>
  <pageMargins left="0.7" right="0.7" top="0.75" bottom="0.75" header="0.3" footer="0.3"/>
  <pageSetup scale="10" orientation="portrait" errors="blank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B637-755E-4613-8EEF-A31AD1DCC3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D7C5-6EED-423A-B380-B01B600F5A9B}">
  <dimension ref="A2:M322"/>
  <sheetViews>
    <sheetView zoomScale="90" zoomScaleNormal="90" workbookViewId="0">
      <selection activeCell="B7" sqref="B7"/>
    </sheetView>
  </sheetViews>
  <sheetFormatPr defaultRowHeight="14.4" x14ac:dyDescent="0.3"/>
  <cols>
    <col min="1" max="1" width="5.44140625" customWidth="1"/>
    <col min="2" max="5" width="13.21875" customWidth="1"/>
    <col min="6" max="6" width="15.5546875" customWidth="1"/>
    <col min="7" max="7" width="10.21875" customWidth="1"/>
    <col min="8" max="9" width="23.44140625" customWidth="1"/>
    <col min="10" max="10" width="18.77734375" customWidth="1"/>
    <col min="11" max="11" width="18.44140625" customWidth="1"/>
    <col min="12" max="12" width="19.21875" customWidth="1"/>
    <col min="13" max="13" width="13.44140625" customWidth="1"/>
  </cols>
  <sheetData>
    <row r="2" spans="1:13" ht="15.6" x14ac:dyDescent="0.3">
      <c r="D2" s="14" t="s">
        <v>288</v>
      </c>
      <c r="E2" s="14"/>
      <c r="F2" s="14"/>
    </row>
    <row r="3" spans="1:13" ht="15.6" x14ac:dyDescent="0.3">
      <c r="D3" s="14"/>
      <c r="E3" s="14" t="s">
        <v>289</v>
      </c>
      <c r="F3" s="14"/>
    </row>
    <row r="4" spans="1:13" ht="15.6" x14ac:dyDescent="0.3">
      <c r="D4" s="14"/>
      <c r="E4" s="14" t="s">
        <v>290</v>
      </c>
      <c r="F4" s="14"/>
    </row>
    <row r="5" spans="1:13" ht="15.6" x14ac:dyDescent="0.3">
      <c r="D5" s="14"/>
      <c r="E5" s="14" t="s">
        <v>291</v>
      </c>
      <c r="F5" s="14"/>
    </row>
    <row r="6" spans="1:13" ht="16.2" thickBot="1" x14ac:dyDescent="0.35">
      <c r="D6" s="14"/>
      <c r="E6" s="14"/>
      <c r="F6" s="14"/>
    </row>
    <row r="7" spans="1:13" ht="31.8" customHeight="1" thickBot="1" x14ac:dyDescent="0.35">
      <c r="A7" s="31" t="s">
        <v>11</v>
      </c>
      <c r="B7" s="32" t="s">
        <v>14</v>
      </c>
      <c r="C7" s="32" t="s">
        <v>292</v>
      </c>
      <c r="D7" s="32" t="s">
        <v>293</v>
      </c>
      <c r="E7" s="33" t="s">
        <v>294</v>
      </c>
      <c r="F7" s="33" t="s">
        <v>295</v>
      </c>
      <c r="G7" s="32" t="s">
        <v>296</v>
      </c>
      <c r="H7" s="32" t="s">
        <v>297</v>
      </c>
      <c r="I7" s="32" t="s">
        <v>25</v>
      </c>
      <c r="J7" s="32" t="s">
        <v>298</v>
      </c>
      <c r="K7" s="32" t="s">
        <v>27</v>
      </c>
      <c r="L7" s="32" t="s">
        <v>28</v>
      </c>
      <c r="M7" s="34" t="s">
        <v>299</v>
      </c>
    </row>
    <row r="8" spans="1:13" ht="15" customHeight="1" x14ac:dyDescent="0.3">
      <c r="A8" s="26">
        <v>1</v>
      </c>
      <c r="B8" s="27" t="s">
        <v>300</v>
      </c>
      <c r="C8" s="27" t="s">
        <v>301</v>
      </c>
      <c r="D8" s="28" t="s">
        <v>302</v>
      </c>
      <c r="E8" s="29">
        <v>10560</v>
      </c>
      <c r="F8" s="29">
        <f t="shared" ref="F8:F71" si="0">E8*22</f>
        <v>232320</v>
      </c>
      <c r="G8" s="35" t="s">
        <v>34</v>
      </c>
      <c r="H8" s="30">
        <f>F8*12</f>
        <v>2787840</v>
      </c>
      <c r="I8" s="30">
        <f>H8*3</f>
        <v>8363520</v>
      </c>
      <c r="J8" s="30">
        <v>50000</v>
      </c>
      <c r="K8" s="30">
        <v>250000</v>
      </c>
      <c r="L8" s="30">
        <v>50000</v>
      </c>
      <c r="M8" s="30">
        <f>I8*6/1000</f>
        <v>50181.120000000003</v>
      </c>
    </row>
    <row r="9" spans="1:13" ht="15" customHeight="1" x14ac:dyDescent="0.3">
      <c r="A9" s="22">
        <v>2</v>
      </c>
      <c r="B9" s="23" t="s">
        <v>303</v>
      </c>
      <c r="C9" s="23" t="s">
        <v>65</v>
      </c>
      <c r="D9" s="24" t="s">
        <v>304</v>
      </c>
      <c r="E9" s="25">
        <v>9240</v>
      </c>
      <c r="F9" s="25">
        <f t="shared" si="0"/>
        <v>203280</v>
      </c>
      <c r="G9" s="36" t="s">
        <v>34</v>
      </c>
      <c r="H9" s="15">
        <f t="shared" ref="H9:H72" si="1">F9*12</f>
        <v>2439360</v>
      </c>
      <c r="I9" s="15">
        <f t="shared" ref="I9:I72" si="2">H9*3</f>
        <v>7318080</v>
      </c>
      <c r="J9" s="15">
        <v>50000</v>
      </c>
      <c r="K9" s="15">
        <v>250000</v>
      </c>
      <c r="L9" s="15">
        <v>50000</v>
      </c>
      <c r="M9" s="15">
        <f t="shared" ref="M9:M72" si="3">I9*6/1000</f>
        <v>43908.480000000003</v>
      </c>
    </row>
    <row r="10" spans="1:13" ht="15" customHeight="1" x14ac:dyDescent="0.3">
      <c r="A10" s="22">
        <v>3</v>
      </c>
      <c r="B10" s="23" t="s">
        <v>305</v>
      </c>
      <c r="C10" s="23" t="s">
        <v>306</v>
      </c>
      <c r="D10" s="24" t="s">
        <v>307</v>
      </c>
      <c r="E10" s="25">
        <v>7260</v>
      </c>
      <c r="F10" s="25">
        <f t="shared" si="0"/>
        <v>159720</v>
      </c>
      <c r="G10" s="36" t="s">
        <v>34</v>
      </c>
      <c r="H10" s="15">
        <f t="shared" si="1"/>
        <v>1916640</v>
      </c>
      <c r="I10" s="15">
        <f t="shared" si="2"/>
        <v>5749920</v>
      </c>
      <c r="J10" s="15">
        <v>50000</v>
      </c>
      <c r="K10" s="15">
        <v>250000</v>
      </c>
      <c r="L10" s="15">
        <v>50000</v>
      </c>
      <c r="M10" s="15">
        <f t="shared" si="3"/>
        <v>34499.519999999997</v>
      </c>
    </row>
    <row r="11" spans="1:13" ht="15" customHeight="1" x14ac:dyDescent="0.3">
      <c r="A11" s="22">
        <v>4</v>
      </c>
      <c r="B11" s="23" t="s">
        <v>308</v>
      </c>
      <c r="C11" s="23" t="s">
        <v>309</v>
      </c>
      <c r="D11" s="24" t="s">
        <v>310</v>
      </c>
      <c r="E11" s="25">
        <v>6600</v>
      </c>
      <c r="F11" s="25">
        <f t="shared" si="0"/>
        <v>145200</v>
      </c>
      <c r="G11" s="36" t="s">
        <v>34</v>
      </c>
      <c r="H11" s="15">
        <f t="shared" si="1"/>
        <v>1742400</v>
      </c>
      <c r="I11" s="15">
        <f t="shared" si="2"/>
        <v>5227200</v>
      </c>
      <c r="J11" s="15">
        <v>50000</v>
      </c>
      <c r="K11" s="15">
        <v>250000</v>
      </c>
      <c r="L11" s="15">
        <v>50000</v>
      </c>
      <c r="M11" s="15">
        <f t="shared" si="3"/>
        <v>31363.200000000001</v>
      </c>
    </row>
    <row r="12" spans="1:13" ht="15" customHeight="1" x14ac:dyDescent="0.3">
      <c r="A12" s="22">
        <v>5</v>
      </c>
      <c r="B12" s="23" t="s">
        <v>311</v>
      </c>
      <c r="C12" s="23" t="s">
        <v>312</v>
      </c>
      <c r="D12" s="24" t="s">
        <v>313</v>
      </c>
      <c r="E12" s="25">
        <v>9900</v>
      </c>
      <c r="F12" s="25">
        <f t="shared" si="0"/>
        <v>217800</v>
      </c>
      <c r="G12" s="36" t="s">
        <v>34</v>
      </c>
      <c r="H12" s="15">
        <f t="shared" si="1"/>
        <v>2613600</v>
      </c>
      <c r="I12" s="15">
        <f t="shared" si="2"/>
        <v>7840800</v>
      </c>
      <c r="J12" s="15">
        <v>50000</v>
      </c>
      <c r="K12" s="15">
        <v>250000</v>
      </c>
      <c r="L12" s="15">
        <v>50000</v>
      </c>
      <c r="M12" s="15">
        <f t="shared" si="3"/>
        <v>47044.800000000003</v>
      </c>
    </row>
    <row r="13" spans="1:13" ht="15" customHeight="1" x14ac:dyDescent="0.3">
      <c r="A13" s="22">
        <v>6</v>
      </c>
      <c r="B13" s="23" t="s">
        <v>314</v>
      </c>
      <c r="C13" s="23" t="s">
        <v>315</v>
      </c>
      <c r="D13" s="24" t="s">
        <v>316</v>
      </c>
      <c r="E13" s="25">
        <v>11880</v>
      </c>
      <c r="F13" s="25">
        <f t="shared" si="0"/>
        <v>261360</v>
      </c>
      <c r="G13" s="36" t="s">
        <v>34</v>
      </c>
      <c r="H13" s="15">
        <f t="shared" si="1"/>
        <v>3136320</v>
      </c>
      <c r="I13" s="15">
        <f t="shared" si="2"/>
        <v>9408960</v>
      </c>
      <c r="J13" s="15">
        <v>50000</v>
      </c>
      <c r="K13" s="15">
        <v>250000</v>
      </c>
      <c r="L13" s="15">
        <v>50000</v>
      </c>
      <c r="M13" s="15">
        <f t="shared" si="3"/>
        <v>56453.760000000002</v>
      </c>
    </row>
    <row r="14" spans="1:13" ht="15" customHeight="1" x14ac:dyDescent="0.3">
      <c r="A14" s="22">
        <v>7</v>
      </c>
      <c r="B14" s="23" t="s">
        <v>301</v>
      </c>
      <c r="C14" s="23" t="s">
        <v>317</v>
      </c>
      <c r="D14" s="24" t="s">
        <v>318</v>
      </c>
      <c r="E14" s="25">
        <v>10560</v>
      </c>
      <c r="F14" s="25">
        <f t="shared" si="0"/>
        <v>232320</v>
      </c>
      <c r="G14" s="36" t="s">
        <v>34</v>
      </c>
      <c r="H14" s="15">
        <f t="shared" si="1"/>
        <v>2787840</v>
      </c>
      <c r="I14" s="15">
        <f t="shared" si="2"/>
        <v>8363520</v>
      </c>
      <c r="J14" s="15">
        <v>50000</v>
      </c>
      <c r="K14" s="15">
        <v>250000</v>
      </c>
      <c r="L14" s="15">
        <v>50000</v>
      </c>
      <c r="M14" s="15">
        <f t="shared" si="3"/>
        <v>50181.120000000003</v>
      </c>
    </row>
    <row r="15" spans="1:13" ht="15" customHeight="1" x14ac:dyDescent="0.3">
      <c r="A15" s="22">
        <v>8</v>
      </c>
      <c r="B15" s="23" t="s">
        <v>319</v>
      </c>
      <c r="C15" s="23" t="s">
        <v>320</v>
      </c>
      <c r="D15" s="24" t="s">
        <v>310</v>
      </c>
      <c r="E15" s="25">
        <v>6600</v>
      </c>
      <c r="F15" s="25">
        <f t="shared" si="0"/>
        <v>145200</v>
      </c>
      <c r="G15" s="36" t="s">
        <v>34</v>
      </c>
      <c r="H15" s="15">
        <f t="shared" si="1"/>
        <v>1742400</v>
      </c>
      <c r="I15" s="15">
        <f t="shared" si="2"/>
        <v>5227200</v>
      </c>
      <c r="J15" s="15">
        <v>50000</v>
      </c>
      <c r="K15" s="15">
        <v>250000</v>
      </c>
      <c r="L15" s="15">
        <v>50000</v>
      </c>
      <c r="M15" s="15">
        <f t="shared" si="3"/>
        <v>31363.200000000001</v>
      </c>
    </row>
    <row r="16" spans="1:13" ht="15" customHeight="1" x14ac:dyDescent="0.3">
      <c r="A16" s="22">
        <v>9</v>
      </c>
      <c r="B16" s="23" t="s">
        <v>321</v>
      </c>
      <c r="C16" s="23" t="s">
        <v>322</v>
      </c>
      <c r="D16" s="24" t="s">
        <v>323</v>
      </c>
      <c r="E16" s="25">
        <v>11880</v>
      </c>
      <c r="F16" s="25">
        <f t="shared" si="0"/>
        <v>261360</v>
      </c>
      <c r="G16" s="36" t="s">
        <v>34</v>
      </c>
      <c r="H16" s="15">
        <f t="shared" si="1"/>
        <v>3136320</v>
      </c>
      <c r="I16" s="15">
        <f t="shared" si="2"/>
        <v>9408960</v>
      </c>
      <c r="J16" s="15">
        <v>50000</v>
      </c>
      <c r="K16" s="15">
        <v>250000</v>
      </c>
      <c r="L16" s="15">
        <v>50000</v>
      </c>
      <c r="M16" s="15">
        <f t="shared" si="3"/>
        <v>56453.760000000002</v>
      </c>
    </row>
    <row r="17" spans="1:13" ht="15" customHeight="1" x14ac:dyDescent="0.3">
      <c r="A17" s="22">
        <v>10</v>
      </c>
      <c r="B17" s="23" t="s">
        <v>324</v>
      </c>
      <c r="C17" s="23" t="s">
        <v>325</v>
      </c>
      <c r="D17" s="24" t="s">
        <v>326</v>
      </c>
      <c r="E17" s="25">
        <v>13200</v>
      </c>
      <c r="F17" s="25">
        <f t="shared" si="0"/>
        <v>290400</v>
      </c>
      <c r="G17" s="36" t="s">
        <v>34</v>
      </c>
      <c r="H17" s="15">
        <f t="shared" si="1"/>
        <v>3484800</v>
      </c>
      <c r="I17" s="15">
        <f t="shared" si="2"/>
        <v>10454400</v>
      </c>
      <c r="J17" s="15">
        <v>50000</v>
      </c>
      <c r="K17" s="15">
        <v>250000</v>
      </c>
      <c r="L17" s="15">
        <v>50000</v>
      </c>
      <c r="M17" s="15">
        <f t="shared" si="3"/>
        <v>62726.400000000001</v>
      </c>
    </row>
    <row r="18" spans="1:13" ht="15" customHeight="1" x14ac:dyDescent="0.3">
      <c r="A18" s="22">
        <v>11</v>
      </c>
      <c r="B18" s="23" t="s">
        <v>327</v>
      </c>
      <c r="C18" s="23" t="s">
        <v>328</v>
      </c>
      <c r="D18" s="24" t="s">
        <v>329</v>
      </c>
      <c r="E18" s="25">
        <v>7260</v>
      </c>
      <c r="F18" s="25">
        <f t="shared" si="0"/>
        <v>159720</v>
      </c>
      <c r="G18" s="36" t="s">
        <v>34</v>
      </c>
      <c r="H18" s="15">
        <f t="shared" si="1"/>
        <v>1916640</v>
      </c>
      <c r="I18" s="15">
        <f t="shared" si="2"/>
        <v>5749920</v>
      </c>
      <c r="J18" s="15">
        <v>50000</v>
      </c>
      <c r="K18" s="15">
        <v>250000</v>
      </c>
      <c r="L18" s="15">
        <v>50000</v>
      </c>
      <c r="M18" s="15">
        <f t="shared" si="3"/>
        <v>34499.519999999997</v>
      </c>
    </row>
    <row r="19" spans="1:13" ht="15" customHeight="1" x14ac:dyDescent="0.3">
      <c r="A19" s="22">
        <v>12</v>
      </c>
      <c r="B19" s="23" t="s">
        <v>330</v>
      </c>
      <c r="C19" s="23" t="s">
        <v>331</v>
      </c>
      <c r="D19" s="24" t="s">
        <v>332</v>
      </c>
      <c r="E19" s="25">
        <v>9240</v>
      </c>
      <c r="F19" s="25">
        <f t="shared" si="0"/>
        <v>203280</v>
      </c>
      <c r="G19" s="36" t="s">
        <v>34</v>
      </c>
      <c r="H19" s="15">
        <f t="shared" si="1"/>
        <v>2439360</v>
      </c>
      <c r="I19" s="15">
        <f t="shared" si="2"/>
        <v>7318080</v>
      </c>
      <c r="J19" s="15">
        <v>50000</v>
      </c>
      <c r="K19" s="15">
        <v>250000</v>
      </c>
      <c r="L19" s="15">
        <v>50000</v>
      </c>
      <c r="M19" s="15">
        <f t="shared" si="3"/>
        <v>43908.480000000003</v>
      </c>
    </row>
    <row r="20" spans="1:13" ht="15" customHeight="1" x14ac:dyDescent="0.3">
      <c r="A20" s="22">
        <v>13</v>
      </c>
      <c r="B20" s="23" t="s">
        <v>333</v>
      </c>
      <c r="C20" s="23" t="s">
        <v>334</v>
      </c>
      <c r="D20" s="24" t="s">
        <v>335</v>
      </c>
      <c r="E20" s="25">
        <v>6600</v>
      </c>
      <c r="F20" s="25">
        <f t="shared" si="0"/>
        <v>145200</v>
      </c>
      <c r="G20" s="36" t="s">
        <v>34</v>
      </c>
      <c r="H20" s="15">
        <f t="shared" si="1"/>
        <v>1742400</v>
      </c>
      <c r="I20" s="15">
        <f t="shared" si="2"/>
        <v>5227200</v>
      </c>
      <c r="J20" s="15">
        <v>50000</v>
      </c>
      <c r="K20" s="15">
        <v>250000</v>
      </c>
      <c r="L20" s="15">
        <v>50000</v>
      </c>
      <c r="M20" s="15">
        <f t="shared" si="3"/>
        <v>31363.200000000001</v>
      </c>
    </row>
    <row r="21" spans="1:13" ht="15" customHeight="1" x14ac:dyDescent="0.3">
      <c r="A21" s="22">
        <v>14</v>
      </c>
      <c r="B21" s="23" t="s">
        <v>223</v>
      </c>
      <c r="C21" s="23" t="s">
        <v>336</v>
      </c>
      <c r="D21" s="24" t="s">
        <v>337</v>
      </c>
      <c r="E21" s="25">
        <v>7260</v>
      </c>
      <c r="F21" s="25">
        <f t="shared" si="0"/>
        <v>159720</v>
      </c>
      <c r="G21" s="36" t="s">
        <v>34</v>
      </c>
      <c r="H21" s="15">
        <f t="shared" si="1"/>
        <v>1916640</v>
      </c>
      <c r="I21" s="15">
        <f t="shared" si="2"/>
        <v>5749920</v>
      </c>
      <c r="J21" s="15">
        <v>50000</v>
      </c>
      <c r="K21" s="15">
        <v>250000</v>
      </c>
      <c r="L21" s="15">
        <v>50000</v>
      </c>
      <c r="M21" s="15">
        <f t="shared" si="3"/>
        <v>34499.519999999997</v>
      </c>
    </row>
    <row r="22" spans="1:13" ht="15" customHeight="1" x14ac:dyDescent="0.3">
      <c r="A22" s="22">
        <v>15</v>
      </c>
      <c r="B22" s="23" t="s">
        <v>338</v>
      </c>
      <c r="C22" s="23" t="s">
        <v>339</v>
      </c>
      <c r="D22" s="24" t="s">
        <v>340</v>
      </c>
      <c r="E22" s="25">
        <v>16800</v>
      </c>
      <c r="F22" s="25">
        <f t="shared" si="0"/>
        <v>369600</v>
      </c>
      <c r="G22" s="36" t="s">
        <v>34</v>
      </c>
      <c r="H22" s="15">
        <f t="shared" si="1"/>
        <v>4435200</v>
      </c>
      <c r="I22" s="15">
        <f t="shared" si="2"/>
        <v>13305600</v>
      </c>
      <c r="J22" s="15">
        <v>50000</v>
      </c>
      <c r="K22" s="15">
        <v>250000</v>
      </c>
      <c r="L22" s="15">
        <v>50000</v>
      </c>
      <c r="M22" s="15">
        <f t="shared" si="3"/>
        <v>79833.600000000006</v>
      </c>
    </row>
    <row r="23" spans="1:13" ht="15" customHeight="1" x14ac:dyDescent="0.3">
      <c r="A23" s="22">
        <v>16</v>
      </c>
      <c r="B23" s="23" t="s">
        <v>341</v>
      </c>
      <c r="C23" s="23" t="s">
        <v>342</v>
      </c>
      <c r="D23" s="24" t="s">
        <v>343</v>
      </c>
      <c r="E23" s="25">
        <v>15840</v>
      </c>
      <c r="F23" s="25">
        <f t="shared" si="0"/>
        <v>348480</v>
      </c>
      <c r="G23" s="36" t="s">
        <v>34</v>
      </c>
      <c r="H23" s="15">
        <f t="shared" si="1"/>
        <v>4181760</v>
      </c>
      <c r="I23" s="15">
        <f t="shared" si="2"/>
        <v>12545280</v>
      </c>
      <c r="J23" s="15">
        <v>50000</v>
      </c>
      <c r="K23" s="15">
        <v>250000</v>
      </c>
      <c r="L23" s="15">
        <v>50000</v>
      </c>
      <c r="M23" s="15">
        <f t="shared" si="3"/>
        <v>75271.679999999993</v>
      </c>
    </row>
    <row r="24" spans="1:13" ht="15" customHeight="1" x14ac:dyDescent="0.3">
      <c r="A24" s="22">
        <v>17</v>
      </c>
      <c r="B24" s="23" t="s">
        <v>344</v>
      </c>
      <c r="C24" s="23" t="s">
        <v>345</v>
      </c>
      <c r="D24" s="24" t="s">
        <v>346</v>
      </c>
      <c r="E24" s="25">
        <v>10560</v>
      </c>
      <c r="F24" s="25">
        <f t="shared" si="0"/>
        <v>232320</v>
      </c>
      <c r="G24" s="36" t="s">
        <v>34</v>
      </c>
      <c r="H24" s="15">
        <f t="shared" si="1"/>
        <v>2787840</v>
      </c>
      <c r="I24" s="15">
        <f t="shared" si="2"/>
        <v>8363520</v>
      </c>
      <c r="J24" s="15">
        <v>50000</v>
      </c>
      <c r="K24" s="15">
        <v>250000</v>
      </c>
      <c r="L24" s="15">
        <v>50000</v>
      </c>
      <c r="M24" s="15">
        <f t="shared" si="3"/>
        <v>50181.120000000003</v>
      </c>
    </row>
    <row r="25" spans="1:13" ht="15" customHeight="1" x14ac:dyDescent="0.3">
      <c r="A25" s="22">
        <v>18</v>
      </c>
      <c r="B25" s="23" t="s">
        <v>347</v>
      </c>
      <c r="C25" s="23" t="s">
        <v>348</v>
      </c>
      <c r="D25" s="24" t="s">
        <v>346</v>
      </c>
      <c r="E25" s="25">
        <v>14520</v>
      </c>
      <c r="F25" s="25">
        <f t="shared" si="0"/>
        <v>319440</v>
      </c>
      <c r="G25" s="36" t="s">
        <v>34</v>
      </c>
      <c r="H25" s="15">
        <f t="shared" si="1"/>
        <v>3833280</v>
      </c>
      <c r="I25" s="15">
        <f t="shared" si="2"/>
        <v>11499840</v>
      </c>
      <c r="J25" s="15">
        <v>50000</v>
      </c>
      <c r="K25" s="15">
        <v>250000</v>
      </c>
      <c r="L25" s="15">
        <v>50000</v>
      </c>
      <c r="M25" s="15">
        <f t="shared" si="3"/>
        <v>68999.039999999994</v>
      </c>
    </row>
    <row r="26" spans="1:13" ht="15" customHeight="1" x14ac:dyDescent="0.3">
      <c r="A26" s="22">
        <v>19</v>
      </c>
      <c r="B26" s="23" t="s">
        <v>73</v>
      </c>
      <c r="C26" s="23" t="s">
        <v>349</v>
      </c>
      <c r="D26" s="24" t="s">
        <v>350</v>
      </c>
      <c r="E26" s="25">
        <v>10560</v>
      </c>
      <c r="F26" s="25">
        <f t="shared" si="0"/>
        <v>232320</v>
      </c>
      <c r="G26" s="36" t="s">
        <v>34</v>
      </c>
      <c r="H26" s="15">
        <f t="shared" si="1"/>
        <v>2787840</v>
      </c>
      <c r="I26" s="15">
        <f t="shared" si="2"/>
        <v>8363520</v>
      </c>
      <c r="J26" s="15">
        <v>50000</v>
      </c>
      <c r="K26" s="15">
        <v>250000</v>
      </c>
      <c r="L26" s="15">
        <v>50000</v>
      </c>
      <c r="M26" s="15">
        <f t="shared" si="3"/>
        <v>50181.120000000003</v>
      </c>
    </row>
    <row r="27" spans="1:13" ht="15" customHeight="1" x14ac:dyDescent="0.3">
      <c r="A27" s="22">
        <v>20</v>
      </c>
      <c r="B27" s="23" t="s">
        <v>165</v>
      </c>
      <c r="C27" s="23" t="s">
        <v>351</v>
      </c>
      <c r="D27" s="24" t="s">
        <v>47</v>
      </c>
      <c r="E27" s="25">
        <v>7260</v>
      </c>
      <c r="F27" s="25">
        <f t="shared" si="0"/>
        <v>159720</v>
      </c>
      <c r="G27" s="36" t="s">
        <v>34</v>
      </c>
      <c r="H27" s="15">
        <f t="shared" si="1"/>
        <v>1916640</v>
      </c>
      <c r="I27" s="15">
        <f t="shared" si="2"/>
        <v>5749920</v>
      </c>
      <c r="J27" s="15">
        <v>50000</v>
      </c>
      <c r="K27" s="15">
        <v>250000</v>
      </c>
      <c r="L27" s="15">
        <v>50000</v>
      </c>
      <c r="M27" s="15">
        <f t="shared" si="3"/>
        <v>34499.519999999997</v>
      </c>
    </row>
    <row r="28" spans="1:13" ht="15" customHeight="1" x14ac:dyDescent="0.3">
      <c r="A28" s="22">
        <v>21</v>
      </c>
      <c r="B28" s="23" t="s">
        <v>352</v>
      </c>
      <c r="C28" s="23" t="s">
        <v>353</v>
      </c>
      <c r="D28" s="24" t="s">
        <v>310</v>
      </c>
      <c r="E28" s="25">
        <v>6600</v>
      </c>
      <c r="F28" s="25">
        <f t="shared" si="0"/>
        <v>145200</v>
      </c>
      <c r="G28" s="36" t="s">
        <v>34</v>
      </c>
      <c r="H28" s="15">
        <f t="shared" si="1"/>
        <v>1742400</v>
      </c>
      <c r="I28" s="15">
        <f t="shared" si="2"/>
        <v>5227200</v>
      </c>
      <c r="J28" s="15">
        <v>50000</v>
      </c>
      <c r="K28" s="15">
        <v>250000</v>
      </c>
      <c r="L28" s="15">
        <v>50000</v>
      </c>
      <c r="M28" s="15">
        <f t="shared" si="3"/>
        <v>31363.200000000001</v>
      </c>
    </row>
    <row r="29" spans="1:13" ht="15" customHeight="1" x14ac:dyDescent="0.3">
      <c r="A29" s="22">
        <v>22</v>
      </c>
      <c r="B29" s="23" t="s">
        <v>102</v>
      </c>
      <c r="C29" s="23" t="s">
        <v>330</v>
      </c>
      <c r="D29" s="24" t="s">
        <v>354</v>
      </c>
      <c r="E29" s="25">
        <v>6600</v>
      </c>
      <c r="F29" s="25">
        <f t="shared" si="0"/>
        <v>145200</v>
      </c>
      <c r="G29" s="36" t="s">
        <v>34</v>
      </c>
      <c r="H29" s="15">
        <f t="shared" si="1"/>
        <v>1742400</v>
      </c>
      <c r="I29" s="15">
        <f t="shared" si="2"/>
        <v>5227200</v>
      </c>
      <c r="J29" s="15">
        <v>50000</v>
      </c>
      <c r="K29" s="15">
        <v>250000</v>
      </c>
      <c r="L29" s="15">
        <v>50000</v>
      </c>
      <c r="M29" s="15">
        <f t="shared" si="3"/>
        <v>31363.200000000001</v>
      </c>
    </row>
    <row r="30" spans="1:13" ht="15" customHeight="1" x14ac:dyDescent="0.3">
      <c r="A30" s="22">
        <v>23</v>
      </c>
      <c r="B30" s="23" t="s">
        <v>330</v>
      </c>
      <c r="C30" s="23" t="s">
        <v>355</v>
      </c>
      <c r="D30" s="24" t="s">
        <v>313</v>
      </c>
      <c r="E30" s="25">
        <v>9900</v>
      </c>
      <c r="F30" s="25">
        <f t="shared" si="0"/>
        <v>217800</v>
      </c>
      <c r="G30" s="36" t="s">
        <v>34</v>
      </c>
      <c r="H30" s="15">
        <f t="shared" si="1"/>
        <v>2613600</v>
      </c>
      <c r="I30" s="15">
        <f t="shared" si="2"/>
        <v>7840800</v>
      </c>
      <c r="J30" s="15">
        <v>50000</v>
      </c>
      <c r="K30" s="15">
        <v>250000</v>
      </c>
      <c r="L30" s="15">
        <v>50000</v>
      </c>
      <c r="M30" s="15">
        <f t="shared" si="3"/>
        <v>47044.800000000003</v>
      </c>
    </row>
    <row r="31" spans="1:13" ht="15" customHeight="1" x14ac:dyDescent="0.3">
      <c r="A31" s="22">
        <v>24</v>
      </c>
      <c r="B31" s="23" t="s">
        <v>356</v>
      </c>
      <c r="C31" s="23" t="s">
        <v>357</v>
      </c>
      <c r="D31" s="24" t="s">
        <v>326</v>
      </c>
      <c r="E31" s="25">
        <v>9240</v>
      </c>
      <c r="F31" s="25">
        <f t="shared" si="0"/>
        <v>203280</v>
      </c>
      <c r="G31" s="36" t="s">
        <v>34</v>
      </c>
      <c r="H31" s="15">
        <f t="shared" si="1"/>
        <v>2439360</v>
      </c>
      <c r="I31" s="15">
        <f t="shared" si="2"/>
        <v>7318080</v>
      </c>
      <c r="J31" s="15">
        <v>50000</v>
      </c>
      <c r="K31" s="15">
        <v>250000</v>
      </c>
      <c r="L31" s="15">
        <v>50000</v>
      </c>
      <c r="M31" s="15">
        <f t="shared" si="3"/>
        <v>43908.480000000003</v>
      </c>
    </row>
    <row r="32" spans="1:13" ht="15" customHeight="1" x14ac:dyDescent="0.3">
      <c r="A32" s="22">
        <v>25</v>
      </c>
      <c r="B32" s="23" t="s">
        <v>352</v>
      </c>
      <c r="C32" s="23" t="s">
        <v>358</v>
      </c>
      <c r="D32" s="24" t="s">
        <v>359</v>
      </c>
      <c r="E32" s="25">
        <v>9240</v>
      </c>
      <c r="F32" s="25">
        <f t="shared" si="0"/>
        <v>203280</v>
      </c>
      <c r="G32" s="36" t="s">
        <v>34</v>
      </c>
      <c r="H32" s="15">
        <f t="shared" si="1"/>
        <v>2439360</v>
      </c>
      <c r="I32" s="15">
        <f t="shared" si="2"/>
        <v>7318080</v>
      </c>
      <c r="J32" s="15">
        <v>50000</v>
      </c>
      <c r="K32" s="15">
        <v>250000</v>
      </c>
      <c r="L32" s="15">
        <v>50000</v>
      </c>
      <c r="M32" s="15">
        <f t="shared" si="3"/>
        <v>43908.480000000003</v>
      </c>
    </row>
    <row r="33" spans="1:13" ht="15" customHeight="1" x14ac:dyDescent="0.3">
      <c r="A33" s="22">
        <v>26</v>
      </c>
      <c r="B33" s="23" t="s">
        <v>360</v>
      </c>
      <c r="C33" s="23" t="s">
        <v>361</v>
      </c>
      <c r="D33" s="24" t="s">
        <v>359</v>
      </c>
      <c r="E33" s="25">
        <v>10560</v>
      </c>
      <c r="F33" s="25">
        <f t="shared" si="0"/>
        <v>232320</v>
      </c>
      <c r="G33" s="36" t="s">
        <v>34</v>
      </c>
      <c r="H33" s="15">
        <f t="shared" si="1"/>
        <v>2787840</v>
      </c>
      <c r="I33" s="15">
        <f t="shared" si="2"/>
        <v>8363520</v>
      </c>
      <c r="J33" s="15">
        <v>50000</v>
      </c>
      <c r="K33" s="15">
        <v>250000</v>
      </c>
      <c r="L33" s="15">
        <v>50000</v>
      </c>
      <c r="M33" s="15">
        <f t="shared" si="3"/>
        <v>50181.120000000003</v>
      </c>
    </row>
    <row r="34" spans="1:13" ht="15" customHeight="1" x14ac:dyDescent="0.3">
      <c r="A34" s="22">
        <v>27</v>
      </c>
      <c r="B34" s="23" t="s">
        <v>362</v>
      </c>
      <c r="C34" s="23" t="s">
        <v>363</v>
      </c>
      <c r="D34" s="24" t="s">
        <v>346</v>
      </c>
      <c r="E34" s="25">
        <v>10560</v>
      </c>
      <c r="F34" s="25">
        <f t="shared" si="0"/>
        <v>232320</v>
      </c>
      <c r="G34" s="36" t="s">
        <v>34</v>
      </c>
      <c r="H34" s="15">
        <f t="shared" si="1"/>
        <v>2787840</v>
      </c>
      <c r="I34" s="15">
        <f t="shared" si="2"/>
        <v>8363520</v>
      </c>
      <c r="J34" s="15">
        <v>50000</v>
      </c>
      <c r="K34" s="15">
        <v>250000</v>
      </c>
      <c r="L34" s="15">
        <v>50000</v>
      </c>
      <c r="M34" s="15">
        <f t="shared" si="3"/>
        <v>50181.120000000003</v>
      </c>
    </row>
    <row r="35" spans="1:13" ht="15" customHeight="1" x14ac:dyDescent="0.3">
      <c r="A35" s="22">
        <v>28</v>
      </c>
      <c r="B35" s="23" t="s">
        <v>364</v>
      </c>
      <c r="C35" s="23" t="s">
        <v>365</v>
      </c>
      <c r="D35" s="24" t="s">
        <v>335</v>
      </c>
      <c r="E35" s="25">
        <v>6600</v>
      </c>
      <c r="F35" s="25">
        <f t="shared" si="0"/>
        <v>145200</v>
      </c>
      <c r="G35" s="36" t="s">
        <v>34</v>
      </c>
      <c r="H35" s="15">
        <f t="shared" si="1"/>
        <v>1742400</v>
      </c>
      <c r="I35" s="15">
        <f t="shared" si="2"/>
        <v>5227200</v>
      </c>
      <c r="J35" s="15">
        <v>50000</v>
      </c>
      <c r="K35" s="15">
        <v>250000</v>
      </c>
      <c r="L35" s="15">
        <v>50000</v>
      </c>
      <c r="M35" s="15">
        <f t="shared" si="3"/>
        <v>31363.200000000001</v>
      </c>
    </row>
    <row r="36" spans="1:13" ht="15" customHeight="1" x14ac:dyDescent="0.3">
      <c r="A36" s="22">
        <v>29</v>
      </c>
      <c r="B36" s="23" t="s">
        <v>366</v>
      </c>
      <c r="C36" s="23" t="s">
        <v>367</v>
      </c>
      <c r="D36" s="24" t="s">
        <v>332</v>
      </c>
      <c r="E36" s="25">
        <v>9240</v>
      </c>
      <c r="F36" s="25">
        <f t="shared" si="0"/>
        <v>203280</v>
      </c>
      <c r="G36" s="36" t="s">
        <v>34</v>
      </c>
      <c r="H36" s="15">
        <f t="shared" si="1"/>
        <v>2439360</v>
      </c>
      <c r="I36" s="15">
        <f t="shared" si="2"/>
        <v>7318080</v>
      </c>
      <c r="J36" s="15">
        <v>50000</v>
      </c>
      <c r="K36" s="15">
        <v>250000</v>
      </c>
      <c r="L36" s="15">
        <v>50000</v>
      </c>
      <c r="M36" s="15">
        <f t="shared" si="3"/>
        <v>43908.480000000003</v>
      </c>
    </row>
    <row r="37" spans="1:13" ht="15" customHeight="1" x14ac:dyDescent="0.3">
      <c r="A37" s="22">
        <v>30</v>
      </c>
      <c r="B37" s="23" t="s">
        <v>368</v>
      </c>
      <c r="C37" s="23" t="s">
        <v>185</v>
      </c>
      <c r="D37" s="24" t="s">
        <v>340</v>
      </c>
      <c r="E37" s="25">
        <v>16800</v>
      </c>
      <c r="F37" s="25">
        <f t="shared" si="0"/>
        <v>369600</v>
      </c>
      <c r="G37" s="36" t="s">
        <v>34</v>
      </c>
      <c r="H37" s="15">
        <f t="shared" si="1"/>
        <v>4435200</v>
      </c>
      <c r="I37" s="15">
        <f t="shared" si="2"/>
        <v>13305600</v>
      </c>
      <c r="J37" s="15">
        <v>50000</v>
      </c>
      <c r="K37" s="15">
        <v>250000</v>
      </c>
      <c r="L37" s="15">
        <v>50000</v>
      </c>
      <c r="M37" s="15">
        <f t="shared" si="3"/>
        <v>79833.600000000006</v>
      </c>
    </row>
    <row r="38" spans="1:13" ht="15" customHeight="1" x14ac:dyDescent="0.3">
      <c r="A38" s="22">
        <v>31</v>
      </c>
      <c r="B38" s="23" t="s">
        <v>183</v>
      </c>
      <c r="C38" s="23" t="s">
        <v>369</v>
      </c>
      <c r="D38" s="24" t="s">
        <v>302</v>
      </c>
      <c r="E38" s="25">
        <v>10560</v>
      </c>
      <c r="F38" s="25">
        <f t="shared" si="0"/>
        <v>232320</v>
      </c>
      <c r="G38" s="36" t="s">
        <v>34</v>
      </c>
      <c r="H38" s="15">
        <f t="shared" si="1"/>
        <v>2787840</v>
      </c>
      <c r="I38" s="15">
        <f t="shared" si="2"/>
        <v>8363520</v>
      </c>
      <c r="J38" s="15">
        <v>50000</v>
      </c>
      <c r="K38" s="15">
        <v>250000</v>
      </c>
      <c r="L38" s="15">
        <v>50000</v>
      </c>
      <c r="M38" s="15">
        <f t="shared" si="3"/>
        <v>50181.120000000003</v>
      </c>
    </row>
    <row r="39" spans="1:13" ht="15" customHeight="1" x14ac:dyDescent="0.3">
      <c r="A39" s="22">
        <v>32</v>
      </c>
      <c r="B39" s="23" t="s">
        <v>192</v>
      </c>
      <c r="C39" s="23" t="s">
        <v>370</v>
      </c>
      <c r="D39" s="24" t="s">
        <v>346</v>
      </c>
      <c r="E39" s="25">
        <v>10560</v>
      </c>
      <c r="F39" s="25">
        <f t="shared" si="0"/>
        <v>232320</v>
      </c>
      <c r="G39" s="36" t="s">
        <v>34</v>
      </c>
      <c r="H39" s="15">
        <f t="shared" si="1"/>
        <v>2787840</v>
      </c>
      <c r="I39" s="15">
        <f t="shared" si="2"/>
        <v>8363520</v>
      </c>
      <c r="J39" s="15">
        <v>50000</v>
      </c>
      <c r="K39" s="15">
        <v>250000</v>
      </c>
      <c r="L39" s="15">
        <v>50000</v>
      </c>
      <c r="M39" s="15">
        <f t="shared" si="3"/>
        <v>50181.120000000003</v>
      </c>
    </row>
    <row r="40" spans="1:13" ht="15" customHeight="1" x14ac:dyDescent="0.3">
      <c r="A40" s="22">
        <v>33</v>
      </c>
      <c r="B40" s="23" t="s">
        <v>164</v>
      </c>
      <c r="C40" s="23" t="s">
        <v>371</v>
      </c>
      <c r="D40" s="24" t="s">
        <v>354</v>
      </c>
      <c r="E40" s="25">
        <v>6600</v>
      </c>
      <c r="F40" s="25">
        <f t="shared" si="0"/>
        <v>145200</v>
      </c>
      <c r="G40" s="36" t="s">
        <v>34</v>
      </c>
      <c r="H40" s="15">
        <f t="shared" si="1"/>
        <v>1742400</v>
      </c>
      <c r="I40" s="15">
        <f t="shared" si="2"/>
        <v>5227200</v>
      </c>
      <c r="J40" s="15">
        <v>50000</v>
      </c>
      <c r="K40" s="15">
        <v>250000</v>
      </c>
      <c r="L40" s="15">
        <v>50000</v>
      </c>
      <c r="M40" s="15">
        <f t="shared" si="3"/>
        <v>31363.200000000001</v>
      </c>
    </row>
    <row r="41" spans="1:13" ht="15" customHeight="1" x14ac:dyDescent="0.3">
      <c r="A41" s="22">
        <v>34</v>
      </c>
      <c r="B41" s="23" t="s">
        <v>372</v>
      </c>
      <c r="C41" s="23" t="s">
        <v>154</v>
      </c>
      <c r="D41" s="24" t="s">
        <v>329</v>
      </c>
      <c r="E41" s="25">
        <v>7260</v>
      </c>
      <c r="F41" s="25">
        <f t="shared" si="0"/>
        <v>159720</v>
      </c>
      <c r="G41" s="36" t="s">
        <v>34</v>
      </c>
      <c r="H41" s="15">
        <f t="shared" si="1"/>
        <v>1916640</v>
      </c>
      <c r="I41" s="15">
        <f t="shared" si="2"/>
        <v>5749920</v>
      </c>
      <c r="J41" s="15">
        <v>50000</v>
      </c>
      <c r="K41" s="15">
        <v>250000</v>
      </c>
      <c r="L41" s="15">
        <v>50000</v>
      </c>
      <c r="M41" s="15">
        <f t="shared" si="3"/>
        <v>34499.519999999997</v>
      </c>
    </row>
    <row r="42" spans="1:13" ht="15" customHeight="1" x14ac:dyDescent="0.3">
      <c r="A42" s="22">
        <v>35</v>
      </c>
      <c r="B42" s="23" t="s">
        <v>373</v>
      </c>
      <c r="C42" s="23" t="s">
        <v>374</v>
      </c>
      <c r="D42" s="24" t="s">
        <v>354</v>
      </c>
      <c r="E42" s="25">
        <v>6600</v>
      </c>
      <c r="F42" s="25">
        <f t="shared" si="0"/>
        <v>145200</v>
      </c>
      <c r="G42" s="36" t="s">
        <v>34</v>
      </c>
      <c r="H42" s="15">
        <f t="shared" si="1"/>
        <v>1742400</v>
      </c>
      <c r="I42" s="15">
        <f t="shared" si="2"/>
        <v>5227200</v>
      </c>
      <c r="J42" s="15">
        <v>50000</v>
      </c>
      <c r="K42" s="15">
        <v>250000</v>
      </c>
      <c r="L42" s="15">
        <v>50000</v>
      </c>
      <c r="M42" s="15">
        <f t="shared" si="3"/>
        <v>31363.200000000001</v>
      </c>
    </row>
    <row r="43" spans="1:13" ht="15" customHeight="1" x14ac:dyDescent="0.3">
      <c r="A43" s="22">
        <v>36</v>
      </c>
      <c r="B43" s="23" t="s">
        <v>375</v>
      </c>
      <c r="C43" s="23" t="s">
        <v>376</v>
      </c>
      <c r="D43" s="24" t="s">
        <v>377</v>
      </c>
      <c r="E43" s="25">
        <v>16800</v>
      </c>
      <c r="F43" s="25">
        <f t="shared" si="0"/>
        <v>369600</v>
      </c>
      <c r="G43" s="36" t="s">
        <v>34</v>
      </c>
      <c r="H43" s="15">
        <f t="shared" si="1"/>
        <v>4435200</v>
      </c>
      <c r="I43" s="15">
        <f t="shared" si="2"/>
        <v>13305600</v>
      </c>
      <c r="J43" s="15">
        <v>50000</v>
      </c>
      <c r="K43" s="15">
        <v>250000</v>
      </c>
      <c r="L43" s="15">
        <v>50000</v>
      </c>
      <c r="M43" s="15">
        <f t="shared" si="3"/>
        <v>79833.600000000006</v>
      </c>
    </row>
    <row r="44" spans="1:13" ht="15" customHeight="1" x14ac:dyDescent="0.3">
      <c r="A44" s="22">
        <v>37</v>
      </c>
      <c r="B44" s="23" t="s">
        <v>378</v>
      </c>
      <c r="C44" s="23" t="s">
        <v>32</v>
      </c>
      <c r="D44" s="24" t="s">
        <v>359</v>
      </c>
      <c r="E44" s="25">
        <v>9240</v>
      </c>
      <c r="F44" s="25">
        <f t="shared" si="0"/>
        <v>203280</v>
      </c>
      <c r="G44" s="36" t="s">
        <v>34</v>
      </c>
      <c r="H44" s="15">
        <f t="shared" si="1"/>
        <v>2439360</v>
      </c>
      <c r="I44" s="15">
        <f t="shared" si="2"/>
        <v>7318080</v>
      </c>
      <c r="J44" s="15">
        <v>50000</v>
      </c>
      <c r="K44" s="15">
        <v>250000</v>
      </c>
      <c r="L44" s="15">
        <v>50000</v>
      </c>
      <c r="M44" s="15">
        <f t="shared" si="3"/>
        <v>43908.480000000003</v>
      </c>
    </row>
    <row r="45" spans="1:13" ht="15" customHeight="1" x14ac:dyDescent="0.3">
      <c r="A45" s="22">
        <v>38</v>
      </c>
      <c r="B45" s="23" t="s">
        <v>379</v>
      </c>
      <c r="C45" s="23" t="s">
        <v>380</v>
      </c>
      <c r="D45" s="24" t="s">
        <v>359</v>
      </c>
      <c r="E45" s="25">
        <v>9240</v>
      </c>
      <c r="F45" s="25">
        <f t="shared" si="0"/>
        <v>203280</v>
      </c>
      <c r="G45" s="36" t="s">
        <v>34</v>
      </c>
      <c r="H45" s="15">
        <f t="shared" si="1"/>
        <v>2439360</v>
      </c>
      <c r="I45" s="15">
        <f t="shared" si="2"/>
        <v>7318080</v>
      </c>
      <c r="J45" s="15">
        <v>50000</v>
      </c>
      <c r="K45" s="15">
        <v>250000</v>
      </c>
      <c r="L45" s="15">
        <v>50000</v>
      </c>
      <c r="M45" s="15">
        <f t="shared" si="3"/>
        <v>43908.480000000003</v>
      </c>
    </row>
    <row r="46" spans="1:13" ht="15" customHeight="1" x14ac:dyDescent="0.3">
      <c r="A46" s="22">
        <v>39</v>
      </c>
      <c r="B46" s="23" t="s">
        <v>381</v>
      </c>
      <c r="C46" s="23" t="s">
        <v>382</v>
      </c>
      <c r="D46" s="24" t="s">
        <v>346</v>
      </c>
      <c r="E46" s="25">
        <v>10560</v>
      </c>
      <c r="F46" s="25">
        <f t="shared" si="0"/>
        <v>232320</v>
      </c>
      <c r="G46" s="36" t="s">
        <v>34</v>
      </c>
      <c r="H46" s="15">
        <f t="shared" si="1"/>
        <v>2787840</v>
      </c>
      <c r="I46" s="15">
        <f t="shared" si="2"/>
        <v>8363520</v>
      </c>
      <c r="J46" s="15">
        <v>50000</v>
      </c>
      <c r="K46" s="15">
        <v>250000</v>
      </c>
      <c r="L46" s="15">
        <v>50000</v>
      </c>
      <c r="M46" s="15">
        <f t="shared" si="3"/>
        <v>50181.120000000003</v>
      </c>
    </row>
    <row r="47" spans="1:13" ht="15" customHeight="1" x14ac:dyDescent="0.3">
      <c r="A47" s="22">
        <v>40</v>
      </c>
      <c r="B47" s="23" t="s">
        <v>145</v>
      </c>
      <c r="C47" s="23" t="s">
        <v>65</v>
      </c>
      <c r="D47" s="24" t="s">
        <v>354</v>
      </c>
      <c r="E47" s="25">
        <v>6600</v>
      </c>
      <c r="F47" s="25">
        <f t="shared" si="0"/>
        <v>145200</v>
      </c>
      <c r="G47" s="36" t="s">
        <v>34</v>
      </c>
      <c r="H47" s="15">
        <f t="shared" si="1"/>
        <v>1742400</v>
      </c>
      <c r="I47" s="15">
        <f t="shared" si="2"/>
        <v>5227200</v>
      </c>
      <c r="J47" s="15">
        <v>50000</v>
      </c>
      <c r="K47" s="15">
        <v>250000</v>
      </c>
      <c r="L47" s="15">
        <v>50000</v>
      </c>
      <c r="M47" s="15">
        <f t="shared" si="3"/>
        <v>31363.200000000001</v>
      </c>
    </row>
    <row r="48" spans="1:13" ht="15" customHeight="1" x14ac:dyDescent="0.3">
      <c r="A48" s="22">
        <v>41</v>
      </c>
      <c r="B48" s="23" t="s">
        <v>383</v>
      </c>
      <c r="C48" s="23" t="s">
        <v>384</v>
      </c>
      <c r="D48" s="24" t="s">
        <v>346</v>
      </c>
      <c r="E48" s="25">
        <v>10560</v>
      </c>
      <c r="F48" s="25">
        <f t="shared" si="0"/>
        <v>232320</v>
      </c>
      <c r="G48" s="36" t="s">
        <v>34</v>
      </c>
      <c r="H48" s="15">
        <f t="shared" si="1"/>
        <v>2787840</v>
      </c>
      <c r="I48" s="15">
        <f t="shared" si="2"/>
        <v>8363520</v>
      </c>
      <c r="J48" s="15">
        <v>50000</v>
      </c>
      <c r="K48" s="15">
        <v>250000</v>
      </c>
      <c r="L48" s="15">
        <v>50000</v>
      </c>
      <c r="M48" s="15">
        <f t="shared" si="3"/>
        <v>50181.120000000003</v>
      </c>
    </row>
    <row r="49" spans="1:13" ht="15" customHeight="1" x14ac:dyDescent="0.3">
      <c r="A49" s="22">
        <v>42</v>
      </c>
      <c r="B49" s="23" t="s">
        <v>385</v>
      </c>
      <c r="C49" s="23" t="s">
        <v>81</v>
      </c>
      <c r="D49" s="24" t="s">
        <v>346</v>
      </c>
      <c r="E49" s="25">
        <v>10560</v>
      </c>
      <c r="F49" s="25">
        <f t="shared" si="0"/>
        <v>232320</v>
      </c>
      <c r="G49" s="36" t="s">
        <v>34</v>
      </c>
      <c r="H49" s="15">
        <f t="shared" si="1"/>
        <v>2787840</v>
      </c>
      <c r="I49" s="15">
        <f t="shared" si="2"/>
        <v>8363520</v>
      </c>
      <c r="J49" s="15">
        <v>50000</v>
      </c>
      <c r="K49" s="15">
        <v>250000</v>
      </c>
      <c r="L49" s="15">
        <v>50000</v>
      </c>
      <c r="M49" s="15">
        <f t="shared" si="3"/>
        <v>50181.120000000003</v>
      </c>
    </row>
    <row r="50" spans="1:13" ht="15" customHeight="1" x14ac:dyDescent="0.3">
      <c r="A50" s="22">
        <v>43</v>
      </c>
      <c r="B50" s="23" t="s">
        <v>164</v>
      </c>
      <c r="C50" s="23" t="s">
        <v>386</v>
      </c>
      <c r="D50" s="24" t="s">
        <v>359</v>
      </c>
      <c r="E50" s="25">
        <v>9240</v>
      </c>
      <c r="F50" s="25">
        <f t="shared" si="0"/>
        <v>203280</v>
      </c>
      <c r="G50" s="36" t="s">
        <v>34</v>
      </c>
      <c r="H50" s="15">
        <f t="shared" si="1"/>
        <v>2439360</v>
      </c>
      <c r="I50" s="15">
        <f t="shared" si="2"/>
        <v>7318080</v>
      </c>
      <c r="J50" s="15">
        <v>50000</v>
      </c>
      <c r="K50" s="15">
        <v>250000</v>
      </c>
      <c r="L50" s="15">
        <v>50000</v>
      </c>
      <c r="M50" s="15">
        <f t="shared" si="3"/>
        <v>43908.480000000003</v>
      </c>
    </row>
    <row r="51" spans="1:13" ht="15" customHeight="1" x14ac:dyDescent="0.3">
      <c r="A51" s="22">
        <v>44</v>
      </c>
      <c r="B51" s="23" t="s">
        <v>372</v>
      </c>
      <c r="C51" s="23" t="s">
        <v>387</v>
      </c>
      <c r="D51" s="24" t="s">
        <v>388</v>
      </c>
      <c r="E51" s="25">
        <v>9240</v>
      </c>
      <c r="F51" s="25">
        <f t="shared" si="0"/>
        <v>203280</v>
      </c>
      <c r="G51" s="36" t="s">
        <v>34</v>
      </c>
      <c r="H51" s="15">
        <f t="shared" si="1"/>
        <v>2439360</v>
      </c>
      <c r="I51" s="15">
        <f t="shared" si="2"/>
        <v>7318080</v>
      </c>
      <c r="J51" s="15">
        <v>50000</v>
      </c>
      <c r="K51" s="15">
        <v>250000</v>
      </c>
      <c r="L51" s="15">
        <v>50000</v>
      </c>
      <c r="M51" s="15">
        <f t="shared" si="3"/>
        <v>43908.480000000003</v>
      </c>
    </row>
    <row r="52" spans="1:13" ht="15" customHeight="1" x14ac:dyDescent="0.3">
      <c r="A52" s="22">
        <v>45</v>
      </c>
      <c r="B52" s="23" t="s">
        <v>389</v>
      </c>
      <c r="C52" s="23" t="s">
        <v>390</v>
      </c>
      <c r="D52" s="24" t="s">
        <v>354</v>
      </c>
      <c r="E52" s="25">
        <v>6600</v>
      </c>
      <c r="F52" s="25">
        <f t="shared" si="0"/>
        <v>145200</v>
      </c>
      <c r="G52" s="36" t="s">
        <v>34</v>
      </c>
      <c r="H52" s="15">
        <f t="shared" si="1"/>
        <v>1742400</v>
      </c>
      <c r="I52" s="15">
        <f t="shared" si="2"/>
        <v>5227200</v>
      </c>
      <c r="J52" s="15">
        <v>50000</v>
      </c>
      <c r="K52" s="15">
        <v>250000</v>
      </c>
      <c r="L52" s="15">
        <v>50000</v>
      </c>
      <c r="M52" s="15">
        <f t="shared" si="3"/>
        <v>31363.200000000001</v>
      </c>
    </row>
    <row r="53" spans="1:13" ht="15" customHeight="1" x14ac:dyDescent="0.3">
      <c r="A53" s="22">
        <v>46</v>
      </c>
      <c r="B53" s="23" t="s">
        <v>391</v>
      </c>
      <c r="C53" s="23" t="s">
        <v>89</v>
      </c>
      <c r="D53" s="24" t="s">
        <v>392</v>
      </c>
      <c r="E53" s="25">
        <v>5280</v>
      </c>
      <c r="F53" s="25">
        <f t="shared" si="0"/>
        <v>116160</v>
      </c>
      <c r="G53" s="36" t="s">
        <v>34</v>
      </c>
      <c r="H53" s="15">
        <f t="shared" si="1"/>
        <v>1393920</v>
      </c>
      <c r="I53" s="15">
        <f t="shared" si="2"/>
        <v>4181760</v>
      </c>
      <c r="J53" s="15">
        <v>50000</v>
      </c>
      <c r="K53" s="15">
        <v>250000</v>
      </c>
      <c r="L53" s="15">
        <v>50000</v>
      </c>
      <c r="M53" s="15">
        <f t="shared" si="3"/>
        <v>25090.560000000001</v>
      </c>
    </row>
    <row r="54" spans="1:13" ht="15" customHeight="1" x14ac:dyDescent="0.3">
      <c r="A54" s="22">
        <v>47</v>
      </c>
      <c r="B54" s="23" t="s">
        <v>393</v>
      </c>
      <c r="C54" s="23" t="s">
        <v>394</v>
      </c>
      <c r="D54" s="24" t="s">
        <v>332</v>
      </c>
      <c r="E54" s="25">
        <v>9240</v>
      </c>
      <c r="F54" s="25">
        <f t="shared" si="0"/>
        <v>203280</v>
      </c>
      <c r="G54" s="36" t="s">
        <v>34</v>
      </c>
      <c r="H54" s="15">
        <f t="shared" si="1"/>
        <v>2439360</v>
      </c>
      <c r="I54" s="15">
        <f t="shared" si="2"/>
        <v>7318080</v>
      </c>
      <c r="J54" s="15">
        <v>50000</v>
      </c>
      <c r="K54" s="15">
        <v>250000</v>
      </c>
      <c r="L54" s="15">
        <v>50000</v>
      </c>
      <c r="M54" s="15">
        <f t="shared" si="3"/>
        <v>43908.480000000003</v>
      </c>
    </row>
    <row r="55" spans="1:13" ht="15" customHeight="1" x14ac:dyDescent="0.3">
      <c r="A55" s="22">
        <v>48</v>
      </c>
      <c r="B55" s="23" t="s">
        <v>342</v>
      </c>
      <c r="C55" s="23" t="s">
        <v>368</v>
      </c>
      <c r="D55" s="24" t="s">
        <v>316</v>
      </c>
      <c r="E55" s="25">
        <v>11880</v>
      </c>
      <c r="F55" s="25">
        <f t="shared" si="0"/>
        <v>261360</v>
      </c>
      <c r="G55" s="36" t="s">
        <v>34</v>
      </c>
      <c r="H55" s="15">
        <f t="shared" si="1"/>
        <v>3136320</v>
      </c>
      <c r="I55" s="15">
        <f t="shared" si="2"/>
        <v>9408960</v>
      </c>
      <c r="J55" s="15">
        <v>50000</v>
      </c>
      <c r="K55" s="15">
        <v>250000</v>
      </c>
      <c r="L55" s="15">
        <v>50000</v>
      </c>
      <c r="M55" s="15">
        <f t="shared" si="3"/>
        <v>56453.760000000002</v>
      </c>
    </row>
    <row r="56" spans="1:13" ht="15" customHeight="1" x14ac:dyDescent="0.3">
      <c r="A56" s="22">
        <v>49</v>
      </c>
      <c r="B56" s="23" t="s">
        <v>301</v>
      </c>
      <c r="C56" s="23" t="s">
        <v>395</v>
      </c>
      <c r="D56" s="24" t="s">
        <v>396</v>
      </c>
      <c r="E56" s="25">
        <v>6600</v>
      </c>
      <c r="F56" s="25">
        <f t="shared" si="0"/>
        <v>145200</v>
      </c>
      <c r="G56" s="36" t="s">
        <v>34</v>
      </c>
      <c r="H56" s="15">
        <f t="shared" si="1"/>
        <v>1742400</v>
      </c>
      <c r="I56" s="15">
        <f t="shared" si="2"/>
        <v>5227200</v>
      </c>
      <c r="J56" s="15">
        <v>50000</v>
      </c>
      <c r="K56" s="15">
        <v>250000</v>
      </c>
      <c r="L56" s="15">
        <v>50000</v>
      </c>
      <c r="M56" s="15">
        <f t="shared" si="3"/>
        <v>31363.200000000001</v>
      </c>
    </row>
    <row r="57" spans="1:13" ht="15" customHeight="1" x14ac:dyDescent="0.3">
      <c r="A57" s="22">
        <v>50</v>
      </c>
      <c r="B57" s="23" t="s">
        <v>397</v>
      </c>
      <c r="C57" s="23" t="s">
        <v>398</v>
      </c>
      <c r="D57" s="24" t="s">
        <v>388</v>
      </c>
      <c r="E57" s="25">
        <v>10560</v>
      </c>
      <c r="F57" s="25">
        <f t="shared" si="0"/>
        <v>232320</v>
      </c>
      <c r="G57" s="36" t="s">
        <v>34</v>
      </c>
      <c r="H57" s="15">
        <f t="shared" si="1"/>
        <v>2787840</v>
      </c>
      <c r="I57" s="15">
        <f t="shared" si="2"/>
        <v>8363520</v>
      </c>
      <c r="J57" s="15">
        <v>50000</v>
      </c>
      <c r="K57" s="15">
        <v>250000</v>
      </c>
      <c r="L57" s="15">
        <v>50000</v>
      </c>
      <c r="M57" s="15">
        <f t="shared" si="3"/>
        <v>50181.120000000003</v>
      </c>
    </row>
    <row r="58" spans="1:13" ht="15" customHeight="1" x14ac:dyDescent="0.3">
      <c r="A58" s="22">
        <v>51</v>
      </c>
      <c r="B58" s="23" t="s">
        <v>399</v>
      </c>
      <c r="C58" s="23" t="s">
        <v>400</v>
      </c>
      <c r="D58" s="24" t="s">
        <v>401</v>
      </c>
      <c r="E58" s="25">
        <v>10560</v>
      </c>
      <c r="F58" s="25">
        <f t="shared" si="0"/>
        <v>232320</v>
      </c>
      <c r="G58" s="36" t="s">
        <v>34</v>
      </c>
      <c r="H58" s="15">
        <f t="shared" si="1"/>
        <v>2787840</v>
      </c>
      <c r="I58" s="15">
        <f t="shared" si="2"/>
        <v>8363520</v>
      </c>
      <c r="J58" s="15">
        <v>50000</v>
      </c>
      <c r="K58" s="15">
        <v>250000</v>
      </c>
      <c r="L58" s="15">
        <v>50000</v>
      </c>
      <c r="M58" s="15">
        <f t="shared" si="3"/>
        <v>50181.120000000003</v>
      </c>
    </row>
    <row r="59" spans="1:13" ht="15" customHeight="1" x14ac:dyDescent="0.3">
      <c r="A59" s="22">
        <v>52</v>
      </c>
      <c r="B59" s="23" t="s">
        <v>402</v>
      </c>
      <c r="C59" s="23" t="s">
        <v>403</v>
      </c>
      <c r="D59" s="24" t="s">
        <v>404</v>
      </c>
      <c r="E59" s="25">
        <v>10560</v>
      </c>
      <c r="F59" s="25">
        <f t="shared" si="0"/>
        <v>232320</v>
      </c>
      <c r="G59" s="36" t="s">
        <v>34</v>
      </c>
      <c r="H59" s="15">
        <f t="shared" si="1"/>
        <v>2787840</v>
      </c>
      <c r="I59" s="15">
        <f t="shared" si="2"/>
        <v>8363520</v>
      </c>
      <c r="J59" s="15">
        <v>50000</v>
      </c>
      <c r="K59" s="15">
        <v>250000</v>
      </c>
      <c r="L59" s="15">
        <v>50000</v>
      </c>
      <c r="M59" s="15">
        <f t="shared" si="3"/>
        <v>50181.120000000003</v>
      </c>
    </row>
    <row r="60" spans="1:13" ht="15" customHeight="1" x14ac:dyDescent="0.3">
      <c r="A60" s="22">
        <v>53</v>
      </c>
      <c r="B60" s="23" t="s">
        <v>253</v>
      </c>
      <c r="C60" s="23" t="s">
        <v>405</v>
      </c>
      <c r="D60" s="24" t="s">
        <v>332</v>
      </c>
      <c r="E60" s="25">
        <v>9240</v>
      </c>
      <c r="F60" s="25">
        <f t="shared" si="0"/>
        <v>203280</v>
      </c>
      <c r="G60" s="36" t="s">
        <v>34</v>
      </c>
      <c r="H60" s="15">
        <f t="shared" si="1"/>
        <v>2439360</v>
      </c>
      <c r="I60" s="15">
        <f t="shared" si="2"/>
        <v>7318080</v>
      </c>
      <c r="J60" s="15">
        <v>50000</v>
      </c>
      <c r="K60" s="15">
        <v>250000</v>
      </c>
      <c r="L60" s="15">
        <v>50000</v>
      </c>
      <c r="M60" s="15">
        <f t="shared" si="3"/>
        <v>43908.480000000003</v>
      </c>
    </row>
    <row r="61" spans="1:13" ht="15" customHeight="1" x14ac:dyDescent="0.3">
      <c r="A61" s="22">
        <v>54</v>
      </c>
      <c r="B61" s="23" t="s">
        <v>406</v>
      </c>
      <c r="C61" s="23" t="s">
        <v>407</v>
      </c>
      <c r="D61" s="24" t="s">
        <v>408</v>
      </c>
      <c r="E61" s="25">
        <v>6600</v>
      </c>
      <c r="F61" s="25">
        <f t="shared" si="0"/>
        <v>145200</v>
      </c>
      <c r="G61" s="36" t="s">
        <v>34</v>
      </c>
      <c r="H61" s="15">
        <f t="shared" si="1"/>
        <v>1742400</v>
      </c>
      <c r="I61" s="15">
        <f t="shared" si="2"/>
        <v>5227200</v>
      </c>
      <c r="J61" s="15">
        <v>50000</v>
      </c>
      <c r="K61" s="15">
        <v>250000</v>
      </c>
      <c r="L61" s="15">
        <v>50000</v>
      </c>
      <c r="M61" s="15">
        <f t="shared" si="3"/>
        <v>31363.200000000001</v>
      </c>
    </row>
    <row r="62" spans="1:13" ht="15" customHeight="1" x14ac:dyDescent="0.3">
      <c r="A62" s="22">
        <v>55</v>
      </c>
      <c r="B62" s="23" t="s">
        <v>409</v>
      </c>
      <c r="C62" s="23" t="s">
        <v>410</v>
      </c>
      <c r="D62" s="24" t="s">
        <v>388</v>
      </c>
      <c r="E62" s="25">
        <v>5280</v>
      </c>
      <c r="F62" s="25">
        <f t="shared" si="0"/>
        <v>116160</v>
      </c>
      <c r="G62" s="36" t="s">
        <v>34</v>
      </c>
      <c r="H62" s="15">
        <f t="shared" si="1"/>
        <v>1393920</v>
      </c>
      <c r="I62" s="15">
        <f t="shared" si="2"/>
        <v>4181760</v>
      </c>
      <c r="J62" s="15">
        <v>50000</v>
      </c>
      <c r="K62" s="15">
        <v>250000</v>
      </c>
      <c r="L62" s="15">
        <v>50000</v>
      </c>
      <c r="M62" s="15">
        <f t="shared" si="3"/>
        <v>25090.560000000001</v>
      </c>
    </row>
    <row r="63" spans="1:13" ht="15" customHeight="1" x14ac:dyDescent="0.3">
      <c r="A63" s="22">
        <v>56</v>
      </c>
      <c r="B63" s="23" t="s">
        <v>411</v>
      </c>
      <c r="C63" s="23" t="s">
        <v>282</v>
      </c>
      <c r="D63" s="24" t="s">
        <v>408</v>
      </c>
      <c r="E63" s="25">
        <v>6600</v>
      </c>
      <c r="F63" s="25">
        <f t="shared" si="0"/>
        <v>145200</v>
      </c>
      <c r="G63" s="36" t="s">
        <v>34</v>
      </c>
      <c r="H63" s="15">
        <f t="shared" si="1"/>
        <v>1742400</v>
      </c>
      <c r="I63" s="15">
        <f t="shared" si="2"/>
        <v>5227200</v>
      </c>
      <c r="J63" s="15">
        <v>50000</v>
      </c>
      <c r="K63" s="15">
        <v>250000</v>
      </c>
      <c r="L63" s="15">
        <v>50000</v>
      </c>
      <c r="M63" s="15">
        <f t="shared" si="3"/>
        <v>31363.200000000001</v>
      </c>
    </row>
    <row r="64" spans="1:13" ht="15" customHeight="1" x14ac:dyDescent="0.3">
      <c r="A64" s="22">
        <v>57</v>
      </c>
      <c r="B64" s="23" t="s">
        <v>412</v>
      </c>
      <c r="C64" s="23" t="s">
        <v>413</v>
      </c>
      <c r="D64" s="24" t="s">
        <v>408</v>
      </c>
      <c r="E64" s="25">
        <v>6600</v>
      </c>
      <c r="F64" s="25">
        <f t="shared" si="0"/>
        <v>145200</v>
      </c>
      <c r="G64" s="36" t="s">
        <v>34</v>
      </c>
      <c r="H64" s="15">
        <f t="shared" si="1"/>
        <v>1742400</v>
      </c>
      <c r="I64" s="15">
        <f t="shared" si="2"/>
        <v>5227200</v>
      </c>
      <c r="J64" s="15">
        <v>50000</v>
      </c>
      <c r="K64" s="15">
        <v>250000</v>
      </c>
      <c r="L64" s="15">
        <v>50000</v>
      </c>
      <c r="M64" s="15">
        <f t="shared" si="3"/>
        <v>31363.200000000001</v>
      </c>
    </row>
    <row r="65" spans="1:13" ht="15" customHeight="1" x14ac:dyDescent="0.3">
      <c r="A65" s="22">
        <v>58</v>
      </c>
      <c r="B65" s="23" t="s">
        <v>414</v>
      </c>
      <c r="C65" s="23" t="s">
        <v>415</v>
      </c>
      <c r="D65" s="24" t="s">
        <v>79</v>
      </c>
      <c r="E65" s="25">
        <v>6600</v>
      </c>
      <c r="F65" s="25">
        <f t="shared" si="0"/>
        <v>145200</v>
      </c>
      <c r="G65" s="36" t="s">
        <v>34</v>
      </c>
      <c r="H65" s="15">
        <f t="shared" si="1"/>
        <v>1742400</v>
      </c>
      <c r="I65" s="15">
        <f t="shared" si="2"/>
        <v>5227200</v>
      </c>
      <c r="J65" s="15">
        <v>50000</v>
      </c>
      <c r="K65" s="15">
        <v>250000</v>
      </c>
      <c r="L65" s="15">
        <v>50000</v>
      </c>
      <c r="M65" s="15">
        <f t="shared" si="3"/>
        <v>31363.200000000001</v>
      </c>
    </row>
    <row r="66" spans="1:13" ht="15" customHeight="1" x14ac:dyDescent="0.3">
      <c r="A66" s="22">
        <v>59</v>
      </c>
      <c r="B66" s="23" t="s">
        <v>416</v>
      </c>
      <c r="C66" s="23" t="s">
        <v>417</v>
      </c>
      <c r="D66" s="24" t="s">
        <v>346</v>
      </c>
      <c r="E66" s="25">
        <v>15840</v>
      </c>
      <c r="F66" s="25">
        <f t="shared" si="0"/>
        <v>348480</v>
      </c>
      <c r="G66" s="36" t="s">
        <v>34</v>
      </c>
      <c r="H66" s="15">
        <f t="shared" si="1"/>
        <v>4181760</v>
      </c>
      <c r="I66" s="15">
        <f t="shared" si="2"/>
        <v>12545280</v>
      </c>
      <c r="J66" s="15">
        <v>50000</v>
      </c>
      <c r="K66" s="15">
        <v>250000</v>
      </c>
      <c r="L66" s="15">
        <v>50000</v>
      </c>
      <c r="M66" s="15">
        <f t="shared" si="3"/>
        <v>75271.679999999993</v>
      </c>
    </row>
    <row r="67" spans="1:13" ht="15" customHeight="1" x14ac:dyDescent="0.3">
      <c r="A67" s="22">
        <v>60</v>
      </c>
      <c r="B67" s="23" t="s">
        <v>418</v>
      </c>
      <c r="C67" s="23" t="s">
        <v>419</v>
      </c>
      <c r="D67" s="24"/>
      <c r="E67" s="25">
        <v>6600</v>
      </c>
      <c r="F67" s="25">
        <f t="shared" si="0"/>
        <v>145200</v>
      </c>
      <c r="G67" s="36" t="s">
        <v>34</v>
      </c>
      <c r="H67" s="15">
        <f t="shared" si="1"/>
        <v>1742400</v>
      </c>
      <c r="I67" s="15">
        <f t="shared" si="2"/>
        <v>5227200</v>
      </c>
      <c r="J67" s="15">
        <v>50000</v>
      </c>
      <c r="K67" s="15">
        <v>250000</v>
      </c>
      <c r="L67" s="15">
        <v>50000</v>
      </c>
      <c r="M67" s="15">
        <f t="shared" si="3"/>
        <v>31363.200000000001</v>
      </c>
    </row>
    <row r="68" spans="1:13" ht="15" customHeight="1" x14ac:dyDescent="0.3">
      <c r="A68" s="22">
        <v>61</v>
      </c>
      <c r="B68" s="23" t="s">
        <v>420</v>
      </c>
      <c r="C68" s="23" t="s">
        <v>301</v>
      </c>
      <c r="D68" s="24" t="s">
        <v>329</v>
      </c>
      <c r="E68" s="25">
        <v>7260</v>
      </c>
      <c r="F68" s="25">
        <f t="shared" si="0"/>
        <v>159720</v>
      </c>
      <c r="G68" s="36" t="s">
        <v>34</v>
      </c>
      <c r="H68" s="15">
        <f t="shared" si="1"/>
        <v>1916640</v>
      </c>
      <c r="I68" s="15">
        <f t="shared" si="2"/>
        <v>5749920</v>
      </c>
      <c r="J68" s="15">
        <v>50000</v>
      </c>
      <c r="K68" s="15">
        <v>250000</v>
      </c>
      <c r="L68" s="15">
        <v>50000</v>
      </c>
      <c r="M68" s="15">
        <f t="shared" si="3"/>
        <v>34499.519999999997</v>
      </c>
    </row>
    <row r="69" spans="1:13" ht="15" customHeight="1" x14ac:dyDescent="0.3">
      <c r="A69" s="22">
        <v>62</v>
      </c>
      <c r="B69" s="23" t="s">
        <v>164</v>
      </c>
      <c r="C69" s="23" t="s">
        <v>421</v>
      </c>
      <c r="D69" s="24" t="s">
        <v>329</v>
      </c>
      <c r="E69" s="25">
        <v>7260</v>
      </c>
      <c r="F69" s="25">
        <f t="shared" si="0"/>
        <v>159720</v>
      </c>
      <c r="G69" s="36" t="s">
        <v>34</v>
      </c>
      <c r="H69" s="15">
        <f t="shared" si="1"/>
        <v>1916640</v>
      </c>
      <c r="I69" s="15">
        <f t="shared" si="2"/>
        <v>5749920</v>
      </c>
      <c r="J69" s="15">
        <v>50000</v>
      </c>
      <c r="K69" s="15">
        <v>250000</v>
      </c>
      <c r="L69" s="15">
        <v>50000</v>
      </c>
      <c r="M69" s="15">
        <f t="shared" si="3"/>
        <v>34499.519999999997</v>
      </c>
    </row>
    <row r="70" spans="1:13" ht="15" customHeight="1" x14ac:dyDescent="0.3">
      <c r="A70" s="22">
        <v>63</v>
      </c>
      <c r="B70" s="23" t="s">
        <v>422</v>
      </c>
      <c r="C70" s="23" t="s">
        <v>423</v>
      </c>
      <c r="D70" s="24" t="s">
        <v>424</v>
      </c>
      <c r="E70" s="25">
        <v>6600</v>
      </c>
      <c r="F70" s="25">
        <f t="shared" si="0"/>
        <v>145200</v>
      </c>
      <c r="G70" s="36" t="s">
        <v>34</v>
      </c>
      <c r="H70" s="15">
        <f t="shared" si="1"/>
        <v>1742400</v>
      </c>
      <c r="I70" s="15">
        <f t="shared" si="2"/>
        <v>5227200</v>
      </c>
      <c r="J70" s="15">
        <v>50000</v>
      </c>
      <c r="K70" s="15">
        <v>250000</v>
      </c>
      <c r="L70" s="15">
        <v>50000</v>
      </c>
      <c r="M70" s="15">
        <f t="shared" si="3"/>
        <v>31363.200000000001</v>
      </c>
    </row>
    <row r="71" spans="1:13" ht="15" customHeight="1" x14ac:dyDescent="0.3">
      <c r="A71" s="22">
        <v>64</v>
      </c>
      <c r="B71" s="23" t="s">
        <v>425</v>
      </c>
      <c r="C71" s="23" t="s">
        <v>426</v>
      </c>
      <c r="D71" s="24" t="s">
        <v>359</v>
      </c>
      <c r="E71" s="25">
        <v>9240</v>
      </c>
      <c r="F71" s="25">
        <f t="shared" si="0"/>
        <v>203280</v>
      </c>
      <c r="G71" s="36" t="s">
        <v>34</v>
      </c>
      <c r="H71" s="15">
        <f t="shared" si="1"/>
        <v>2439360</v>
      </c>
      <c r="I71" s="15">
        <f t="shared" si="2"/>
        <v>7318080</v>
      </c>
      <c r="J71" s="15">
        <v>50000</v>
      </c>
      <c r="K71" s="15">
        <v>250000</v>
      </c>
      <c r="L71" s="15">
        <v>50000</v>
      </c>
      <c r="M71" s="15">
        <f t="shared" si="3"/>
        <v>43908.480000000003</v>
      </c>
    </row>
    <row r="72" spans="1:13" ht="15" customHeight="1" x14ac:dyDescent="0.3">
      <c r="A72" s="22">
        <v>65</v>
      </c>
      <c r="B72" s="23" t="s">
        <v>427</v>
      </c>
      <c r="C72" s="23" t="s">
        <v>428</v>
      </c>
      <c r="D72" s="24" t="s">
        <v>429</v>
      </c>
      <c r="E72" s="25">
        <v>6600</v>
      </c>
      <c r="F72" s="25">
        <f t="shared" ref="F72:F135" si="4">E72*22</f>
        <v>145200</v>
      </c>
      <c r="G72" s="36" t="s">
        <v>34</v>
      </c>
      <c r="H72" s="15">
        <f t="shared" si="1"/>
        <v>1742400</v>
      </c>
      <c r="I72" s="15">
        <f t="shared" si="2"/>
        <v>5227200</v>
      </c>
      <c r="J72" s="15">
        <v>50000</v>
      </c>
      <c r="K72" s="15">
        <v>250000</v>
      </c>
      <c r="L72" s="15">
        <v>50000</v>
      </c>
      <c r="M72" s="15">
        <f t="shared" si="3"/>
        <v>31363.200000000001</v>
      </c>
    </row>
    <row r="73" spans="1:13" ht="15" customHeight="1" x14ac:dyDescent="0.3">
      <c r="A73" s="22">
        <v>66</v>
      </c>
      <c r="B73" s="23" t="s">
        <v>430</v>
      </c>
      <c r="C73" s="23" t="s">
        <v>164</v>
      </c>
      <c r="D73" s="24"/>
      <c r="E73" s="25">
        <v>15840</v>
      </c>
      <c r="F73" s="25">
        <f t="shared" si="4"/>
        <v>348480</v>
      </c>
      <c r="G73" s="36" t="s">
        <v>34</v>
      </c>
      <c r="H73" s="15">
        <f t="shared" ref="H73:H136" si="5">F73*12</f>
        <v>4181760</v>
      </c>
      <c r="I73" s="15">
        <f t="shared" ref="I73:I136" si="6">H73*3</f>
        <v>12545280</v>
      </c>
      <c r="J73" s="15">
        <v>50000</v>
      </c>
      <c r="K73" s="15">
        <v>250000</v>
      </c>
      <c r="L73" s="15">
        <v>50000</v>
      </c>
      <c r="M73" s="15">
        <f t="shared" ref="M73:M136" si="7">I73*6/1000</f>
        <v>75271.679999999993</v>
      </c>
    </row>
    <row r="74" spans="1:13" ht="15" customHeight="1" x14ac:dyDescent="0.3">
      <c r="A74" s="22">
        <v>67</v>
      </c>
      <c r="B74" s="23" t="s">
        <v>431</v>
      </c>
      <c r="C74" s="23" t="s">
        <v>432</v>
      </c>
      <c r="D74" s="24" t="s">
        <v>335</v>
      </c>
      <c r="E74" s="25">
        <v>6600</v>
      </c>
      <c r="F74" s="25">
        <f t="shared" si="4"/>
        <v>145200</v>
      </c>
      <c r="G74" s="36" t="s">
        <v>34</v>
      </c>
      <c r="H74" s="15">
        <f t="shared" si="5"/>
        <v>1742400</v>
      </c>
      <c r="I74" s="15">
        <f t="shared" si="6"/>
        <v>5227200</v>
      </c>
      <c r="J74" s="15">
        <v>50000</v>
      </c>
      <c r="K74" s="15">
        <v>250000</v>
      </c>
      <c r="L74" s="15">
        <v>50000</v>
      </c>
      <c r="M74" s="15">
        <f t="shared" si="7"/>
        <v>31363.200000000001</v>
      </c>
    </row>
    <row r="75" spans="1:13" ht="15" customHeight="1" x14ac:dyDescent="0.3">
      <c r="A75" s="22">
        <v>68</v>
      </c>
      <c r="B75" s="23" t="s">
        <v>433</v>
      </c>
      <c r="C75" s="23" t="s">
        <v>434</v>
      </c>
      <c r="D75" s="24" t="s">
        <v>435</v>
      </c>
      <c r="E75" s="25">
        <v>6600</v>
      </c>
      <c r="F75" s="25">
        <f t="shared" si="4"/>
        <v>145200</v>
      </c>
      <c r="G75" s="36" t="s">
        <v>34</v>
      </c>
      <c r="H75" s="15">
        <f t="shared" si="5"/>
        <v>1742400</v>
      </c>
      <c r="I75" s="15">
        <f t="shared" si="6"/>
        <v>5227200</v>
      </c>
      <c r="J75" s="15">
        <v>50000</v>
      </c>
      <c r="K75" s="15">
        <v>250000</v>
      </c>
      <c r="L75" s="15">
        <v>50000</v>
      </c>
      <c r="M75" s="15">
        <f t="shared" si="7"/>
        <v>31363.200000000001</v>
      </c>
    </row>
    <row r="76" spans="1:13" ht="15" customHeight="1" x14ac:dyDescent="0.3">
      <c r="A76" s="22">
        <v>69</v>
      </c>
      <c r="B76" s="23" t="s">
        <v>149</v>
      </c>
      <c r="C76" s="23" t="s">
        <v>436</v>
      </c>
      <c r="D76" s="24" t="s">
        <v>435</v>
      </c>
      <c r="E76" s="25">
        <v>6600</v>
      </c>
      <c r="F76" s="25">
        <f t="shared" si="4"/>
        <v>145200</v>
      </c>
      <c r="G76" s="36" t="s">
        <v>34</v>
      </c>
      <c r="H76" s="15">
        <f t="shared" si="5"/>
        <v>1742400</v>
      </c>
      <c r="I76" s="15">
        <f t="shared" si="6"/>
        <v>5227200</v>
      </c>
      <c r="J76" s="15">
        <v>50000</v>
      </c>
      <c r="K76" s="15">
        <v>250000</v>
      </c>
      <c r="L76" s="15">
        <v>50000</v>
      </c>
      <c r="M76" s="15">
        <f t="shared" si="7"/>
        <v>31363.200000000001</v>
      </c>
    </row>
    <row r="77" spans="1:13" ht="15" customHeight="1" x14ac:dyDescent="0.3">
      <c r="A77" s="22">
        <v>70</v>
      </c>
      <c r="B77" s="23" t="s">
        <v>437</v>
      </c>
      <c r="C77" s="23" t="s">
        <v>438</v>
      </c>
      <c r="D77" s="24" t="s">
        <v>346</v>
      </c>
      <c r="E77" s="25">
        <v>15840</v>
      </c>
      <c r="F77" s="25">
        <f t="shared" si="4"/>
        <v>348480</v>
      </c>
      <c r="G77" s="36" t="s">
        <v>34</v>
      </c>
      <c r="H77" s="15">
        <f t="shared" si="5"/>
        <v>4181760</v>
      </c>
      <c r="I77" s="15">
        <f t="shared" si="6"/>
        <v>12545280</v>
      </c>
      <c r="J77" s="15">
        <v>50000</v>
      </c>
      <c r="K77" s="15">
        <v>250000</v>
      </c>
      <c r="L77" s="15">
        <v>50000</v>
      </c>
      <c r="M77" s="15">
        <f t="shared" si="7"/>
        <v>75271.679999999993</v>
      </c>
    </row>
    <row r="78" spans="1:13" ht="15" customHeight="1" x14ac:dyDescent="0.3">
      <c r="A78" s="22">
        <v>71</v>
      </c>
      <c r="B78" s="23" t="s">
        <v>439</v>
      </c>
      <c r="C78" s="23" t="s">
        <v>440</v>
      </c>
      <c r="D78" s="24" t="s">
        <v>346</v>
      </c>
      <c r="E78" s="25">
        <v>15840</v>
      </c>
      <c r="F78" s="25">
        <f t="shared" si="4"/>
        <v>348480</v>
      </c>
      <c r="G78" s="36" t="s">
        <v>34</v>
      </c>
      <c r="H78" s="15">
        <f t="shared" si="5"/>
        <v>4181760</v>
      </c>
      <c r="I78" s="15">
        <f t="shared" si="6"/>
        <v>12545280</v>
      </c>
      <c r="J78" s="15">
        <v>50000</v>
      </c>
      <c r="K78" s="15">
        <v>250000</v>
      </c>
      <c r="L78" s="15">
        <v>50000</v>
      </c>
      <c r="M78" s="15">
        <f t="shared" si="7"/>
        <v>75271.679999999993</v>
      </c>
    </row>
    <row r="79" spans="1:13" ht="15" customHeight="1" x14ac:dyDescent="0.3">
      <c r="A79" s="22">
        <v>72</v>
      </c>
      <c r="B79" s="23" t="s">
        <v>441</v>
      </c>
      <c r="C79" s="23" t="s">
        <v>442</v>
      </c>
      <c r="D79" s="24" t="s">
        <v>346</v>
      </c>
      <c r="E79" s="25">
        <v>15840</v>
      </c>
      <c r="F79" s="25">
        <f t="shared" si="4"/>
        <v>348480</v>
      </c>
      <c r="G79" s="36" t="s">
        <v>34</v>
      </c>
      <c r="H79" s="15">
        <f t="shared" si="5"/>
        <v>4181760</v>
      </c>
      <c r="I79" s="15">
        <f t="shared" si="6"/>
        <v>12545280</v>
      </c>
      <c r="J79" s="15">
        <v>50000</v>
      </c>
      <c r="K79" s="15">
        <v>250000</v>
      </c>
      <c r="L79" s="15">
        <v>50000</v>
      </c>
      <c r="M79" s="15">
        <f t="shared" si="7"/>
        <v>75271.679999999993</v>
      </c>
    </row>
    <row r="80" spans="1:13" ht="15" customHeight="1" x14ac:dyDescent="0.3">
      <c r="A80" s="22">
        <v>73</v>
      </c>
      <c r="B80" s="23" t="s">
        <v>114</v>
      </c>
      <c r="C80" s="23" t="s">
        <v>443</v>
      </c>
      <c r="D80" s="24" t="s">
        <v>444</v>
      </c>
      <c r="E80" s="25">
        <v>14520</v>
      </c>
      <c r="F80" s="25">
        <f t="shared" si="4"/>
        <v>319440</v>
      </c>
      <c r="G80" s="36" t="s">
        <v>34</v>
      </c>
      <c r="H80" s="15">
        <f t="shared" si="5"/>
        <v>3833280</v>
      </c>
      <c r="I80" s="15">
        <f t="shared" si="6"/>
        <v>11499840</v>
      </c>
      <c r="J80" s="15">
        <v>50000</v>
      </c>
      <c r="K80" s="15">
        <v>250000</v>
      </c>
      <c r="L80" s="15">
        <v>50000</v>
      </c>
      <c r="M80" s="15">
        <f t="shared" si="7"/>
        <v>68999.039999999994</v>
      </c>
    </row>
    <row r="81" spans="1:13" ht="15" customHeight="1" x14ac:dyDescent="0.3">
      <c r="A81" s="22">
        <v>74</v>
      </c>
      <c r="B81" s="23" t="s">
        <v>286</v>
      </c>
      <c r="C81" s="23" t="s">
        <v>445</v>
      </c>
      <c r="D81" s="24" t="s">
        <v>359</v>
      </c>
      <c r="E81" s="25">
        <v>9240</v>
      </c>
      <c r="F81" s="25">
        <f t="shared" si="4"/>
        <v>203280</v>
      </c>
      <c r="G81" s="36" t="s">
        <v>34</v>
      </c>
      <c r="H81" s="15">
        <f t="shared" si="5"/>
        <v>2439360</v>
      </c>
      <c r="I81" s="15">
        <f t="shared" si="6"/>
        <v>7318080</v>
      </c>
      <c r="J81" s="15">
        <v>50000</v>
      </c>
      <c r="K81" s="15">
        <v>250000</v>
      </c>
      <c r="L81" s="15">
        <v>50000</v>
      </c>
      <c r="M81" s="15">
        <f t="shared" si="7"/>
        <v>43908.480000000003</v>
      </c>
    </row>
    <row r="82" spans="1:13" ht="15" customHeight="1" x14ac:dyDescent="0.3">
      <c r="A82" s="22">
        <v>75</v>
      </c>
      <c r="B82" s="23" t="s">
        <v>241</v>
      </c>
      <c r="C82" s="23" t="s">
        <v>446</v>
      </c>
      <c r="D82" s="24" t="s">
        <v>346</v>
      </c>
      <c r="E82" s="25">
        <v>10560</v>
      </c>
      <c r="F82" s="25">
        <f t="shared" si="4"/>
        <v>232320</v>
      </c>
      <c r="G82" s="36" t="s">
        <v>34</v>
      </c>
      <c r="H82" s="15">
        <f t="shared" si="5"/>
        <v>2787840</v>
      </c>
      <c r="I82" s="15">
        <f t="shared" si="6"/>
        <v>8363520</v>
      </c>
      <c r="J82" s="15">
        <v>50000</v>
      </c>
      <c r="K82" s="15">
        <v>250000</v>
      </c>
      <c r="L82" s="15">
        <v>50000</v>
      </c>
      <c r="M82" s="15">
        <f t="shared" si="7"/>
        <v>50181.120000000003</v>
      </c>
    </row>
    <row r="83" spans="1:13" ht="15" customHeight="1" x14ac:dyDescent="0.3">
      <c r="A83" s="22">
        <v>76</v>
      </c>
      <c r="B83" s="23" t="s">
        <v>447</v>
      </c>
      <c r="C83" s="23" t="s">
        <v>448</v>
      </c>
      <c r="D83" s="24" t="s">
        <v>424</v>
      </c>
      <c r="E83" s="25">
        <v>6600</v>
      </c>
      <c r="F83" s="25">
        <f t="shared" si="4"/>
        <v>145200</v>
      </c>
      <c r="G83" s="36" t="s">
        <v>34</v>
      </c>
      <c r="H83" s="15">
        <f t="shared" si="5"/>
        <v>1742400</v>
      </c>
      <c r="I83" s="15">
        <f t="shared" si="6"/>
        <v>5227200</v>
      </c>
      <c r="J83" s="15">
        <v>50000</v>
      </c>
      <c r="K83" s="15">
        <v>250000</v>
      </c>
      <c r="L83" s="15">
        <v>50000</v>
      </c>
      <c r="M83" s="15">
        <f t="shared" si="7"/>
        <v>31363.200000000001</v>
      </c>
    </row>
    <row r="84" spans="1:13" ht="15" customHeight="1" x14ac:dyDescent="0.3">
      <c r="A84" s="22">
        <v>77</v>
      </c>
      <c r="B84" s="23" t="s">
        <v>149</v>
      </c>
      <c r="C84" s="23" t="s">
        <v>449</v>
      </c>
      <c r="D84" s="24" t="s">
        <v>424</v>
      </c>
      <c r="E84" s="25">
        <v>6600</v>
      </c>
      <c r="F84" s="25">
        <f t="shared" si="4"/>
        <v>145200</v>
      </c>
      <c r="G84" s="36" t="s">
        <v>34</v>
      </c>
      <c r="H84" s="15">
        <f t="shared" si="5"/>
        <v>1742400</v>
      </c>
      <c r="I84" s="15">
        <f t="shared" si="6"/>
        <v>5227200</v>
      </c>
      <c r="J84" s="15">
        <v>50000</v>
      </c>
      <c r="K84" s="15">
        <v>250000</v>
      </c>
      <c r="L84" s="15">
        <v>50000</v>
      </c>
      <c r="M84" s="15">
        <f t="shared" si="7"/>
        <v>31363.200000000001</v>
      </c>
    </row>
    <row r="85" spans="1:13" ht="15" customHeight="1" x14ac:dyDescent="0.3">
      <c r="A85" s="22">
        <v>78</v>
      </c>
      <c r="B85" s="23" t="s">
        <v>32</v>
      </c>
      <c r="C85" s="23" t="s">
        <v>450</v>
      </c>
      <c r="D85" s="24" t="s">
        <v>47</v>
      </c>
      <c r="E85" s="25">
        <v>6600</v>
      </c>
      <c r="F85" s="25">
        <f t="shared" si="4"/>
        <v>145200</v>
      </c>
      <c r="G85" s="36" t="s">
        <v>34</v>
      </c>
      <c r="H85" s="15">
        <f t="shared" si="5"/>
        <v>1742400</v>
      </c>
      <c r="I85" s="15">
        <f t="shared" si="6"/>
        <v>5227200</v>
      </c>
      <c r="J85" s="15">
        <v>50000</v>
      </c>
      <c r="K85" s="15">
        <v>250000</v>
      </c>
      <c r="L85" s="15">
        <v>50000</v>
      </c>
      <c r="M85" s="15">
        <f t="shared" si="7"/>
        <v>31363.200000000001</v>
      </c>
    </row>
    <row r="86" spans="1:13" ht="15" customHeight="1" x14ac:dyDescent="0.3">
      <c r="A86" s="22">
        <v>79</v>
      </c>
      <c r="B86" s="23" t="s">
        <v>439</v>
      </c>
      <c r="C86" s="23" t="s">
        <v>451</v>
      </c>
      <c r="D86" s="24" t="s">
        <v>359</v>
      </c>
      <c r="E86" s="25">
        <v>9240</v>
      </c>
      <c r="F86" s="25">
        <f t="shared" si="4"/>
        <v>203280</v>
      </c>
      <c r="G86" s="36" t="s">
        <v>34</v>
      </c>
      <c r="H86" s="15">
        <f t="shared" si="5"/>
        <v>2439360</v>
      </c>
      <c r="I86" s="15">
        <f t="shared" si="6"/>
        <v>7318080</v>
      </c>
      <c r="J86" s="15">
        <v>50000</v>
      </c>
      <c r="K86" s="15">
        <v>250000</v>
      </c>
      <c r="L86" s="15">
        <v>50000</v>
      </c>
      <c r="M86" s="15">
        <f t="shared" si="7"/>
        <v>43908.480000000003</v>
      </c>
    </row>
    <row r="87" spans="1:13" ht="15" customHeight="1" x14ac:dyDescent="0.3">
      <c r="A87" s="22">
        <v>80</v>
      </c>
      <c r="B87" s="23" t="s">
        <v>452</v>
      </c>
      <c r="C87" s="23" t="s">
        <v>357</v>
      </c>
      <c r="D87" s="24" t="s">
        <v>354</v>
      </c>
      <c r="E87" s="25">
        <v>7260</v>
      </c>
      <c r="F87" s="25">
        <f t="shared" si="4"/>
        <v>159720</v>
      </c>
      <c r="G87" s="36" t="s">
        <v>34</v>
      </c>
      <c r="H87" s="15">
        <f t="shared" si="5"/>
        <v>1916640</v>
      </c>
      <c r="I87" s="15">
        <f t="shared" si="6"/>
        <v>5749920</v>
      </c>
      <c r="J87" s="15">
        <v>50000</v>
      </c>
      <c r="K87" s="15">
        <v>250000</v>
      </c>
      <c r="L87" s="15">
        <v>50000</v>
      </c>
      <c r="M87" s="15">
        <f t="shared" si="7"/>
        <v>34499.519999999997</v>
      </c>
    </row>
    <row r="88" spans="1:13" ht="15" customHeight="1" x14ac:dyDescent="0.3">
      <c r="A88" s="22">
        <v>81</v>
      </c>
      <c r="B88" s="23" t="s">
        <v>453</v>
      </c>
      <c r="C88" s="23" t="s">
        <v>454</v>
      </c>
      <c r="D88" s="24" t="s">
        <v>455</v>
      </c>
      <c r="E88" s="25">
        <v>15840</v>
      </c>
      <c r="F88" s="25">
        <f t="shared" si="4"/>
        <v>348480</v>
      </c>
      <c r="G88" s="36" t="s">
        <v>34</v>
      </c>
      <c r="H88" s="15">
        <f t="shared" si="5"/>
        <v>4181760</v>
      </c>
      <c r="I88" s="15">
        <f t="shared" si="6"/>
        <v>12545280</v>
      </c>
      <c r="J88" s="15">
        <v>50000</v>
      </c>
      <c r="K88" s="15">
        <v>250000</v>
      </c>
      <c r="L88" s="15">
        <v>50000</v>
      </c>
      <c r="M88" s="15">
        <f t="shared" si="7"/>
        <v>75271.679999999993</v>
      </c>
    </row>
    <row r="89" spans="1:13" ht="15" customHeight="1" x14ac:dyDescent="0.3">
      <c r="A89" s="22">
        <v>82</v>
      </c>
      <c r="B89" s="23" t="s">
        <v>456</v>
      </c>
      <c r="C89" s="23" t="s">
        <v>457</v>
      </c>
      <c r="D89" s="24" t="s">
        <v>316</v>
      </c>
      <c r="E89" s="25">
        <v>11880</v>
      </c>
      <c r="F89" s="25">
        <f t="shared" si="4"/>
        <v>261360</v>
      </c>
      <c r="G89" s="36" t="s">
        <v>34</v>
      </c>
      <c r="H89" s="15">
        <f t="shared" si="5"/>
        <v>3136320</v>
      </c>
      <c r="I89" s="15">
        <f t="shared" si="6"/>
        <v>9408960</v>
      </c>
      <c r="J89" s="15">
        <v>50000</v>
      </c>
      <c r="K89" s="15">
        <v>250000</v>
      </c>
      <c r="L89" s="15">
        <v>50000</v>
      </c>
      <c r="M89" s="15">
        <f t="shared" si="7"/>
        <v>56453.760000000002</v>
      </c>
    </row>
    <row r="90" spans="1:13" ht="15" customHeight="1" x14ac:dyDescent="0.3">
      <c r="A90" s="22">
        <v>83</v>
      </c>
      <c r="B90" s="23" t="s">
        <v>458</v>
      </c>
      <c r="C90" s="23" t="s">
        <v>459</v>
      </c>
      <c r="D90" s="24" t="s">
        <v>332</v>
      </c>
      <c r="E90" s="25">
        <v>9240</v>
      </c>
      <c r="F90" s="25">
        <f t="shared" si="4"/>
        <v>203280</v>
      </c>
      <c r="G90" s="36" t="s">
        <v>34</v>
      </c>
      <c r="H90" s="15">
        <f t="shared" si="5"/>
        <v>2439360</v>
      </c>
      <c r="I90" s="15">
        <f t="shared" si="6"/>
        <v>7318080</v>
      </c>
      <c r="J90" s="15">
        <v>50000</v>
      </c>
      <c r="K90" s="15">
        <v>250000</v>
      </c>
      <c r="L90" s="15">
        <v>50000</v>
      </c>
      <c r="M90" s="15">
        <f t="shared" si="7"/>
        <v>43908.480000000003</v>
      </c>
    </row>
    <row r="91" spans="1:13" ht="15" customHeight="1" x14ac:dyDescent="0.3">
      <c r="A91" s="22">
        <v>84</v>
      </c>
      <c r="B91" s="23" t="s">
        <v>41</v>
      </c>
      <c r="C91" s="23" t="s">
        <v>300</v>
      </c>
      <c r="D91" s="24" t="s">
        <v>329</v>
      </c>
      <c r="E91" s="25">
        <v>7260</v>
      </c>
      <c r="F91" s="25">
        <f t="shared" si="4"/>
        <v>159720</v>
      </c>
      <c r="G91" s="36" t="s">
        <v>34</v>
      </c>
      <c r="H91" s="15">
        <f t="shared" si="5"/>
        <v>1916640</v>
      </c>
      <c r="I91" s="15">
        <f t="shared" si="6"/>
        <v>5749920</v>
      </c>
      <c r="J91" s="15">
        <v>50000</v>
      </c>
      <c r="K91" s="15">
        <v>250000</v>
      </c>
      <c r="L91" s="15">
        <v>50000</v>
      </c>
      <c r="M91" s="15">
        <f t="shared" si="7"/>
        <v>34499.519999999997</v>
      </c>
    </row>
    <row r="92" spans="1:13" ht="15" customHeight="1" x14ac:dyDescent="0.3">
      <c r="A92" s="22">
        <v>85</v>
      </c>
      <c r="B92" s="23" t="s">
        <v>164</v>
      </c>
      <c r="C92" s="23" t="s">
        <v>460</v>
      </c>
      <c r="D92" s="24" t="s">
        <v>455</v>
      </c>
      <c r="E92" s="25">
        <v>14520</v>
      </c>
      <c r="F92" s="25">
        <f t="shared" si="4"/>
        <v>319440</v>
      </c>
      <c r="G92" s="36" t="s">
        <v>34</v>
      </c>
      <c r="H92" s="15">
        <f t="shared" si="5"/>
        <v>3833280</v>
      </c>
      <c r="I92" s="15">
        <f t="shared" si="6"/>
        <v>11499840</v>
      </c>
      <c r="J92" s="15">
        <v>50000</v>
      </c>
      <c r="K92" s="15">
        <v>250000</v>
      </c>
      <c r="L92" s="15">
        <v>50000</v>
      </c>
      <c r="M92" s="15">
        <f t="shared" si="7"/>
        <v>68999.039999999994</v>
      </c>
    </row>
    <row r="93" spans="1:13" ht="15" customHeight="1" x14ac:dyDescent="0.3">
      <c r="A93" s="22">
        <v>86</v>
      </c>
      <c r="B93" s="23" t="s">
        <v>420</v>
      </c>
      <c r="C93" s="23" t="s">
        <v>168</v>
      </c>
      <c r="D93" s="24" t="s">
        <v>329</v>
      </c>
      <c r="E93" s="25">
        <v>7260</v>
      </c>
      <c r="F93" s="25">
        <f t="shared" si="4"/>
        <v>159720</v>
      </c>
      <c r="G93" s="36" t="s">
        <v>34</v>
      </c>
      <c r="H93" s="15">
        <f t="shared" si="5"/>
        <v>1916640</v>
      </c>
      <c r="I93" s="15">
        <f t="shared" si="6"/>
        <v>5749920</v>
      </c>
      <c r="J93" s="15">
        <v>50000</v>
      </c>
      <c r="K93" s="15">
        <v>250000</v>
      </c>
      <c r="L93" s="15">
        <v>50000</v>
      </c>
      <c r="M93" s="15">
        <f t="shared" si="7"/>
        <v>34499.519999999997</v>
      </c>
    </row>
    <row r="94" spans="1:13" ht="15" customHeight="1" x14ac:dyDescent="0.3">
      <c r="A94" s="22">
        <v>87</v>
      </c>
      <c r="B94" s="23" t="s">
        <v>461</v>
      </c>
      <c r="C94" s="23" t="s">
        <v>462</v>
      </c>
      <c r="D94" s="24" t="s">
        <v>332</v>
      </c>
      <c r="E94" s="25">
        <v>9240</v>
      </c>
      <c r="F94" s="25">
        <f t="shared" si="4"/>
        <v>203280</v>
      </c>
      <c r="G94" s="36" t="s">
        <v>34</v>
      </c>
      <c r="H94" s="15">
        <f t="shared" si="5"/>
        <v>2439360</v>
      </c>
      <c r="I94" s="15">
        <f t="shared" si="6"/>
        <v>7318080</v>
      </c>
      <c r="J94" s="15">
        <v>50000</v>
      </c>
      <c r="K94" s="15">
        <v>250000</v>
      </c>
      <c r="L94" s="15">
        <v>50000</v>
      </c>
      <c r="M94" s="15">
        <f t="shared" si="7"/>
        <v>43908.480000000003</v>
      </c>
    </row>
    <row r="95" spans="1:13" ht="15" customHeight="1" x14ac:dyDescent="0.3">
      <c r="A95" s="22">
        <v>88</v>
      </c>
      <c r="B95" s="23" t="s">
        <v>463</v>
      </c>
      <c r="C95" s="23" t="s">
        <v>464</v>
      </c>
      <c r="D95" s="24" t="s">
        <v>329</v>
      </c>
      <c r="E95" s="25">
        <v>7260</v>
      </c>
      <c r="F95" s="25">
        <f t="shared" si="4"/>
        <v>159720</v>
      </c>
      <c r="G95" s="36" t="s">
        <v>34</v>
      </c>
      <c r="H95" s="15">
        <f t="shared" si="5"/>
        <v>1916640</v>
      </c>
      <c r="I95" s="15">
        <f t="shared" si="6"/>
        <v>5749920</v>
      </c>
      <c r="J95" s="15">
        <v>50000</v>
      </c>
      <c r="K95" s="15">
        <v>250000</v>
      </c>
      <c r="L95" s="15">
        <v>50000</v>
      </c>
      <c r="M95" s="15">
        <f t="shared" si="7"/>
        <v>34499.519999999997</v>
      </c>
    </row>
    <row r="96" spans="1:13" ht="15" customHeight="1" x14ac:dyDescent="0.3">
      <c r="A96" s="22">
        <v>89</v>
      </c>
      <c r="B96" s="23" t="s">
        <v>465</v>
      </c>
      <c r="C96" s="23" t="s">
        <v>466</v>
      </c>
      <c r="D96" s="24" t="s">
        <v>332</v>
      </c>
      <c r="E96" s="25">
        <v>9240</v>
      </c>
      <c r="F96" s="25">
        <f t="shared" si="4"/>
        <v>203280</v>
      </c>
      <c r="G96" s="36" t="s">
        <v>34</v>
      </c>
      <c r="H96" s="15">
        <f t="shared" si="5"/>
        <v>2439360</v>
      </c>
      <c r="I96" s="15">
        <f t="shared" si="6"/>
        <v>7318080</v>
      </c>
      <c r="J96" s="15">
        <v>50000</v>
      </c>
      <c r="K96" s="15">
        <v>250000</v>
      </c>
      <c r="L96" s="15">
        <v>50000</v>
      </c>
      <c r="M96" s="15">
        <f t="shared" si="7"/>
        <v>43908.480000000003</v>
      </c>
    </row>
    <row r="97" spans="1:13" ht="15" customHeight="1" x14ac:dyDescent="0.3">
      <c r="A97" s="22">
        <v>90</v>
      </c>
      <c r="B97" s="23" t="s">
        <v>311</v>
      </c>
      <c r="C97" s="23" t="s">
        <v>467</v>
      </c>
      <c r="D97" s="24" t="s">
        <v>359</v>
      </c>
      <c r="E97" s="25">
        <v>9240</v>
      </c>
      <c r="F97" s="25">
        <f t="shared" si="4"/>
        <v>203280</v>
      </c>
      <c r="G97" s="36" t="s">
        <v>34</v>
      </c>
      <c r="H97" s="15">
        <f t="shared" si="5"/>
        <v>2439360</v>
      </c>
      <c r="I97" s="15">
        <f t="shared" si="6"/>
        <v>7318080</v>
      </c>
      <c r="J97" s="15">
        <v>50000</v>
      </c>
      <c r="K97" s="15">
        <v>250000</v>
      </c>
      <c r="L97" s="15">
        <v>50000</v>
      </c>
      <c r="M97" s="15">
        <f t="shared" si="7"/>
        <v>43908.480000000003</v>
      </c>
    </row>
    <row r="98" spans="1:13" ht="15" customHeight="1" x14ac:dyDescent="0.3">
      <c r="A98" s="22">
        <v>91</v>
      </c>
      <c r="B98" s="23" t="s">
        <v>468</v>
      </c>
      <c r="C98" s="23" t="s">
        <v>469</v>
      </c>
      <c r="D98" s="24" t="s">
        <v>408</v>
      </c>
      <c r="E98" s="25">
        <v>6600</v>
      </c>
      <c r="F98" s="25">
        <f t="shared" si="4"/>
        <v>145200</v>
      </c>
      <c r="G98" s="36" t="s">
        <v>34</v>
      </c>
      <c r="H98" s="15">
        <f t="shared" si="5"/>
        <v>1742400</v>
      </c>
      <c r="I98" s="15">
        <f t="shared" si="6"/>
        <v>5227200</v>
      </c>
      <c r="J98" s="15">
        <v>50000</v>
      </c>
      <c r="K98" s="15">
        <v>250000</v>
      </c>
      <c r="L98" s="15">
        <v>50000</v>
      </c>
      <c r="M98" s="15">
        <f t="shared" si="7"/>
        <v>31363.200000000001</v>
      </c>
    </row>
    <row r="99" spans="1:13" ht="15" customHeight="1" x14ac:dyDescent="0.3">
      <c r="A99" s="22">
        <v>92</v>
      </c>
      <c r="B99" s="23" t="s">
        <v>61</v>
      </c>
      <c r="C99" s="23" t="s">
        <v>164</v>
      </c>
      <c r="D99" s="24" t="s">
        <v>388</v>
      </c>
      <c r="E99" s="25">
        <v>6600</v>
      </c>
      <c r="F99" s="25">
        <f t="shared" si="4"/>
        <v>145200</v>
      </c>
      <c r="G99" s="36" t="s">
        <v>34</v>
      </c>
      <c r="H99" s="15">
        <f t="shared" si="5"/>
        <v>1742400</v>
      </c>
      <c r="I99" s="15">
        <f t="shared" si="6"/>
        <v>5227200</v>
      </c>
      <c r="J99" s="15">
        <v>50000</v>
      </c>
      <c r="K99" s="15">
        <v>250000</v>
      </c>
      <c r="L99" s="15">
        <v>50000</v>
      </c>
      <c r="M99" s="15">
        <f t="shared" si="7"/>
        <v>31363.200000000001</v>
      </c>
    </row>
    <row r="100" spans="1:13" ht="15" customHeight="1" x14ac:dyDescent="0.3">
      <c r="A100" s="22">
        <v>93</v>
      </c>
      <c r="B100" s="23" t="s">
        <v>164</v>
      </c>
      <c r="C100" s="23" t="s">
        <v>470</v>
      </c>
      <c r="D100" s="24" t="s">
        <v>408</v>
      </c>
      <c r="E100" s="25">
        <v>6600</v>
      </c>
      <c r="F100" s="25">
        <f t="shared" si="4"/>
        <v>145200</v>
      </c>
      <c r="G100" s="36" t="s">
        <v>34</v>
      </c>
      <c r="H100" s="15">
        <f t="shared" si="5"/>
        <v>1742400</v>
      </c>
      <c r="I100" s="15">
        <f t="shared" si="6"/>
        <v>5227200</v>
      </c>
      <c r="J100" s="15">
        <v>50000</v>
      </c>
      <c r="K100" s="15">
        <v>250000</v>
      </c>
      <c r="L100" s="15">
        <v>50000</v>
      </c>
      <c r="M100" s="15">
        <f t="shared" si="7"/>
        <v>31363.200000000001</v>
      </c>
    </row>
    <row r="101" spans="1:13" ht="15" customHeight="1" x14ac:dyDescent="0.3">
      <c r="A101" s="22">
        <v>94</v>
      </c>
      <c r="B101" s="23" t="s">
        <v>317</v>
      </c>
      <c r="C101" s="23" t="s">
        <v>471</v>
      </c>
      <c r="D101" s="24" t="s">
        <v>408</v>
      </c>
      <c r="E101" s="25">
        <v>6600</v>
      </c>
      <c r="F101" s="25">
        <f t="shared" si="4"/>
        <v>145200</v>
      </c>
      <c r="G101" s="36" t="s">
        <v>34</v>
      </c>
      <c r="H101" s="15">
        <f t="shared" si="5"/>
        <v>1742400</v>
      </c>
      <c r="I101" s="15">
        <f t="shared" si="6"/>
        <v>5227200</v>
      </c>
      <c r="J101" s="15">
        <v>50000</v>
      </c>
      <c r="K101" s="15">
        <v>250000</v>
      </c>
      <c r="L101" s="15">
        <v>50000</v>
      </c>
      <c r="M101" s="15">
        <f t="shared" si="7"/>
        <v>31363.200000000001</v>
      </c>
    </row>
    <row r="102" spans="1:13" ht="15" customHeight="1" x14ac:dyDescent="0.3">
      <c r="A102" s="22">
        <v>95</v>
      </c>
      <c r="B102" s="23" t="s">
        <v>472</v>
      </c>
      <c r="C102" s="23" t="s">
        <v>473</v>
      </c>
      <c r="D102" s="24" t="s">
        <v>424</v>
      </c>
      <c r="E102" s="25">
        <v>6600</v>
      </c>
      <c r="F102" s="25">
        <f t="shared" si="4"/>
        <v>145200</v>
      </c>
      <c r="G102" s="36" t="s">
        <v>34</v>
      </c>
      <c r="H102" s="15">
        <f t="shared" si="5"/>
        <v>1742400</v>
      </c>
      <c r="I102" s="15">
        <f t="shared" si="6"/>
        <v>5227200</v>
      </c>
      <c r="J102" s="15">
        <v>50000</v>
      </c>
      <c r="K102" s="15">
        <v>250000</v>
      </c>
      <c r="L102" s="15">
        <v>50000</v>
      </c>
      <c r="M102" s="15">
        <f t="shared" si="7"/>
        <v>31363.200000000001</v>
      </c>
    </row>
    <row r="103" spans="1:13" ht="15" customHeight="1" x14ac:dyDescent="0.3">
      <c r="A103" s="22">
        <v>96</v>
      </c>
      <c r="B103" s="23" t="s">
        <v>474</v>
      </c>
      <c r="C103" s="23" t="s">
        <v>475</v>
      </c>
      <c r="D103" s="24" t="s">
        <v>476</v>
      </c>
      <c r="E103" s="25">
        <v>68019.44</v>
      </c>
      <c r="F103" s="25">
        <f t="shared" si="4"/>
        <v>1496427.6800000002</v>
      </c>
      <c r="G103" s="36" t="s">
        <v>34</v>
      </c>
      <c r="H103" s="15">
        <f t="shared" si="5"/>
        <v>17957132.160000004</v>
      </c>
      <c r="I103" s="15">
        <f t="shared" si="6"/>
        <v>53871396.480000012</v>
      </c>
      <c r="J103" s="15">
        <v>50000</v>
      </c>
      <c r="K103" s="15">
        <v>250000</v>
      </c>
      <c r="L103" s="15">
        <v>50000</v>
      </c>
      <c r="M103" s="15">
        <f t="shared" si="7"/>
        <v>323228.37888000003</v>
      </c>
    </row>
    <row r="104" spans="1:13" ht="15" customHeight="1" x14ac:dyDescent="0.3">
      <c r="A104" s="22">
        <v>97</v>
      </c>
      <c r="B104" s="23" t="s">
        <v>477</v>
      </c>
      <c r="C104" s="23" t="s">
        <v>478</v>
      </c>
      <c r="D104" s="24" t="s">
        <v>47</v>
      </c>
      <c r="E104" s="25">
        <v>6600</v>
      </c>
      <c r="F104" s="25">
        <f t="shared" si="4"/>
        <v>145200</v>
      </c>
      <c r="G104" s="36" t="s">
        <v>34</v>
      </c>
      <c r="H104" s="15">
        <f t="shared" si="5"/>
        <v>1742400</v>
      </c>
      <c r="I104" s="15">
        <f t="shared" si="6"/>
        <v>5227200</v>
      </c>
      <c r="J104" s="15">
        <v>50000</v>
      </c>
      <c r="K104" s="15">
        <v>250000</v>
      </c>
      <c r="L104" s="15">
        <v>50000</v>
      </c>
      <c r="M104" s="15">
        <f t="shared" si="7"/>
        <v>31363.200000000001</v>
      </c>
    </row>
    <row r="105" spans="1:13" ht="15" customHeight="1" x14ac:dyDescent="0.3">
      <c r="A105" s="22">
        <v>98</v>
      </c>
      <c r="B105" s="23" t="s">
        <v>425</v>
      </c>
      <c r="C105" s="23" t="s">
        <v>479</v>
      </c>
      <c r="D105" s="24" t="s">
        <v>388</v>
      </c>
      <c r="E105" s="25">
        <v>5280</v>
      </c>
      <c r="F105" s="25">
        <f t="shared" si="4"/>
        <v>116160</v>
      </c>
      <c r="G105" s="36" t="s">
        <v>34</v>
      </c>
      <c r="H105" s="15">
        <f t="shared" si="5"/>
        <v>1393920</v>
      </c>
      <c r="I105" s="15">
        <f t="shared" si="6"/>
        <v>4181760</v>
      </c>
      <c r="J105" s="15">
        <v>50000</v>
      </c>
      <c r="K105" s="15">
        <v>250000</v>
      </c>
      <c r="L105" s="15">
        <v>50000</v>
      </c>
      <c r="M105" s="15">
        <f t="shared" si="7"/>
        <v>25090.560000000001</v>
      </c>
    </row>
    <row r="106" spans="1:13" ht="15" customHeight="1" x14ac:dyDescent="0.3">
      <c r="A106" s="22">
        <v>99</v>
      </c>
      <c r="B106" s="23" t="s">
        <v>383</v>
      </c>
      <c r="C106" s="23" t="s">
        <v>480</v>
      </c>
      <c r="D106" s="24" t="s">
        <v>310</v>
      </c>
      <c r="E106" s="25">
        <v>6600</v>
      </c>
      <c r="F106" s="25">
        <f t="shared" si="4"/>
        <v>145200</v>
      </c>
      <c r="G106" s="36" t="s">
        <v>34</v>
      </c>
      <c r="H106" s="15">
        <f t="shared" si="5"/>
        <v>1742400</v>
      </c>
      <c r="I106" s="15">
        <f t="shared" si="6"/>
        <v>5227200</v>
      </c>
      <c r="J106" s="15">
        <v>50000</v>
      </c>
      <c r="K106" s="15">
        <v>250000</v>
      </c>
      <c r="L106" s="15">
        <v>50000</v>
      </c>
      <c r="M106" s="15">
        <f t="shared" si="7"/>
        <v>31363.200000000001</v>
      </c>
    </row>
    <row r="107" spans="1:13" ht="15" customHeight="1" x14ac:dyDescent="0.3">
      <c r="A107" s="22">
        <v>100</v>
      </c>
      <c r="B107" s="23" t="s">
        <v>481</v>
      </c>
      <c r="C107" s="23" t="s">
        <v>482</v>
      </c>
      <c r="D107" s="24" t="s">
        <v>332</v>
      </c>
      <c r="E107" s="25">
        <v>9240</v>
      </c>
      <c r="F107" s="25">
        <f t="shared" si="4"/>
        <v>203280</v>
      </c>
      <c r="G107" s="36" t="s">
        <v>34</v>
      </c>
      <c r="H107" s="15">
        <f t="shared" si="5"/>
        <v>2439360</v>
      </c>
      <c r="I107" s="15">
        <f t="shared" si="6"/>
        <v>7318080</v>
      </c>
      <c r="J107" s="15">
        <v>50000</v>
      </c>
      <c r="K107" s="15">
        <v>250000</v>
      </c>
      <c r="L107" s="15">
        <v>50000</v>
      </c>
      <c r="M107" s="15">
        <f t="shared" si="7"/>
        <v>43908.480000000003</v>
      </c>
    </row>
    <row r="108" spans="1:13" ht="15" customHeight="1" x14ac:dyDescent="0.3">
      <c r="A108" s="22">
        <v>101</v>
      </c>
      <c r="B108" s="23" t="s">
        <v>483</v>
      </c>
      <c r="C108" s="23" t="s">
        <v>89</v>
      </c>
      <c r="D108" s="24" t="s">
        <v>484</v>
      </c>
      <c r="E108" s="25">
        <v>5280</v>
      </c>
      <c r="F108" s="25">
        <f t="shared" si="4"/>
        <v>116160</v>
      </c>
      <c r="G108" s="36" t="s">
        <v>34</v>
      </c>
      <c r="H108" s="15">
        <f t="shared" si="5"/>
        <v>1393920</v>
      </c>
      <c r="I108" s="15">
        <f t="shared" si="6"/>
        <v>4181760</v>
      </c>
      <c r="J108" s="15">
        <v>50000</v>
      </c>
      <c r="K108" s="15">
        <v>250000</v>
      </c>
      <c r="L108" s="15">
        <v>50000</v>
      </c>
      <c r="M108" s="15">
        <f t="shared" si="7"/>
        <v>25090.560000000001</v>
      </c>
    </row>
    <row r="109" spans="1:13" ht="15" customHeight="1" x14ac:dyDescent="0.3">
      <c r="A109" s="22">
        <v>102</v>
      </c>
      <c r="B109" s="23" t="s">
        <v>485</v>
      </c>
      <c r="C109" s="23" t="s">
        <v>486</v>
      </c>
      <c r="D109" s="24" t="s">
        <v>484</v>
      </c>
      <c r="E109" s="25">
        <v>5280</v>
      </c>
      <c r="F109" s="25">
        <f t="shared" si="4"/>
        <v>116160</v>
      </c>
      <c r="G109" s="36" t="s">
        <v>34</v>
      </c>
      <c r="H109" s="15">
        <f t="shared" si="5"/>
        <v>1393920</v>
      </c>
      <c r="I109" s="15">
        <f t="shared" si="6"/>
        <v>4181760</v>
      </c>
      <c r="J109" s="15">
        <v>50000</v>
      </c>
      <c r="K109" s="15">
        <v>250000</v>
      </c>
      <c r="L109" s="15">
        <v>50000</v>
      </c>
      <c r="M109" s="15">
        <f t="shared" si="7"/>
        <v>25090.560000000001</v>
      </c>
    </row>
    <row r="110" spans="1:13" ht="15" customHeight="1" x14ac:dyDescent="0.3">
      <c r="A110" s="22">
        <v>103</v>
      </c>
      <c r="B110" s="23" t="s">
        <v>487</v>
      </c>
      <c r="C110" s="23" t="s">
        <v>488</v>
      </c>
      <c r="D110" s="24" t="s">
        <v>359</v>
      </c>
      <c r="E110" s="25">
        <v>9240</v>
      </c>
      <c r="F110" s="25">
        <f t="shared" si="4"/>
        <v>203280</v>
      </c>
      <c r="G110" s="36" t="s">
        <v>34</v>
      </c>
      <c r="H110" s="15">
        <f t="shared" si="5"/>
        <v>2439360</v>
      </c>
      <c r="I110" s="15">
        <f t="shared" si="6"/>
        <v>7318080</v>
      </c>
      <c r="J110" s="15">
        <v>50000</v>
      </c>
      <c r="K110" s="15">
        <v>250000</v>
      </c>
      <c r="L110" s="15">
        <v>50000</v>
      </c>
      <c r="M110" s="15">
        <f t="shared" si="7"/>
        <v>43908.480000000003</v>
      </c>
    </row>
    <row r="111" spans="1:13" ht="15" customHeight="1" x14ac:dyDescent="0.3">
      <c r="A111" s="22">
        <v>104</v>
      </c>
      <c r="B111" s="23" t="s">
        <v>219</v>
      </c>
      <c r="C111" s="23" t="s">
        <v>489</v>
      </c>
      <c r="D111" s="24" t="s">
        <v>388</v>
      </c>
      <c r="E111" s="25">
        <v>5280</v>
      </c>
      <c r="F111" s="25">
        <f t="shared" si="4"/>
        <v>116160</v>
      </c>
      <c r="G111" s="36" t="s">
        <v>34</v>
      </c>
      <c r="H111" s="15">
        <f t="shared" si="5"/>
        <v>1393920</v>
      </c>
      <c r="I111" s="15">
        <f t="shared" si="6"/>
        <v>4181760</v>
      </c>
      <c r="J111" s="15">
        <v>50000</v>
      </c>
      <c r="K111" s="15">
        <v>250000</v>
      </c>
      <c r="L111" s="15">
        <v>50000</v>
      </c>
      <c r="M111" s="15">
        <f t="shared" si="7"/>
        <v>25090.560000000001</v>
      </c>
    </row>
    <row r="112" spans="1:13" ht="15" customHeight="1" x14ac:dyDescent="0.3">
      <c r="A112" s="22">
        <v>105</v>
      </c>
      <c r="B112" s="23" t="s">
        <v>490</v>
      </c>
      <c r="C112" s="23" t="s">
        <v>491</v>
      </c>
      <c r="D112" s="24" t="s">
        <v>435</v>
      </c>
      <c r="E112" s="25">
        <v>6600</v>
      </c>
      <c r="F112" s="25">
        <f t="shared" si="4"/>
        <v>145200</v>
      </c>
      <c r="G112" s="36" t="s">
        <v>34</v>
      </c>
      <c r="H112" s="15">
        <f t="shared" si="5"/>
        <v>1742400</v>
      </c>
      <c r="I112" s="15">
        <f t="shared" si="6"/>
        <v>5227200</v>
      </c>
      <c r="J112" s="15">
        <v>50000</v>
      </c>
      <c r="K112" s="15">
        <v>250000</v>
      </c>
      <c r="L112" s="15">
        <v>50000</v>
      </c>
      <c r="M112" s="15">
        <f t="shared" si="7"/>
        <v>31363.200000000001</v>
      </c>
    </row>
    <row r="113" spans="1:13" ht="15" customHeight="1" x14ac:dyDescent="0.3">
      <c r="A113" s="22">
        <v>106</v>
      </c>
      <c r="B113" s="23" t="s">
        <v>389</v>
      </c>
      <c r="C113" s="23" t="s">
        <v>492</v>
      </c>
      <c r="D113" s="24"/>
      <c r="E113" s="25">
        <v>5280</v>
      </c>
      <c r="F113" s="25">
        <f t="shared" si="4"/>
        <v>116160</v>
      </c>
      <c r="G113" s="36" t="s">
        <v>34</v>
      </c>
      <c r="H113" s="15">
        <f t="shared" si="5"/>
        <v>1393920</v>
      </c>
      <c r="I113" s="15">
        <f t="shared" si="6"/>
        <v>4181760</v>
      </c>
      <c r="J113" s="15">
        <v>50000</v>
      </c>
      <c r="K113" s="15">
        <v>250000</v>
      </c>
      <c r="L113" s="15">
        <v>50000</v>
      </c>
      <c r="M113" s="15">
        <f t="shared" si="7"/>
        <v>25090.560000000001</v>
      </c>
    </row>
    <row r="114" spans="1:13" ht="15" customHeight="1" x14ac:dyDescent="0.3">
      <c r="A114" s="22">
        <v>107</v>
      </c>
      <c r="B114" s="23" t="s">
        <v>493</v>
      </c>
      <c r="C114" s="23" t="s">
        <v>494</v>
      </c>
      <c r="D114" s="24" t="s">
        <v>495</v>
      </c>
      <c r="E114" s="25">
        <v>6000</v>
      </c>
      <c r="F114" s="25">
        <f t="shared" si="4"/>
        <v>132000</v>
      </c>
      <c r="G114" s="36" t="s">
        <v>34</v>
      </c>
      <c r="H114" s="15">
        <f t="shared" si="5"/>
        <v>1584000</v>
      </c>
      <c r="I114" s="15">
        <f t="shared" si="6"/>
        <v>4752000</v>
      </c>
      <c r="J114" s="15">
        <v>50000</v>
      </c>
      <c r="K114" s="15">
        <v>250000</v>
      </c>
      <c r="L114" s="15">
        <v>50000</v>
      </c>
      <c r="M114" s="15">
        <f t="shared" si="7"/>
        <v>28512</v>
      </c>
    </row>
    <row r="115" spans="1:13" ht="15" customHeight="1" x14ac:dyDescent="0.3">
      <c r="A115" s="22">
        <v>108</v>
      </c>
      <c r="B115" s="23" t="s">
        <v>164</v>
      </c>
      <c r="C115" s="23" t="s">
        <v>496</v>
      </c>
      <c r="D115" s="24" t="s">
        <v>497</v>
      </c>
      <c r="E115" s="25">
        <v>5280</v>
      </c>
      <c r="F115" s="25">
        <f t="shared" si="4"/>
        <v>116160</v>
      </c>
      <c r="G115" s="36" t="s">
        <v>34</v>
      </c>
      <c r="H115" s="15">
        <f t="shared" si="5"/>
        <v>1393920</v>
      </c>
      <c r="I115" s="15">
        <f t="shared" si="6"/>
        <v>4181760</v>
      </c>
      <c r="J115" s="15">
        <v>50000</v>
      </c>
      <c r="K115" s="15">
        <v>250000</v>
      </c>
      <c r="L115" s="15">
        <v>50000</v>
      </c>
      <c r="M115" s="15">
        <f t="shared" si="7"/>
        <v>25090.560000000001</v>
      </c>
    </row>
    <row r="116" spans="1:13" ht="15" customHeight="1" x14ac:dyDescent="0.3">
      <c r="A116" s="22">
        <v>109</v>
      </c>
      <c r="B116" s="23" t="s">
        <v>357</v>
      </c>
      <c r="C116" s="23" t="s">
        <v>498</v>
      </c>
      <c r="D116" s="24" t="s">
        <v>346</v>
      </c>
      <c r="E116" s="25">
        <v>15840</v>
      </c>
      <c r="F116" s="25">
        <f t="shared" si="4"/>
        <v>348480</v>
      </c>
      <c r="G116" s="36" t="s">
        <v>34</v>
      </c>
      <c r="H116" s="15">
        <f t="shared" si="5"/>
        <v>4181760</v>
      </c>
      <c r="I116" s="15">
        <f t="shared" si="6"/>
        <v>12545280</v>
      </c>
      <c r="J116" s="15">
        <v>50000</v>
      </c>
      <c r="K116" s="15">
        <v>250000</v>
      </c>
      <c r="L116" s="15">
        <v>50000</v>
      </c>
      <c r="M116" s="15">
        <f t="shared" si="7"/>
        <v>75271.679999999993</v>
      </c>
    </row>
    <row r="117" spans="1:13" ht="15" customHeight="1" x14ac:dyDescent="0.3">
      <c r="A117" s="22">
        <v>110</v>
      </c>
      <c r="B117" s="23" t="s">
        <v>499</v>
      </c>
      <c r="C117" s="23" t="s">
        <v>500</v>
      </c>
      <c r="D117" s="24" t="s">
        <v>495</v>
      </c>
      <c r="E117" s="25">
        <v>6000</v>
      </c>
      <c r="F117" s="25">
        <f t="shared" si="4"/>
        <v>132000</v>
      </c>
      <c r="G117" s="36" t="s">
        <v>34</v>
      </c>
      <c r="H117" s="15">
        <f t="shared" si="5"/>
        <v>1584000</v>
      </c>
      <c r="I117" s="15">
        <f t="shared" si="6"/>
        <v>4752000</v>
      </c>
      <c r="J117" s="15">
        <v>50000</v>
      </c>
      <c r="K117" s="15">
        <v>250000</v>
      </c>
      <c r="L117" s="15">
        <v>50000</v>
      </c>
      <c r="M117" s="15">
        <f t="shared" si="7"/>
        <v>28512</v>
      </c>
    </row>
    <row r="118" spans="1:13" ht="15" customHeight="1" x14ac:dyDescent="0.3">
      <c r="A118" s="22">
        <v>111</v>
      </c>
      <c r="B118" s="23" t="s">
        <v>501</v>
      </c>
      <c r="C118" s="23" t="s">
        <v>500</v>
      </c>
      <c r="D118" s="24" t="s">
        <v>310</v>
      </c>
      <c r="E118" s="25">
        <v>6600</v>
      </c>
      <c r="F118" s="25">
        <f t="shared" si="4"/>
        <v>145200</v>
      </c>
      <c r="G118" s="36" t="s">
        <v>34</v>
      </c>
      <c r="H118" s="15">
        <f t="shared" si="5"/>
        <v>1742400</v>
      </c>
      <c r="I118" s="15">
        <f t="shared" si="6"/>
        <v>5227200</v>
      </c>
      <c r="J118" s="15">
        <v>50000</v>
      </c>
      <c r="K118" s="15">
        <v>250000</v>
      </c>
      <c r="L118" s="15">
        <v>50000</v>
      </c>
      <c r="M118" s="15">
        <f t="shared" si="7"/>
        <v>31363.200000000001</v>
      </c>
    </row>
    <row r="119" spans="1:13" ht="15" customHeight="1" x14ac:dyDescent="0.3">
      <c r="A119" s="22">
        <v>112</v>
      </c>
      <c r="B119" s="23" t="s">
        <v>502</v>
      </c>
      <c r="C119" s="23" t="s">
        <v>503</v>
      </c>
      <c r="D119" s="24"/>
      <c r="E119" s="25">
        <v>13200</v>
      </c>
      <c r="F119" s="25">
        <f t="shared" si="4"/>
        <v>290400</v>
      </c>
      <c r="G119" s="36" t="s">
        <v>34</v>
      </c>
      <c r="H119" s="15">
        <f t="shared" si="5"/>
        <v>3484800</v>
      </c>
      <c r="I119" s="15">
        <f t="shared" si="6"/>
        <v>10454400</v>
      </c>
      <c r="J119" s="15">
        <v>50000</v>
      </c>
      <c r="K119" s="15">
        <v>250000</v>
      </c>
      <c r="L119" s="15">
        <v>50000</v>
      </c>
      <c r="M119" s="15">
        <f t="shared" si="7"/>
        <v>62726.400000000001</v>
      </c>
    </row>
    <row r="120" spans="1:13" ht="15" customHeight="1" x14ac:dyDescent="0.3">
      <c r="A120" s="22">
        <v>113</v>
      </c>
      <c r="B120" s="23" t="s">
        <v>399</v>
      </c>
      <c r="C120" s="23" t="s">
        <v>504</v>
      </c>
      <c r="D120" s="24" t="s">
        <v>346</v>
      </c>
      <c r="E120" s="25">
        <v>9240</v>
      </c>
      <c r="F120" s="25">
        <f t="shared" si="4"/>
        <v>203280</v>
      </c>
      <c r="G120" s="36" t="s">
        <v>34</v>
      </c>
      <c r="H120" s="15">
        <f t="shared" si="5"/>
        <v>2439360</v>
      </c>
      <c r="I120" s="15">
        <f t="shared" si="6"/>
        <v>7318080</v>
      </c>
      <c r="J120" s="15">
        <v>50000</v>
      </c>
      <c r="K120" s="15">
        <v>250000</v>
      </c>
      <c r="L120" s="15">
        <v>50000</v>
      </c>
      <c r="M120" s="15">
        <f t="shared" si="7"/>
        <v>43908.480000000003</v>
      </c>
    </row>
    <row r="121" spans="1:13" ht="15" customHeight="1" x14ac:dyDescent="0.3">
      <c r="A121" s="22">
        <v>114</v>
      </c>
      <c r="B121" s="23" t="s">
        <v>505</v>
      </c>
      <c r="C121" s="23" t="s">
        <v>32</v>
      </c>
      <c r="D121" s="24" t="s">
        <v>506</v>
      </c>
      <c r="E121" s="25">
        <v>7800</v>
      </c>
      <c r="F121" s="25">
        <f t="shared" si="4"/>
        <v>171600</v>
      </c>
      <c r="G121" s="36" t="s">
        <v>34</v>
      </c>
      <c r="H121" s="15">
        <f t="shared" si="5"/>
        <v>2059200</v>
      </c>
      <c r="I121" s="15">
        <f t="shared" si="6"/>
        <v>6177600</v>
      </c>
      <c r="J121" s="15">
        <v>50000</v>
      </c>
      <c r="K121" s="15">
        <v>250000</v>
      </c>
      <c r="L121" s="15">
        <v>50000</v>
      </c>
      <c r="M121" s="15">
        <f t="shared" si="7"/>
        <v>37065.599999999999</v>
      </c>
    </row>
    <row r="122" spans="1:13" ht="15" customHeight="1" x14ac:dyDescent="0.3">
      <c r="A122" s="22">
        <v>115</v>
      </c>
      <c r="B122" s="23" t="s">
        <v>496</v>
      </c>
      <c r="C122" s="23" t="s">
        <v>383</v>
      </c>
      <c r="D122" s="24" t="s">
        <v>346</v>
      </c>
      <c r="E122" s="25">
        <v>15840</v>
      </c>
      <c r="F122" s="25">
        <f t="shared" si="4"/>
        <v>348480</v>
      </c>
      <c r="G122" s="36" t="s">
        <v>34</v>
      </c>
      <c r="H122" s="15">
        <f t="shared" si="5"/>
        <v>4181760</v>
      </c>
      <c r="I122" s="15">
        <f t="shared" si="6"/>
        <v>12545280</v>
      </c>
      <c r="J122" s="15">
        <v>50000</v>
      </c>
      <c r="K122" s="15">
        <v>250000</v>
      </c>
      <c r="L122" s="15">
        <v>50000</v>
      </c>
      <c r="M122" s="15">
        <f t="shared" si="7"/>
        <v>75271.679999999993</v>
      </c>
    </row>
    <row r="123" spans="1:13" ht="15" customHeight="1" x14ac:dyDescent="0.3">
      <c r="A123" s="22">
        <v>116</v>
      </c>
      <c r="B123" s="23" t="s">
        <v>368</v>
      </c>
      <c r="C123" s="23" t="s">
        <v>365</v>
      </c>
      <c r="D123" s="24" t="s">
        <v>346</v>
      </c>
      <c r="E123" s="25">
        <v>15840</v>
      </c>
      <c r="F123" s="25">
        <f t="shared" si="4"/>
        <v>348480</v>
      </c>
      <c r="G123" s="36" t="s">
        <v>34</v>
      </c>
      <c r="H123" s="15">
        <f t="shared" si="5"/>
        <v>4181760</v>
      </c>
      <c r="I123" s="15">
        <f t="shared" si="6"/>
        <v>12545280</v>
      </c>
      <c r="J123" s="15">
        <v>50000</v>
      </c>
      <c r="K123" s="15">
        <v>250000</v>
      </c>
      <c r="L123" s="15">
        <v>50000</v>
      </c>
      <c r="M123" s="15">
        <f t="shared" si="7"/>
        <v>75271.679999999993</v>
      </c>
    </row>
    <row r="124" spans="1:13" ht="15" customHeight="1" x14ac:dyDescent="0.3">
      <c r="A124" s="22">
        <v>117</v>
      </c>
      <c r="B124" s="23" t="s">
        <v>507</v>
      </c>
      <c r="C124" s="23" t="s">
        <v>508</v>
      </c>
      <c r="D124" s="24" t="s">
        <v>310</v>
      </c>
      <c r="E124" s="25">
        <v>7920</v>
      </c>
      <c r="F124" s="25">
        <f t="shared" si="4"/>
        <v>174240</v>
      </c>
      <c r="G124" s="36" t="s">
        <v>34</v>
      </c>
      <c r="H124" s="15">
        <f t="shared" si="5"/>
        <v>2090880</v>
      </c>
      <c r="I124" s="15">
        <f t="shared" si="6"/>
        <v>6272640</v>
      </c>
      <c r="J124" s="15">
        <v>50000</v>
      </c>
      <c r="K124" s="15">
        <v>250000</v>
      </c>
      <c r="L124" s="15">
        <v>50000</v>
      </c>
      <c r="M124" s="15">
        <f t="shared" si="7"/>
        <v>37635.839999999997</v>
      </c>
    </row>
    <row r="125" spans="1:13" ht="15" customHeight="1" x14ac:dyDescent="0.3">
      <c r="A125" s="22">
        <v>118</v>
      </c>
      <c r="B125" s="23" t="s">
        <v>509</v>
      </c>
      <c r="C125" s="23" t="s">
        <v>510</v>
      </c>
      <c r="D125" s="24" t="s">
        <v>359</v>
      </c>
      <c r="E125" s="25">
        <v>9240</v>
      </c>
      <c r="F125" s="25">
        <f t="shared" si="4"/>
        <v>203280</v>
      </c>
      <c r="G125" s="36" t="s">
        <v>34</v>
      </c>
      <c r="H125" s="15">
        <f t="shared" si="5"/>
        <v>2439360</v>
      </c>
      <c r="I125" s="15">
        <f t="shared" si="6"/>
        <v>7318080</v>
      </c>
      <c r="J125" s="15">
        <v>50000</v>
      </c>
      <c r="K125" s="15">
        <v>250000</v>
      </c>
      <c r="L125" s="15">
        <v>50000</v>
      </c>
      <c r="M125" s="15">
        <f t="shared" si="7"/>
        <v>43908.480000000003</v>
      </c>
    </row>
    <row r="126" spans="1:13" ht="15" customHeight="1" x14ac:dyDescent="0.3">
      <c r="A126" s="22">
        <v>119</v>
      </c>
      <c r="B126" s="23" t="s">
        <v>511</v>
      </c>
      <c r="C126" s="23" t="s">
        <v>512</v>
      </c>
      <c r="D126" s="24"/>
      <c r="E126" s="25">
        <v>15840</v>
      </c>
      <c r="F126" s="25">
        <f t="shared" si="4"/>
        <v>348480</v>
      </c>
      <c r="G126" s="36" t="s">
        <v>34</v>
      </c>
      <c r="H126" s="15">
        <f t="shared" si="5"/>
        <v>4181760</v>
      </c>
      <c r="I126" s="15">
        <f t="shared" si="6"/>
        <v>12545280</v>
      </c>
      <c r="J126" s="15">
        <v>50000</v>
      </c>
      <c r="K126" s="15">
        <v>250000</v>
      </c>
      <c r="L126" s="15">
        <v>50000</v>
      </c>
      <c r="M126" s="15">
        <f t="shared" si="7"/>
        <v>75271.679999999993</v>
      </c>
    </row>
    <row r="127" spans="1:13" ht="15" customHeight="1" x14ac:dyDescent="0.3">
      <c r="A127" s="22">
        <v>120</v>
      </c>
      <c r="B127" s="23" t="s">
        <v>513</v>
      </c>
      <c r="C127" s="23" t="s">
        <v>386</v>
      </c>
      <c r="D127" s="24" t="s">
        <v>359</v>
      </c>
      <c r="E127" s="25">
        <v>9240</v>
      </c>
      <c r="F127" s="25">
        <f t="shared" si="4"/>
        <v>203280</v>
      </c>
      <c r="G127" s="36" t="s">
        <v>34</v>
      </c>
      <c r="H127" s="15">
        <f t="shared" si="5"/>
        <v>2439360</v>
      </c>
      <c r="I127" s="15">
        <f t="shared" si="6"/>
        <v>7318080</v>
      </c>
      <c r="J127" s="15">
        <v>50000</v>
      </c>
      <c r="K127" s="15">
        <v>250000</v>
      </c>
      <c r="L127" s="15">
        <v>50000</v>
      </c>
      <c r="M127" s="15">
        <f t="shared" si="7"/>
        <v>43908.480000000003</v>
      </c>
    </row>
    <row r="128" spans="1:13" ht="15" customHeight="1" x14ac:dyDescent="0.3">
      <c r="A128" s="22">
        <v>121</v>
      </c>
      <c r="B128" s="23" t="s">
        <v>514</v>
      </c>
      <c r="C128" s="23" t="s">
        <v>191</v>
      </c>
      <c r="D128" s="24" t="s">
        <v>359</v>
      </c>
      <c r="E128" s="25">
        <v>9240</v>
      </c>
      <c r="F128" s="25">
        <f t="shared" si="4"/>
        <v>203280</v>
      </c>
      <c r="G128" s="36" t="s">
        <v>34</v>
      </c>
      <c r="H128" s="15">
        <f t="shared" si="5"/>
        <v>2439360</v>
      </c>
      <c r="I128" s="15">
        <f t="shared" si="6"/>
        <v>7318080</v>
      </c>
      <c r="J128" s="15">
        <v>50000</v>
      </c>
      <c r="K128" s="15">
        <v>250000</v>
      </c>
      <c r="L128" s="15">
        <v>50000</v>
      </c>
      <c r="M128" s="15">
        <f t="shared" si="7"/>
        <v>43908.480000000003</v>
      </c>
    </row>
    <row r="129" spans="1:13" ht="15" customHeight="1" x14ac:dyDescent="0.3">
      <c r="A129" s="22">
        <v>122</v>
      </c>
      <c r="B129" s="23" t="s">
        <v>515</v>
      </c>
      <c r="C129" s="23" t="s">
        <v>516</v>
      </c>
      <c r="D129" s="24" t="s">
        <v>484</v>
      </c>
      <c r="E129" s="25">
        <v>5280</v>
      </c>
      <c r="F129" s="25">
        <f t="shared" si="4"/>
        <v>116160</v>
      </c>
      <c r="G129" s="36" t="s">
        <v>34</v>
      </c>
      <c r="H129" s="15">
        <f t="shared" si="5"/>
        <v>1393920</v>
      </c>
      <c r="I129" s="15">
        <f t="shared" si="6"/>
        <v>4181760</v>
      </c>
      <c r="J129" s="15">
        <v>50000</v>
      </c>
      <c r="K129" s="15">
        <v>250000</v>
      </c>
      <c r="L129" s="15">
        <v>50000</v>
      </c>
      <c r="M129" s="15">
        <f t="shared" si="7"/>
        <v>25090.560000000001</v>
      </c>
    </row>
    <row r="130" spans="1:13" ht="15" customHeight="1" x14ac:dyDescent="0.3">
      <c r="A130" s="22">
        <v>123</v>
      </c>
      <c r="B130" s="23" t="s">
        <v>32</v>
      </c>
      <c r="C130" s="23" t="s">
        <v>517</v>
      </c>
      <c r="D130" s="24" t="s">
        <v>359</v>
      </c>
      <c r="E130" s="25">
        <v>9240</v>
      </c>
      <c r="F130" s="25">
        <f t="shared" si="4"/>
        <v>203280</v>
      </c>
      <c r="G130" s="37" t="s">
        <v>34</v>
      </c>
      <c r="H130" s="15">
        <f t="shared" si="5"/>
        <v>2439360</v>
      </c>
      <c r="I130" s="15">
        <f t="shared" si="6"/>
        <v>7318080</v>
      </c>
      <c r="J130" s="15">
        <v>50000</v>
      </c>
      <c r="K130" s="15">
        <v>250000</v>
      </c>
      <c r="L130" s="15">
        <v>50000</v>
      </c>
      <c r="M130" s="15">
        <f t="shared" si="7"/>
        <v>43908.480000000003</v>
      </c>
    </row>
    <row r="131" spans="1:13" ht="15" customHeight="1" x14ac:dyDescent="0.3">
      <c r="A131" s="22">
        <v>124</v>
      </c>
      <c r="B131" s="23" t="s">
        <v>447</v>
      </c>
      <c r="C131" s="23" t="s">
        <v>518</v>
      </c>
      <c r="D131" s="24" t="s">
        <v>424</v>
      </c>
      <c r="E131" s="25">
        <v>6600</v>
      </c>
      <c r="F131" s="25">
        <f t="shared" si="4"/>
        <v>145200</v>
      </c>
      <c r="G131" s="36" t="s">
        <v>43</v>
      </c>
      <c r="H131" s="15">
        <f t="shared" si="5"/>
        <v>1742400</v>
      </c>
      <c r="I131" s="15">
        <f t="shared" si="6"/>
        <v>5227200</v>
      </c>
      <c r="J131" s="15">
        <v>50000</v>
      </c>
      <c r="K131" s="15">
        <v>250000</v>
      </c>
      <c r="L131" s="15">
        <v>50000</v>
      </c>
      <c r="M131" s="15">
        <f t="shared" si="7"/>
        <v>31363.200000000001</v>
      </c>
    </row>
    <row r="132" spans="1:13" ht="15" customHeight="1" x14ac:dyDescent="0.3">
      <c r="A132" s="22">
        <v>125</v>
      </c>
      <c r="B132" s="23" t="s">
        <v>519</v>
      </c>
      <c r="C132" s="23" t="s">
        <v>365</v>
      </c>
      <c r="D132" s="24" t="s">
        <v>424</v>
      </c>
      <c r="E132" s="25">
        <v>6600</v>
      </c>
      <c r="F132" s="25">
        <f t="shared" si="4"/>
        <v>145200</v>
      </c>
      <c r="G132" s="36" t="s">
        <v>43</v>
      </c>
      <c r="H132" s="15">
        <f t="shared" si="5"/>
        <v>1742400</v>
      </c>
      <c r="I132" s="15">
        <f t="shared" si="6"/>
        <v>5227200</v>
      </c>
      <c r="J132" s="15">
        <v>50000</v>
      </c>
      <c r="K132" s="15">
        <v>250000</v>
      </c>
      <c r="L132" s="15">
        <v>50000</v>
      </c>
      <c r="M132" s="15">
        <f t="shared" si="7"/>
        <v>31363.200000000001</v>
      </c>
    </row>
    <row r="133" spans="1:13" ht="15" customHeight="1" x14ac:dyDescent="0.3">
      <c r="A133" s="22">
        <v>126</v>
      </c>
      <c r="B133" s="23" t="s">
        <v>520</v>
      </c>
      <c r="C133" s="23" t="s">
        <v>521</v>
      </c>
      <c r="D133" s="24" t="s">
        <v>424</v>
      </c>
      <c r="E133" s="25">
        <v>6600</v>
      </c>
      <c r="F133" s="25">
        <f t="shared" si="4"/>
        <v>145200</v>
      </c>
      <c r="G133" s="36" t="s">
        <v>43</v>
      </c>
      <c r="H133" s="15">
        <f t="shared" si="5"/>
        <v>1742400</v>
      </c>
      <c r="I133" s="15">
        <f t="shared" si="6"/>
        <v>5227200</v>
      </c>
      <c r="J133" s="15">
        <v>50000</v>
      </c>
      <c r="K133" s="15">
        <v>250000</v>
      </c>
      <c r="L133" s="15">
        <v>50000</v>
      </c>
      <c r="M133" s="15">
        <f t="shared" si="7"/>
        <v>31363.200000000001</v>
      </c>
    </row>
    <row r="134" spans="1:13" ht="15" customHeight="1" x14ac:dyDescent="0.3">
      <c r="A134" s="22">
        <v>127</v>
      </c>
      <c r="B134" s="23" t="s">
        <v>118</v>
      </c>
      <c r="C134" s="23" t="s">
        <v>522</v>
      </c>
      <c r="D134" s="24" t="s">
        <v>424</v>
      </c>
      <c r="E134" s="25">
        <v>6600</v>
      </c>
      <c r="F134" s="25">
        <f t="shared" si="4"/>
        <v>145200</v>
      </c>
      <c r="G134" s="36" t="s">
        <v>43</v>
      </c>
      <c r="H134" s="15">
        <f t="shared" si="5"/>
        <v>1742400</v>
      </c>
      <c r="I134" s="15">
        <f t="shared" si="6"/>
        <v>5227200</v>
      </c>
      <c r="J134" s="15">
        <v>50000</v>
      </c>
      <c r="K134" s="15">
        <v>250000</v>
      </c>
      <c r="L134" s="15">
        <v>50000</v>
      </c>
      <c r="M134" s="15">
        <f t="shared" si="7"/>
        <v>31363.200000000001</v>
      </c>
    </row>
    <row r="135" spans="1:13" ht="15" customHeight="1" x14ac:dyDescent="0.3">
      <c r="A135" s="22">
        <v>128</v>
      </c>
      <c r="B135" s="23" t="s">
        <v>483</v>
      </c>
      <c r="C135" s="23" t="s">
        <v>523</v>
      </c>
      <c r="D135" s="24" t="s">
        <v>524</v>
      </c>
      <c r="E135" s="25">
        <v>5500</v>
      </c>
      <c r="F135" s="25">
        <f t="shared" si="4"/>
        <v>121000</v>
      </c>
      <c r="G135" s="36" t="s">
        <v>43</v>
      </c>
      <c r="H135" s="15">
        <f t="shared" si="5"/>
        <v>1452000</v>
      </c>
      <c r="I135" s="15">
        <f t="shared" si="6"/>
        <v>4356000</v>
      </c>
      <c r="J135" s="15">
        <v>50000</v>
      </c>
      <c r="K135" s="15">
        <v>250000</v>
      </c>
      <c r="L135" s="15">
        <v>50000</v>
      </c>
      <c r="M135" s="15">
        <f t="shared" si="7"/>
        <v>26136</v>
      </c>
    </row>
    <row r="136" spans="1:13" ht="15" customHeight="1" x14ac:dyDescent="0.3">
      <c r="A136" s="22">
        <v>129</v>
      </c>
      <c r="B136" s="23" t="s">
        <v>311</v>
      </c>
      <c r="C136" s="23" t="s">
        <v>525</v>
      </c>
      <c r="D136" s="24" t="s">
        <v>506</v>
      </c>
      <c r="E136" s="25">
        <v>7800</v>
      </c>
      <c r="F136" s="25">
        <f t="shared" ref="F136:F199" si="8">E136*22</f>
        <v>171600</v>
      </c>
      <c r="G136" s="36" t="s">
        <v>43</v>
      </c>
      <c r="H136" s="15">
        <f t="shared" si="5"/>
        <v>2059200</v>
      </c>
      <c r="I136" s="15">
        <f t="shared" si="6"/>
        <v>6177600</v>
      </c>
      <c r="J136" s="15">
        <v>50000</v>
      </c>
      <c r="K136" s="15">
        <v>250000</v>
      </c>
      <c r="L136" s="15">
        <v>50000</v>
      </c>
      <c r="M136" s="15">
        <f t="shared" si="7"/>
        <v>37065.599999999999</v>
      </c>
    </row>
    <row r="137" spans="1:13" ht="15" customHeight="1" x14ac:dyDescent="0.3">
      <c r="A137" s="22">
        <v>130</v>
      </c>
      <c r="B137" s="23" t="s">
        <v>526</v>
      </c>
      <c r="C137" s="23" t="s">
        <v>527</v>
      </c>
      <c r="D137" s="24" t="s">
        <v>506</v>
      </c>
      <c r="E137" s="25">
        <v>7800</v>
      </c>
      <c r="F137" s="25">
        <f t="shared" si="8"/>
        <v>171600</v>
      </c>
      <c r="G137" s="36" t="s">
        <v>43</v>
      </c>
      <c r="H137" s="15">
        <f t="shared" ref="H137:H200" si="9">F137*12</f>
        <v>2059200</v>
      </c>
      <c r="I137" s="15">
        <f t="shared" ref="I137:I200" si="10">H137*3</f>
        <v>6177600</v>
      </c>
      <c r="J137" s="15">
        <v>50000</v>
      </c>
      <c r="K137" s="15">
        <v>250000</v>
      </c>
      <c r="L137" s="15">
        <v>50000</v>
      </c>
      <c r="M137" s="15">
        <f t="shared" ref="M137:M200" si="11">I137*6/1000</f>
        <v>37065.599999999999</v>
      </c>
    </row>
    <row r="138" spans="1:13" ht="15" customHeight="1" x14ac:dyDescent="0.3">
      <c r="A138" s="22">
        <v>131</v>
      </c>
      <c r="B138" s="23" t="s">
        <v>528</v>
      </c>
      <c r="C138" s="23" t="s">
        <v>529</v>
      </c>
      <c r="D138" s="24" t="s">
        <v>506</v>
      </c>
      <c r="E138" s="25">
        <v>7800</v>
      </c>
      <c r="F138" s="25">
        <f t="shared" si="8"/>
        <v>171600</v>
      </c>
      <c r="G138" s="36" t="s">
        <v>43</v>
      </c>
      <c r="H138" s="15">
        <f t="shared" si="9"/>
        <v>2059200</v>
      </c>
      <c r="I138" s="15">
        <f t="shared" si="10"/>
        <v>6177600</v>
      </c>
      <c r="J138" s="15">
        <v>50000</v>
      </c>
      <c r="K138" s="15">
        <v>250000</v>
      </c>
      <c r="L138" s="15">
        <v>50000</v>
      </c>
      <c r="M138" s="15">
        <f t="shared" si="11"/>
        <v>37065.599999999999</v>
      </c>
    </row>
    <row r="139" spans="1:13" ht="15" customHeight="1" x14ac:dyDescent="0.3">
      <c r="A139" s="22">
        <v>132</v>
      </c>
      <c r="B139" s="23" t="s">
        <v>530</v>
      </c>
      <c r="C139" s="23" t="s">
        <v>531</v>
      </c>
      <c r="D139" s="24" t="s">
        <v>506</v>
      </c>
      <c r="E139" s="25">
        <v>7800</v>
      </c>
      <c r="F139" s="25">
        <f t="shared" si="8"/>
        <v>171600</v>
      </c>
      <c r="G139" s="36" t="s">
        <v>43</v>
      </c>
      <c r="H139" s="15">
        <f t="shared" si="9"/>
        <v>2059200</v>
      </c>
      <c r="I139" s="15">
        <f t="shared" si="10"/>
        <v>6177600</v>
      </c>
      <c r="J139" s="15">
        <v>50000</v>
      </c>
      <c r="K139" s="15">
        <v>250000</v>
      </c>
      <c r="L139" s="15">
        <v>50000</v>
      </c>
      <c r="M139" s="15">
        <f t="shared" si="11"/>
        <v>37065.599999999999</v>
      </c>
    </row>
    <row r="140" spans="1:13" ht="15" customHeight="1" x14ac:dyDescent="0.3">
      <c r="A140" s="22">
        <v>133</v>
      </c>
      <c r="B140" s="23" t="s">
        <v>532</v>
      </c>
      <c r="C140" s="23" t="s">
        <v>533</v>
      </c>
      <c r="D140" s="24" t="s">
        <v>506</v>
      </c>
      <c r="E140" s="25">
        <v>7800</v>
      </c>
      <c r="F140" s="25">
        <f t="shared" si="8"/>
        <v>171600</v>
      </c>
      <c r="G140" s="36" t="s">
        <v>43</v>
      </c>
      <c r="H140" s="15">
        <f t="shared" si="9"/>
        <v>2059200</v>
      </c>
      <c r="I140" s="15">
        <f t="shared" si="10"/>
        <v>6177600</v>
      </c>
      <c r="J140" s="15">
        <v>50000</v>
      </c>
      <c r="K140" s="15">
        <v>250000</v>
      </c>
      <c r="L140" s="15">
        <v>50000</v>
      </c>
      <c r="M140" s="15">
        <f t="shared" si="11"/>
        <v>37065.599999999999</v>
      </c>
    </row>
    <row r="141" spans="1:13" ht="15" customHeight="1" x14ac:dyDescent="0.3">
      <c r="A141" s="22">
        <v>134</v>
      </c>
      <c r="B141" s="23" t="s">
        <v>98</v>
      </c>
      <c r="C141" s="23" t="s">
        <v>534</v>
      </c>
      <c r="D141" s="24" t="s">
        <v>506</v>
      </c>
      <c r="E141" s="25">
        <v>7800</v>
      </c>
      <c r="F141" s="25">
        <f t="shared" si="8"/>
        <v>171600</v>
      </c>
      <c r="G141" s="36" t="s">
        <v>43</v>
      </c>
      <c r="H141" s="15">
        <f t="shared" si="9"/>
        <v>2059200</v>
      </c>
      <c r="I141" s="15">
        <f t="shared" si="10"/>
        <v>6177600</v>
      </c>
      <c r="J141" s="15">
        <v>50000</v>
      </c>
      <c r="K141" s="15">
        <v>250000</v>
      </c>
      <c r="L141" s="15">
        <v>50000</v>
      </c>
      <c r="M141" s="15">
        <f t="shared" si="11"/>
        <v>37065.599999999999</v>
      </c>
    </row>
    <row r="142" spans="1:13" ht="15" customHeight="1" x14ac:dyDescent="0.3">
      <c r="A142" s="22">
        <v>135</v>
      </c>
      <c r="B142" s="23" t="s">
        <v>526</v>
      </c>
      <c r="C142" s="23" t="s">
        <v>344</v>
      </c>
      <c r="D142" s="24" t="s">
        <v>506</v>
      </c>
      <c r="E142" s="25">
        <v>7800</v>
      </c>
      <c r="F142" s="25">
        <f t="shared" si="8"/>
        <v>171600</v>
      </c>
      <c r="G142" s="36" t="s">
        <v>43</v>
      </c>
      <c r="H142" s="15">
        <f t="shared" si="9"/>
        <v>2059200</v>
      </c>
      <c r="I142" s="15">
        <f t="shared" si="10"/>
        <v>6177600</v>
      </c>
      <c r="J142" s="15">
        <v>50000</v>
      </c>
      <c r="K142" s="15">
        <v>250000</v>
      </c>
      <c r="L142" s="15">
        <v>50000</v>
      </c>
      <c r="M142" s="15">
        <f t="shared" si="11"/>
        <v>37065.599999999999</v>
      </c>
    </row>
    <row r="143" spans="1:13" ht="15" customHeight="1" x14ac:dyDescent="0.3">
      <c r="A143" s="22">
        <v>136</v>
      </c>
      <c r="B143" s="23" t="s">
        <v>535</v>
      </c>
      <c r="C143" s="23" t="s">
        <v>536</v>
      </c>
      <c r="D143" s="24" t="s">
        <v>506</v>
      </c>
      <c r="E143" s="25">
        <v>7800</v>
      </c>
      <c r="F143" s="25">
        <f t="shared" si="8"/>
        <v>171600</v>
      </c>
      <c r="G143" s="36" t="s">
        <v>43</v>
      </c>
      <c r="H143" s="15">
        <f t="shared" si="9"/>
        <v>2059200</v>
      </c>
      <c r="I143" s="15">
        <f t="shared" si="10"/>
        <v>6177600</v>
      </c>
      <c r="J143" s="15">
        <v>50000</v>
      </c>
      <c r="K143" s="15">
        <v>250000</v>
      </c>
      <c r="L143" s="15">
        <v>50000</v>
      </c>
      <c r="M143" s="15">
        <f t="shared" si="11"/>
        <v>37065.599999999999</v>
      </c>
    </row>
    <row r="144" spans="1:13" ht="15" customHeight="1" x14ac:dyDescent="0.3">
      <c r="A144" s="22">
        <v>137</v>
      </c>
      <c r="B144" s="23" t="s">
        <v>537</v>
      </c>
      <c r="C144" s="23" t="s">
        <v>538</v>
      </c>
      <c r="D144" s="24" t="s">
        <v>539</v>
      </c>
      <c r="E144" s="25">
        <v>10000</v>
      </c>
      <c r="F144" s="25">
        <f t="shared" si="8"/>
        <v>220000</v>
      </c>
      <c r="G144" s="36" t="s">
        <v>43</v>
      </c>
      <c r="H144" s="15">
        <f t="shared" si="9"/>
        <v>2640000</v>
      </c>
      <c r="I144" s="15">
        <f t="shared" si="10"/>
        <v>7920000</v>
      </c>
      <c r="J144" s="15">
        <v>50000</v>
      </c>
      <c r="K144" s="15">
        <v>250000</v>
      </c>
      <c r="L144" s="15">
        <v>50000</v>
      </c>
      <c r="M144" s="15">
        <f t="shared" si="11"/>
        <v>47520</v>
      </c>
    </row>
    <row r="145" spans="1:13" ht="15" customHeight="1" x14ac:dyDescent="0.3">
      <c r="A145" s="22">
        <v>138</v>
      </c>
      <c r="B145" s="23" t="s">
        <v>540</v>
      </c>
      <c r="C145" s="23" t="s">
        <v>541</v>
      </c>
      <c r="D145" s="24" t="s">
        <v>359</v>
      </c>
      <c r="E145" s="25">
        <v>9240</v>
      </c>
      <c r="F145" s="25">
        <f t="shared" si="8"/>
        <v>203280</v>
      </c>
      <c r="G145" s="36" t="s">
        <v>43</v>
      </c>
      <c r="H145" s="15">
        <f t="shared" si="9"/>
        <v>2439360</v>
      </c>
      <c r="I145" s="15">
        <f t="shared" si="10"/>
        <v>7318080</v>
      </c>
      <c r="J145" s="15">
        <v>50000</v>
      </c>
      <c r="K145" s="15">
        <v>250000</v>
      </c>
      <c r="L145" s="15">
        <v>50000</v>
      </c>
      <c r="M145" s="15">
        <f t="shared" si="11"/>
        <v>43908.480000000003</v>
      </c>
    </row>
    <row r="146" spans="1:13" ht="15" customHeight="1" x14ac:dyDescent="0.3">
      <c r="A146" s="22">
        <v>139</v>
      </c>
      <c r="B146" s="23" t="s">
        <v>542</v>
      </c>
      <c r="C146" s="23" t="s">
        <v>543</v>
      </c>
      <c r="D146" s="24" t="s">
        <v>484</v>
      </c>
      <c r="E146" s="25">
        <v>5280</v>
      </c>
      <c r="F146" s="25">
        <f t="shared" si="8"/>
        <v>116160</v>
      </c>
      <c r="G146" s="36" t="s">
        <v>43</v>
      </c>
      <c r="H146" s="15">
        <f t="shared" si="9"/>
        <v>1393920</v>
      </c>
      <c r="I146" s="15">
        <f t="shared" si="10"/>
        <v>4181760</v>
      </c>
      <c r="J146" s="15">
        <v>50000</v>
      </c>
      <c r="K146" s="15">
        <v>250000</v>
      </c>
      <c r="L146" s="15">
        <v>50000</v>
      </c>
      <c r="M146" s="15">
        <f t="shared" si="11"/>
        <v>25090.560000000001</v>
      </c>
    </row>
    <row r="147" spans="1:13" ht="15" customHeight="1" x14ac:dyDescent="0.3">
      <c r="A147" s="22">
        <v>140</v>
      </c>
      <c r="B147" s="23" t="s">
        <v>544</v>
      </c>
      <c r="C147" s="23" t="s">
        <v>545</v>
      </c>
      <c r="D147" s="24" t="s">
        <v>546</v>
      </c>
      <c r="E147" s="25">
        <v>9240</v>
      </c>
      <c r="F147" s="25">
        <f t="shared" si="8"/>
        <v>203280</v>
      </c>
      <c r="G147" s="36" t="s">
        <v>43</v>
      </c>
      <c r="H147" s="15">
        <f t="shared" si="9"/>
        <v>2439360</v>
      </c>
      <c r="I147" s="15">
        <f t="shared" si="10"/>
        <v>7318080</v>
      </c>
      <c r="J147" s="15">
        <v>50000</v>
      </c>
      <c r="K147" s="15">
        <v>250000</v>
      </c>
      <c r="L147" s="15">
        <v>50000</v>
      </c>
      <c r="M147" s="15">
        <f t="shared" si="11"/>
        <v>43908.480000000003</v>
      </c>
    </row>
    <row r="148" spans="1:13" ht="15" customHeight="1" x14ac:dyDescent="0.3">
      <c r="A148" s="22">
        <v>141</v>
      </c>
      <c r="B148" s="23" t="s">
        <v>547</v>
      </c>
      <c r="C148" s="23" t="s">
        <v>548</v>
      </c>
      <c r="D148" s="24" t="s">
        <v>524</v>
      </c>
      <c r="E148" s="25">
        <v>5500</v>
      </c>
      <c r="F148" s="25">
        <f t="shared" si="8"/>
        <v>121000</v>
      </c>
      <c r="G148" s="36" t="s">
        <v>43</v>
      </c>
      <c r="H148" s="15">
        <f t="shared" si="9"/>
        <v>1452000</v>
      </c>
      <c r="I148" s="15">
        <f t="shared" si="10"/>
        <v>4356000</v>
      </c>
      <c r="J148" s="15">
        <v>50000</v>
      </c>
      <c r="K148" s="15">
        <v>250000</v>
      </c>
      <c r="L148" s="15">
        <v>50000</v>
      </c>
      <c r="M148" s="15">
        <f t="shared" si="11"/>
        <v>26136</v>
      </c>
    </row>
    <row r="149" spans="1:13" ht="15" customHeight="1" x14ac:dyDescent="0.3">
      <c r="A149" s="22">
        <v>142</v>
      </c>
      <c r="B149" s="23" t="s">
        <v>86</v>
      </c>
      <c r="C149" s="23" t="s">
        <v>549</v>
      </c>
      <c r="D149" s="24" t="s">
        <v>546</v>
      </c>
      <c r="E149" s="25">
        <v>9240</v>
      </c>
      <c r="F149" s="25">
        <f t="shared" si="8"/>
        <v>203280</v>
      </c>
      <c r="G149" s="36" t="s">
        <v>43</v>
      </c>
      <c r="H149" s="15">
        <f t="shared" si="9"/>
        <v>2439360</v>
      </c>
      <c r="I149" s="15">
        <f t="shared" si="10"/>
        <v>7318080</v>
      </c>
      <c r="J149" s="15">
        <v>50000</v>
      </c>
      <c r="K149" s="15">
        <v>250000</v>
      </c>
      <c r="L149" s="15">
        <v>50000</v>
      </c>
      <c r="M149" s="15">
        <f t="shared" si="11"/>
        <v>43908.480000000003</v>
      </c>
    </row>
    <row r="150" spans="1:13" ht="15" customHeight="1" x14ac:dyDescent="0.3">
      <c r="A150" s="22">
        <v>143</v>
      </c>
      <c r="B150" s="23" t="s">
        <v>550</v>
      </c>
      <c r="C150" s="23" t="s">
        <v>551</v>
      </c>
      <c r="D150" s="24" t="s">
        <v>524</v>
      </c>
      <c r="E150" s="25">
        <v>5500</v>
      </c>
      <c r="F150" s="25">
        <f t="shared" si="8"/>
        <v>121000</v>
      </c>
      <c r="G150" s="36" t="s">
        <v>43</v>
      </c>
      <c r="H150" s="15">
        <f t="shared" si="9"/>
        <v>1452000</v>
      </c>
      <c r="I150" s="15">
        <f t="shared" si="10"/>
        <v>4356000</v>
      </c>
      <c r="J150" s="15">
        <v>50000</v>
      </c>
      <c r="K150" s="15">
        <v>250000</v>
      </c>
      <c r="L150" s="15">
        <v>50000</v>
      </c>
      <c r="M150" s="15">
        <f t="shared" si="11"/>
        <v>26136</v>
      </c>
    </row>
    <row r="151" spans="1:13" ht="15" customHeight="1" x14ac:dyDescent="0.3">
      <c r="A151" s="22">
        <v>144</v>
      </c>
      <c r="B151" s="23" t="s">
        <v>552</v>
      </c>
      <c r="C151" s="23" t="s">
        <v>553</v>
      </c>
      <c r="D151" s="24" t="s">
        <v>359</v>
      </c>
      <c r="E151" s="25">
        <v>9240</v>
      </c>
      <c r="F151" s="25">
        <f t="shared" si="8"/>
        <v>203280</v>
      </c>
      <c r="G151" s="36" t="s">
        <v>43</v>
      </c>
      <c r="H151" s="15">
        <f t="shared" si="9"/>
        <v>2439360</v>
      </c>
      <c r="I151" s="15">
        <f t="shared" si="10"/>
        <v>7318080</v>
      </c>
      <c r="J151" s="15">
        <v>50000</v>
      </c>
      <c r="K151" s="15">
        <v>250000</v>
      </c>
      <c r="L151" s="15">
        <v>50000</v>
      </c>
      <c r="M151" s="15">
        <f t="shared" si="11"/>
        <v>43908.480000000003</v>
      </c>
    </row>
    <row r="152" spans="1:13" ht="15" customHeight="1" x14ac:dyDescent="0.3">
      <c r="A152" s="22">
        <v>145</v>
      </c>
      <c r="B152" s="23" t="s">
        <v>554</v>
      </c>
      <c r="C152" s="23" t="s">
        <v>555</v>
      </c>
      <c r="D152" s="24" t="s">
        <v>359</v>
      </c>
      <c r="E152" s="25">
        <v>9240</v>
      </c>
      <c r="F152" s="25">
        <f t="shared" si="8"/>
        <v>203280</v>
      </c>
      <c r="G152" s="36" t="s">
        <v>43</v>
      </c>
      <c r="H152" s="15">
        <f t="shared" si="9"/>
        <v>2439360</v>
      </c>
      <c r="I152" s="15">
        <f t="shared" si="10"/>
        <v>7318080</v>
      </c>
      <c r="J152" s="15">
        <v>50000</v>
      </c>
      <c r="K152" s="15">
        <v>250000</v>
      </c>
      <c r="L152" s="15">
        <v>50000</v>
      </c>
      <c r="M152" s="15">
        <f t="shared" si="11"/>
        <v>43908.480000000003</v>
      </c>
    </row>
    <row r="153" spans="1:13" ht="15" customHeight="1" x14ac:dyDescent="0.3">
      <c r="A153" s="22">
        <v>146</v>
      </c>
      <c r="B153" s="23" t="s">
        <v>118</v>
      </c>
      <c r="C153" s="23" t="s">
        <v>556</v>
      </c>
      <c r="D153" s="24" t="s">
        <v>557</v>
      </c>
      <c r="E153" s="25">
        <v>9240</v>
      </c>
      <c r="F153" s="25">
        <f t="shared" si="8"/>
        <v>203280</v>
      </c>
      <c r="G153" s="36" t="s">
        <v>43</v>
      </c>
      <c r="H153" s="15">
        <f t="shared" si="9"/>
        <v>2439360</v>
      </c>
      <c r="I153" s="15">
        <f t="shared" si="10"/>
        <v>7318080</v>
      </c>
      <c r="J153" s="15">
        <v>50000</v>
      </c>
      <c r="K153" s="15">
        <v>250000</v>
      </c>
      <c r="L153" s="15">
        <v>50000</v>
      </c>
      <c r="M153" s="15">
        <f t="shared" si="11"/>
        <v>43908.480000000003</v>
      </c>
    </row>
    <row r="154" spans="1:13" ht="15" customHeight="1" x14ac:dyDescent="0.3">
      <c r="A154" s="22">
        <v>147</v>
      </c>
      <c r="B154" s="23" t="s">
        <v>344</v>
      </c>
      <c r="C154" s="23" t="s">
        <v>558</v>
      </c>
      <c r="D154" s="24" t="s">
        <v>429</v>
      </c>
      <c r="E154" s="25">
        <v>6600</v>
      </c>
      <c r="F154" s="25">
        <f t="shared" si="8"/>
        <v>145200</v>
      </c>
      <c r="G154" s="36" t="s">
        <v>43</v>
      </c>
      <c r="H154" s="15">
        <f t="shared" si="9"/>
        <v>1742400</v>
      </c>
      <c r="I154" s="15">
        <f t="shared" si="10"/>
        <v>5227200</v>
      </c>
      <c r="J154" s="15">
        <v>50000</v>
      </c>
      <c r="K154" s="15">
        <v>250000</v>
      </c>
      <c r="L154" s="15">
        <v>50000</v>
      </c>
      <c r="M154" s="15">
        <f t="shared" si="11"/>
        <v>31363.200000000001</v>
      </c>
    </row>
    <row r="155" spans="1:13" ht="15" customHeight="1" x14ac:dyDescent="0.3">
      <c r="A155" s="22">
        <v>148</v>
      </c>
      <c r="B155" s="23" t="s">
        <v>559</v>
      </c>
      <c r="C155" s="23" t="s">
        <v>560</v>
      </c>
      <c r="D155" s="24" t="s">
        <v>484</v>
      </c>
      <c r="E155" s="25">
        <v>5280</v>
      </c>
      <c r="F155" s="25">
        <f t="shared" si="8"/>
        <v>116160</v>
      </c>
      <c r="G155" s="36" t="s">
        <v>43</v>
      </c>
      <c r="H155" s="15">
        <f t="shared" si="9"/>
        <v>1393920</v>
      </c>
      <c r="I155" s="15">
        <f t="shared" si="10"/>
        <v>4181760</v>
      </c>
      <c r="J155" s="15">
        <v>50000</v>
      </c>
      <c r="K155" s="15">
        <v>250000</v>
      </c>
      <c r="L155" s="15">
        <v>50000</v>
      </c>
      <c r="M155" s="15">
        <f t="shared" si="11"/>
        <v>25090.560000000001</v>
      </c>
    </row>
    <row r="156" spans="1:13" ht="15" customHeight="1" x14ac:dyDescent="0.3">
      <c r="A156" s="22">
        <v>149</v>
      </c>
      <c r="B156" s="23" t="s">
        <v>549</v>
      </c>
      <c r="C156" s="23" t="s">
        <v>561</v>
      </c>
      <c r="D156" s="24" t="s">
        <v>562</v>
      </c>
      <c r="E156" s="25">
        <v>6655</v>
      </c>
      <c r="F156" s="25">
        <f t="shared" si="8"/>
        <v>146410</v>
      </c>
      <c r="G156" s="36" t="s">
        <v>43</v>
      </c>
      <c r="H156" s="15">
        <f t="shared" si="9"/>
        <v>1756920</v>
      </c>
      <c r="I156" s="15">
        <f t="shared" si="10"/>
        <v>5270760</v>
      </c>
      <c r="J156" s="15">
        <v>50000</v>
      </c>
      <c r="K156" s="15">
        <v>250000</v>
      </c>
      <c r="L156" s="15">
        <v>50000</v>
      </c>
      <c r="M156" s="15">
        <f t="shared" si="11"/>
        <v>31624.560000000001</v>
      </c>
    </row>
    <row r="157" spans="1:13" ht="15" customHeight="1" x14ac:dyDescent="0.3">
      <c r="A157" s="22">
        <v>150</v>
      </c>
      <c r="B157" s="23" t="s">
        <v>311</v>
      </c>
      <c r="C157" s="23" t="s">
        <v>563</v>
      </c>
      <c r="D157" s="24" t="s">
        <v>562</v>
      </c>
      <c r="E157" s="25">
        <v>6655</v>
      </c>
      <c r="F157" s="25">
        <f t="shared" si="8"/>
        <v>146410</v>
      </c>
      <c r="G157" s="36" t="s">
        <v>43</v>
      </c>
      <c r="H157" s="15">
        <f t="shared" si="9"/>
        <v>1756920</v>
      </c>
      <c r="I157" s="15">
        <f t="shared" si="10"/>
        <v>5270760</v>
      </c>
      <c r="J157" s="15">
        <v>50000</v>
      </c>
      <c r="K157" s="15">
        <v>250000</v>
      </c>
      <c r="L157" s="15">
        <v>50000</v>
      </c>
      <c r="M157" s="15">
        <f t="shared" si="11"/>
        <v>31624.560000000001</v>
      </c>
    </row>
    <row r="158" spans="1:13" ht="15" customHeight="1" x14ac:dyDescent="0.3">
      <c r="A158" s="22">
        <v>151</v>
      </c>
      <c r="B158" s="23" t="s">
        <v>564</v>
      </c>
      <c r="C158" s="23" t="s">
        <v>469</v>
      </c>
      <c r="D158" s="24" t="s">
        <v>484</v>
      </c>
      <c r="E158" s="25">
        <v>5280</v>
      </c>
      <c r="F158" s="25">
        <f t="shared" si="8"/>
        <v>116160</v>
      </c>
      <c r="G158" s="36" t="s">
        <v>43</v>
      </c>
      <c r="H158" s="15">
        <f t="shared" si="9"/>
        <v>1393920</v>
      </c>
      <c r="I158" s="15">
        <f t="shared" si="10"/>
        <v>4181760</v>
      </c>
      <c r="J158" s="15">
        <v>50000</v>
      </c>
      <c r="K158" s="15">
        <v>250000</v>
      </c>
      <c r="L158" s="15">
        <v>50000</v>
      </c>
      <c r="M158" s="15">
        <f t="shared" si="11"/>
        <v>25090.560000000001</v>
      </c>
    </row>
    <row r="159" spans="1:13" ht="15" customHeight="1" x14ac:dyDescent="0.3">
      <c r="A159" s="22">
        <v>152</v>
      </c>
      <c r="B159" s="23" t="s">
        <v>565</v>
      </c>
      <c r="C159" s="23" t="s">
        <v>566</v>
      </c>
      <c r="D159" s="24" t="s">
        <v>506</v>
      </c>
      <c r="E159" s="25">
        <v>7799.9993999999997</v>
      </c>
      <c r="F159" s="25">
        <f t="shared" si="8"/>
        <v>171599.98679999998</v>
      </c>
      <c r="G159" s="36" t="s">
        <v>43</v>
      </c>
      <c r="H159" s="15">
        <f t="shared" si="9"/>
        <v>2059199.8415999999</v>
      </c>
      <c r="I159" s="15">
        <f t="shared" si="10"/>
        <v>6177599.5247999998</v>
      </c>
      <c r="J159" s="15">
        <v>50000</v>
      </c>
      <c r="K159" s="15">
        <v>250000</v>
      </c>
      <c r="L159" s="15">
        <v>50000</v>
      </c>
      <c r="M159" s="15">
        <f t="shared" si="11"/>
        <v>37065.5971488</v>
      </c>
    </row>
    <row r="160" spans="1:13" ht="15" customHeight="1" x14ac:dyDescent="0.3">
      <c r="A160" s="22">
        <v>153</v>
      </c>
      <c r="B160" s="23" t="s">
        <v>567</v>
      </c>
      <c r="C160" s="23" t="s">
        <v>282</v>
      </c>
      <c r="D160" s="24" t="s">
        <v>346</v>
      </c>
      <c r="E160" s="25">
        <v>10560</v>
      </c>
      <c r="F160" s="25">
        <f t="shared" si="8"/>
        <v>232320</v>
      </c>
      <c r="G160" s="36" t="s">
        <v>43</v>
      </c>
      <c r="H160" s="15">
        <f t="shared" si="9"/>
        <v>2787840</v>
      </c>
      <c r="I160" s="15">
        <f t="shared" si="10"/>
        <v>8363520</v>
      </c>
      <c r="J160" s="15">
        <v>50000</v>
      </c>
      <c r="K160" s="15">
        <v>250000</v>
      </c>
      <c r="L160" s="15">
        <v>50000</v>
      </c>
      <c r="M160" s="15">
        <f t="shared" si="11"/>
        <v>50181.120000000003</v>
      </c>
    </row>
    <row r="161" spans="1:13" ht="15" customHeight="1" x14ac:dyDescent="0.3">
      <c r="A161" s="22">
        <v>154</v>
      </c>
      <c r="B161" s="23" t="s">
        <v>58</v>
      </c>
      <c r="C161" s="23" t="s">
        <v>568</v>
      </c>
      <c r="D161" s="24" t="s">
        <v>484</v>
      </c>
      <c r="E161" s="25">
        <v>5280</v>
      </c>
      <c r="F161" s="25">
        <f t="shared" si="8"/>
        <v>116160</v>
      </c>
      <c r="G161" s="36" t="s">
        <v>43</v>
      </c>
      <c r="H161" s="15">
        <f t="shared" si="9"/>
        <v>1393920</v>
      </c>
      <c r="I161" s="15">
        <f t="shared" si="10"/>
        <v>4181760</v>
      </c>
      <c r="J161" s="15">
        <v>50000</v>
      </c>
      <c r="K161" s="15">
        <v>250000</v>
      </c>
      <c r="L161" s="15">
        <v>50000</v>
      </c>
      <c r="M161" s="15">
        <f t="shared" si="11"/>
        <v>25090.560000000001</v>
      </c>
    </row>
    <row r="162" spans="1:13" ht="15" customHeight="1" x14ac:dyDescent="0.3">
      <c r="A162" s="22">
        <v>155</v>
      </c>
      <c r="B162" s="23" t="s">
        <v>569</v>
      </c>
      <c r="C162" s="23" t="s">
        <v>420</v>
      </c>
      <c r="D162" s="24" t="s">
        <v>484</v>
      </c>
      <c r="E162" s="25">
        <v>5280</v>
      </c>
      <c r="F162" s="25">
        <f t="shared" si="8"/>
        <v>116160</v>
      </c>
      <c r="G162" s="36" t="s">
        <v>43</v>
      </c>
      <c r="H162" s="15">
        <f t="shared" si="9"/>
        <v>1393920</v>
      </c>
      <c r="I162" s="15">
        <f t="shared" si="10"/>
        <v>4181760</v>
      </c>
      <c r="J162" s="15">
        <v>50000</v>
      </c>
      <c r="K162" s="15">
        <v>250000</v>
      </c>
      <c r="L162" s="15">
        <v>50000</v>
      </c>
      <c r="M162" s="15">
        <f t="shared" si="11"/>
        <v>25090.560000000001</v>
      </c>
    </row>
    <row r="163" spans="1:13" ht="15" customHeight="1" x14ac:dyDescent="0.3">
      <c r="A163" s="22">
        <v>156</v>
      </c>
      <c r="B163" s="23" t="s">
        <v>94</v>
      </c>
      <c r="C163" s="23" t="s">
        <v>570</v>
      </c>
      <c r="D163" s="24" t="s">
        <v>359</v>
      </c>
      <c r="E163" s="25">
        <v>9240</v>
      </c>
      <c r="F163" s="25">
        <f t="shared" si="8"/>
        <v>203280</v>
      </c>
      <c r="G163" s="36" t="s">
        <v>43</v>
      </c>
      <c r="H163" s="15">
        <f t="shared" si="9"/>
        <v>2439360</v>
      </c>
      <c r="I163" s="15">
        <f t="shared" si="10"/>
        <v>7318080</v>
      </c>
      <c r="J163" s="15">
        <v>50000</v>
      </c>
      <c r="K163" s="15">
        <v>250000</v>
      </c>
      <c r="L163" s="15">
        <v>50000</v>
      </c>
      <c r="M163" s="15">
        <f t="shared" si="11"/>
        <v>43908.480000000003</v>
      </c>
    </row>
    <row r="164" spans="1:13" ht="15" customHeight="1" x14ac:dyDescent="0.3">
      <c r="A164" s="22">
        <v>157</v>
      </c>
      <c r="B164" s="23" t="s">
        <v>571</v>
      </c>
      <c r="C164" s="23" t="s">
        <v>371</v>
      </c>
      <c r="D164" s="24" t="s">
        <v>329</v>
      </c>
      <c r="E164" s="25">
        <v>7260</v>
      </c>
      <c r="F164" s="25">
        <f t="shared" si="8"/>
        <v>159720</v>
      </c>
      <c r="G164" s="36" t="s">
        <v>43</v>
      </c>
      <c r="H164" s="15">
        <f t="shared" si="9"/>
        <v>1916640</v>
      </c>
      <c r="I164" s="15">
        <f t="shared" si="10"/>
        <v>5749920</v>
      </c>
      <c r="J164" s="15">
        <v>50000</v>
      </c>
      <c r="K164" s="15">
        <v>250000</v>
      </c>
      <c r="L164" s="15">
        <v>50000</v>
      </c>
      <c r="M164" s="15">
        <f t="shared" si="11"/>
        <v>34499.519999999997</v>
      </c>
    </row>
    <row r="165" spans="1:13" ht="15" customHeight="1" x14ac:dyDescent="0.3">
      <c r="A165" s="22">
        <v>158</v>
      </c>
      <c r="B165" s="23" t="s">
        <v>485</v>
      </c>
      <c r="C165" s="23" t="s">
        <v>216</v>
      </c>
      <c r="D165" s="24" t="s">
        <v>495</v>
      </c>
      <c r="E165" s="25">
        <v>6000</v>
      </c>
      <c r="F165" s="25">
        <f t="shared" si="8"/>
        <v>132000</v>
      </c>
      <c r="G165" s="36" t="s">
        <v>43</v>
      </c>
      <c r="H165" s="15">
        <f t="shared" si="9"/>
        <v>1584000</v>
      </c>
      <c r="I165" s="15">
        <f t="shared" si="10"/>
        <v>4752000</v>
      </c>
      <c r="J165" s="15">
        <v>50000</v>
      </c>
      <c r="K165" s="15">
        <v>250000</v>
      </c>
      <c r="L165" s="15">
        <v>50000</v>
      </c>
      <c r="M165" s="15">
        <f t="shared" si="11"/>
        <v>28512</v>
      </c>
    </row>
    <row r="166" spans="1:13" ht="15" customHeight="1" x14ac:dyDescent="0.3">
      <c r="A166" s="22">
        <v>159</v>
      </c>
      <c r="B166" s="23" t="s">
        <v>572</v>
      </c>
      <c r="C166" s="23" t="s">
        <v>573</v>
      </c>
      <c r="D166" s="24" t="s">
        <v>495</v>
      </c>
      <c r="E166" s="25">
        <v>6000</v>
      </c>
      <c r="F166" s="25">
        <f t="shared" si="8"/>
        <v>132000</v>
      </c>
      <c r="G166" s="36" t="s">
        <v>43</v>
      </c>
      <c r="H166" s="15">
        <f t="shared" si="9"/>
        <v>1584000</v>
      </c>
      <c r="I166" s="15">
        <f t="shared" si="10"/>
        <v>4752000</v>
      </c>
      <c r="J166" s="15">
        <v>50000</v>
      </c>
      <c r="K166" s="15">
        <v>250000</v>
      </c>
      <c r="L166" s="15">
        <v>50000</v>
      </c>
      <c r="M166" s="15">
        <f t="shared" si="11"/>
        <v>28512</v>
      </c>
    </row>
    <row r="167" spans="1:13" ht="15" customHeight="1" x14ac:dyDescent="0.3">
      <c r="A167" s="22">
        <v>160</v>
      </c>
      <c r="B167" s="23" t="s">
        <v>526</v>
      </c>
      <c r="C167" s="23" t="s">
        <v>574</v>
      </c>
      <c r="D167" s="24" t="s">
        <v>484</v>
      </c>
      <c r="E167" s="25">
        <v>5280</v>
      </c>
      <c r="F167" s="25">
        <f t="shared" si="8"/>
        <v>116160</v>
      </c>
      <c r="G167" s="36" t="s">
        <v>43</v>
      </c>
      <c r="H167" s="15">
        <f t="shared" si="9"/>
        <v>1393920</v>
      </c>
      <c r="I167" s="15">
        <f t="shared" si="10"/>
        <v>4181760</v>
      </c>
      <c r="J167" s="15">
        <v>50000</v>
      </c>
      <c r="K167" s="15">
        <v>250000</v>
      </c>
      <c r="L167" s="15">
        <v>50000</v>
      </c>
      <c r="M167" s="15">
        <f t="shared" si="11"/>
        <v>25090.560000000001</v>
      </c>
    </row>
    <row r="168" spans="1:13" ht="15" customHeight="1" x14ac:dyDescent="0.3">
      <c r="A168" s="22">
        <v>161</v>
      </c>
      <c r="B168" s="23" t="s">
        <v>227</v>
      </c>
      <c r="C168" s="23" t="s">
        <v>575</v>
      </c>
      <c r="D168" s="24" t="s">
        <v>424</v>
      </c>
      <c r="E168" s="25">
        <v>6600</v>
      </c>
      <c r="F168" s="25">
        <f t="shared" si="8"/>
        <v>145200</v>
      </c>
      <c r="G168" s="36" t="s">
        <v>43</v>
      </c>
      <c r="H168" s="15">
        <f t="shared" si="9"/>
        <v>1742400</v>
      </c>
      <c r="I168" s="15">
        <f t="shared" si="10"/>
        <v>5227200</v>
      </c>
      <c r="J168" s="15">
        <v>50000</v>
      </c>
      <c r="K168" s="15">
        <v>250000</v>
      </c>
      <c r="L168" s="15">
        <v>50000</v>
      </c>
      <c r="M168" s="15">
        <f t="shared" si="11"/>
        <v>31363.200000000001</v>
      </c>
    </row>
    <row r="169" spans="1:13" ht="15" customHeight="1" x14ac:dyDescent="0.3">
      <c r="A169" s="22">
        <v>162</v>
      </c>
      <c r="B169" s="23" t="s">
        <v>368</v>
      </c>
      <c r="C169" s="23" t="s">
        <v>576</v>
      </c>
      <c r="D169" s="24" t="s">
        <v>424</v>
      </c>
      <c r="E169" s="25">
        <v>6600</v>
      </c>
      <c r="F169" s="25">
        <f t="shared" si="8"/>
        <v>145200</v>
      </c>
      <c r="G169" s="36" t="s">
        <v>43</v>
      </c>
      <c r="H169" s="15">
        <f t="shared" si="9"/>
        <v>1742400</v>
      </c>
      <c r="I169" s="15">
        <f t="shared" si="10"/>
        <v>5227200</v>
      </c>
      <c r="J169" s="15">
        <v>50000</v>
      </c>
      <c r="K169" s="15">
        <v>250000</v>
      </c>
      <c r="L169" s="15">
        <v>50000</v>
      </c>
      <c r="M169" s="15">
        <f t="shared" si="11"/>
        <v>31363.200000000001</v>
      </c>
    </row>
    <row r="170" spans="1:13" ht="15" customHeight="1" x14ac:dyDescent="0.3">
      <c r="A170" s="22">
        <v>163</v>
      </c>
      <c r="B170" s="23" t="s">
        <v>577</v>
      </c>
      <c r="C170" s="23" t="s">
        <v>578</v>
      </c>
      <c r="D170" s="24" t="s">
        <v>424</v>
      </c>
      <c r="E170" s="25">
        <v>6600</v>
      </c>
      <c r="F170" s="25">
        <f t="shared" si="8"/>
        <v>145200</v>
      </c>
      <c r="G170" s="36" t="s">
        <v>43</v>
      </c>
      <c r="H170" s="15">
        <f t="shared" si="9"/>
        <v>1742400</v>
      </c>
      <c r="I170" s="15">
        <f t="shared" si="10"/>
        <v>5227200</v>
      </c>
      <c r="J170" s="15">
        <v>50000</v>
      </c>
      <c r="K170" s="15">
        <v>250000</v>
      </c>
      <c r="L170" s="15">
        <v>50000</v>
      </c>
      <c r="M170" s="15">
        <f t="shared" si="11"/>
        <v>31363.200000000001</v>
      </c>
    </row>
    <row r="171" spans="1:13" ht="15" customHeight="1" x14ac:dyDescent="0.3">
      <c r="A171" s="22">
        <v>164</v>
      </c>
      <c r="B171" s="23" t="s">
        <v>579</v>
      </c>
      <c r="C171" s="23" t="s">
        <v>580</v>
      </c>
      <c r="D171" s="24" t="s">
        <v>359</v>
      </c>
      <c r="E171" s="25">
        <v>9240</v>
      </c>
      <c r="F171" s="25">
        <f t="shared" si="8"/>
        <v>203280</v>
      </c>
      <c r="G171" s="36" t="s">
        <v>43</v>
      </c>
      <c r="H171" s="15">
        <f t="shared" si="9"/>
        <v>2439360</v>
      </c>
      <c r="I171" s="15">
        <f t="shared" si="10"/>
        <v>7318080</v>
      </c>
      <c r="J171" s="15">
        <v>50000</v>
      </c>
      <c r="K171" s="15">
        <v>250000</v>
      </c>
      <c r="L171" s="15">
        <v>50000</v>
      </c>
      <c r="M171" s="15">
        <f t="shared" si="11"/>
        <v>43908.480000000003</v>
      </c>
    </row>
    <row r="172" spans="1:13" ht="15" customHeight="1" x14ac:dyDescent="0.3">
      <c r="A172" s="22">
        <v>165</v>
      </c>
      <c r="B172" s="23" t="s">
        <v>581</v>
      </c>
      <c r="C172" s="23" t="s">
        <v>530</v>
      </c>
      <c r="D172" s="24" t="s">
        <v>582</v>
      </c>
      <c r="E172" s="25">
        <v>6000</v>
      </c>
      <c r="F172" s="25">
        <f t="shared" si="8"/>
        <v>132000</v>
      </c>
      <c r="G172" s="36" t="s">
        <v>43</v>
      </c>
      <c r="H172" s="15">
        <f t="shared" si="9"/>
        <v>1584000</v>
      </c>
      <c r="I172" s="15">
        <f t="shared" si="10"/>
        <v>4752000</v>
      </c>
      <c r="J172" s="15">
        <v>50000</v>
      </c>
      <c r="K172" s="15">
        <v>250000</v>
      </c>
      <c r="L172" s="15">
        <v>50000</v>
      </c>
      <c r="M172" s="15">
        <f t="shared" si="11"/>
        <v>28512</v>
      </c>
    </row>
    <row r="173" spans="1:13" ht="15" customHeight="1" x14ac:dyDescent="0.3">
      <c r="A173" s="22">
        <v>166</v>
      </c>
      <c r="B173" s="23" t="s">
        <v>583</v>
      </c>
      <c r="C173" s="23" t="s">
        <v>584</v>
      </c>
      <c r="D173" s="24" t="s">
        <v>484</v>
      </c>
      <c r="E173" s="25">
        <v>5280</v>
      </c>
      <c r="F173" s="25">
        <f t="shared" si="8"/>
        <v>116160</v>
      </c>
      <c r="G173" s="36" t="s">
        <v>43</v>
      </c>
      <c r="H173" s="15">
        <f t="shared" si="9"/>
        <v>1393920</v>
      </c>
      <c r="I173" s="15">
        <f t="shared" si="10"/>
        <v>4181760</v>
      </c>
      <c r="J173" s="15">
        <v>50000</v>
      </c>
      <c r="K173" s="15">
        <v>250000</v>
      </c>
      <c r="L173" s="15">
        <v>50000</v>
      </c>
      <c r="M173" s="15">
        <f t="shared" si="11"/>
        <v>25090.560000000001</v>
      </c>
    </row>
    <row r="174" spans="1:13" ht="15" customHeight="1" x14ac:dyDescent="0.3">
      <c r="A174" s="22">
        <v>167</v>
      </c>
      <c r="B174" s="23" t="s">
        <v>585</v>
      </c>
      <c r="C174" s="23" t="s">
        <v>586</v>
      </c>
      <c r="D174" s="24" t="s">
        <v>587</v>
      </c>
      <c r="E174" s="25">
        <v>7260</v>
      </c>
      <c r="F174" s="25">
        <f t="shared" si="8"/>
        <v>159720</v>
      </c>
      <c r="G174" s="36" t="s">
        <v>43</v>
      </c>
      <c r="H174" s="15">
        <f t="shared" si="9"/>
        <v>1916640</v>
      </c>
      <c r="I174" s="15">
        <f t="shared" si="10"/>
        <v>5749920</v>
      </c>
      <c r="J174" s="15">
        <v>50000</v>
      </c>
      <c r="K174" s="15">
        <v>250000</v>
      </c>
      <c r="L174" s="15">
        <v>50000</v>
      </c>
      <c r="M174" s="15">
        <f t="shared" si="11"/>
        <v>34499.519999999997</v>
      </c>
    </row>
    <row r="175" spans="1:13" ht="15" customHeight="1" x14ac:dyDescent="0.3">
      <c r="A175" s="22">
        <v>168</v>
      </c>
      <c r="B175" s="23" t="s">
        <v>588</v>
      </c>
      <c r="C175" s="23" t="s">
        <v>520</v>
      </c>
      <c r="D175" s="24" t="s">
        <v>359</v>
      </c>
      <c r="E175" s="25">
        <v>9240</v>
      </c>
      <c r="F175" s="25">
        <f t="shared" si="8"/>
        <v>203280</v>
      </c>
      <c r="G175" s="36" t="s">
        <v>43</v>
      </c>
      <c r="H175" s="15">
        <f t="shared" si="9"/>
        <v>2439360</v>
      </c>
      <c r="I175" s="15">
        <f t="shared" si="10"/>
        <v>7318080</v>
      </c>
      <c r="J175" s="15">
        <v>50000</v>
      </c>
      <c r="K175" s="15">
        <v>250000</v>
      </c>
      <c r="L175" s="15">
        <v>50000</v>
      </c>
      <c r="M175" s="15">
        <f t="shared" si="11"/>
        <v>43908.480000000003</v>
      </c>
    </row>
    <row r="176" spans="1:13" ht="15" customHeight="1" x14ac:dyDescent="0.3">
      <c r="A176" s="22">
        <v>169</v>
      </c>
      <c r="B176" s="23" t="s">
        <v>589</v>
      </c>
      <c r="C176" s="23" t="s">
        <v>223</v>
      </c>
      <c r="D176" s="24" t="s">
        <v>590</v>
      </c>
      <c r="E176" s="25">
        <v>5280</v>
      </c>
      <c r="F176" s="25">
        <f t="shared" si="8"/>
        <v>116160</v>
      </c>
      <c r="G176" s="36" t="s">
        <v>43</v>
      </c>
      <c r="H176" s="15">
        <f t="shared" si="9"/>
        <v>1393920</v>
      </c>
      <c r="I176" s="15">
        <f t="shared" si="10"/>
        <v>4181760</v>
      </c>
      <c r="J176" s="15">
        <v>50000</v>
      </c>
      <c r="K176" s="15">
        <v>250000</v>
      </c>
      <c r="L176" s="15">
        <v>50000</v>
      </c>
      <c r="M176" s="15">
        <f t="shared" si="11"/>
        <v>25090.560000000001</v>
      </c>
    </row>
    <row r="177" spans="1:13" ht="15" customHeight="1" x14ac:dyDescent="0.3">
      <c r="A177" s="22">
        <v>170</v>
      </c>
      <c r="B177" s="23" t="s">
        <v>591</v>
      </c>
      <c r="C177" s="23" t="s">
        <v>106</v>
      </c>
      <c r="D177" s="24" t="s">
        <v>359</v>
      </c>
      <c r="E177" s="25">
        <v>9240</v>
      </c>
      <c r="F177" s="25">
        <f t="shared" si="8"/>
        <v>203280</v>
      </c>
      <c r="G177" s="36" t="s">
        <v>43</v>
      </c>
      <c r="H177" s="15">
        <f t="shared" si="9"/>
        <v>2439360</v>
      </c>
      <c r="I177" s="15">
        <f t="shared" si="10"/>
        <v>7318080</v>
      </c>
      <c r="J177" s="15">
        <v>50000</v>
      </c>
      <c r="K177" s="15">
        <v>250000</v>
      </c>
      <c r="L177" s="15">
        <v>50000</v>
      </c>
      <c r="M177" s="15">
        <f t="shared" si="11"/>
        <v>43908.480000000003</v>
      </c>
    </row>
    <row r="178" spans="1:13" ht="15" customHeight="1" x14ac:dyDescent="0.3">
      <c r="A178" s="22">
        <v>171</v>
      </c>
      <c r="B178" s="23" t="s">
        <v>592</v>
      </c>
      <c r="C178" s="23" t="s">
        <v>344</v>
      </c>
      <c r="D178" s="24" t="s">
        <v>388</v>
      </c>
      <c r="E178" s="25">
        <v>5280</v>
      </c>
      <c r="F178" s="25">
        <f t="shared" si="8"/>
        <v>116160</v>
      </c>
      <c r="G178" s="36" t="s">
        <v>43</v>
      </c>
      <c r="H178" s="15">
        <f t="shared" si="9"/>
        <v>1393920</v>
      </c>
      <c r="I178" s="15">
        <f t="shared" si="10"/>
        <v>4181760</v>
      </c>
      <c r="J178" s="15">
        <v>50000</v>
      </c>
      <c r="K178" s="15">
        <v>250000</v>
      </c>
      <c r="L178" s="15">
        <v>50000</v>
      </c>
      <c r="M178" s="15">
        <f t="shared" si="11"/>
        <v>25090.560000000001</v>
      </c>
    </row>
    <row r="179" spans="1:13" ht="15" customHeight="1" x14ac:dyDescent="0.3">
      <c r="A179" s="22">
        <v>172</v>
      </c>
      <c r="B179" s="23" t="s">
        <v>593</v>
      </c>
      <c r="C179" s="23" t="s">
        <v>447</v>
      </c>
      <c r="D179" s="24" t="s">
        <v>388</v>
      </c>
      <c r="E179" s="25">
        <v>5280</v>
      </c>
      <c r="F179" s="25">
        <f t="shared" si="8"/>
        <v>116160</v>
      </c>
      <c r="G179" s="36" t="s">
        <v>43</v>
      </c>
      <c r="H179" s="15">
        <f t="shared" si="9"/>
        <v>1393920</v>
      </c>
      <c r="I179" s="15">
        <f t="shared" si="10"/>
        <v>4181760</v>
      </c>
      <c r="J179" s="15">
        <v>50000</v>
      </c>
      <c r="K179" s="15">
        <v>250000</v>
      </c>
      <c r="L179" s="15">
        <v>50000</v>
      </c>
      <c r="M179" s="15">
        <f t="shared" si="11"/>
        <v>25090.560000000001</v>
      </c>
    </row>
    <row r="180" spans="1:13" ht="15" customHeight="1" x14ac:dyDescent="0.3">
      <c r="A180" s="22">
        <v>173</v>
      </c>
      <c r="B180" s="23" t="s">
        <v>594</v>
      </c>
      <c r="C180" s="23" t="s">
        <v>134</v>
      </c>
      <c r="D180" s="24" t="s">
        <v>484</v>
      </c>
      <c r="E180" s="25">
        <v>5280</v>
      </c>
      <c r="F180" s="25">
        <f t="shared" si="8"/>
        <v>116160</v>
      </c>
      <c r="G180" s="36" t="s">
        <v>43</v>
      </c>
      <c r="H180" s="15">
        <f t="shared" si="9"/>
        <v>1393920</v>
      </c>
      <c r="I180" s="15">
        <f t="shared" si="10"/>
        <v>4181760</v>
      </c>
      <c r="J180" s="15">
        <v>50000</v>
      </c>
      <c r="K180" s="15">
        <v>250000</v>
      </c>
      <c r="L180" s="15">
        <v>50000</v>
      </c>
      <c r="M180" s="15">
        <f t="shared" si="11"/>
        <v>25090.560000000001</v>
      </c>
    </row>
    <row r="181" spans="1:13" ht="15" customHeight="1" x14ac:dyDescent="0.3">
      <c r="A181" s="22">
        <v>174</v>
      </c>
      <c r="B181" s="23" t="s">
        <v>257</v>
      </c>
      <c r="C181" s="23" t="s">
        <v>185</v>
      </c>
      <c r="D181" s="24" t="s">
        <v>435</v>
      </c>
      <c r="E181" s="25">
        <v>6600</v>
      </c>
      <c r="F181" s="25">
        <f t="shared" si="8"/>
        <v>145200</v>
      </c>
      <c r="G181" s="36" t="s">
        <v>43</v>
      </c>
      <c r="H181" s="15">
        <f t="shared" si="9"/>
        <v>1742400</v>
      </c>
      <c r="I181" s="15">
        <f t="shared" si="10"/>
        <v>5227200</v>
      </c>
      <c r="J181" s="15">
        <v>50000</v>
      </c>
      <c r="K181" s="15">
        <v>250000</v>
      </c>
      <c r="L181" s="15">
        <v>50000</v>
      </c>
      <c r="M181" s="15">
        <f t="shared" si="11"/>
        <v>31363.200000000001</v>
      </c>
    </row>
    <row r="182" spans="1:13" ht="15" customHeight="1" x14ac:dyDescent="0.3">
      <c r="A182" s="22">
        <v>175</v>
      </c>
      <c r="B182" s="23" t="s">
        <v>498</v>
      </c>
      <c r="C182" s="23" t="s">
        <v>595</v>
      </c>
      <c r="D182" s="24" t="s">
        <v>484</v>
      </c>
      <c r="E182" s="25">
        <v>5280</v>
      </c>
      <c r="F182" s="25">
        <f t="shared" si="8"/>
        <v>116160</v>
      </c>
      <c r="G182" s="36" t="s">
        <v>43</v>
      </c>
      <c r="H182" s="15">
        <f t="shared" si="9"/>
        <v>1393920</v>
      </c>
      <c r="I182" s="15">
        <f t="shared" si="10"/>
        <v>4181760</v>
      </c>
      <c r="J182" s="15">
        <v>50000</v>
      </c>
      <c r="K182" s="15">
        <v>250000</v>
      </c>
      <c r="L182" s="15">
        <v>50000</v>
      </c>
      <c r="M182" s="15">
        <f t="shared" si="11"/>
        <v>25090.560000000001</v>
      </c>
    </row>
    <row r="183" spans="1:13" ht="15" customHeight="1" x14ac:dyDescent="0.3">
      <c r="A183" s="22">
        <v>176</v>
      </c>
      <c r="B183" s="23" t="s">
        <v>165</v>
      </c>
      <c r="C183" s="23" t="s">
        <v>596</v>
      </c>
      <c r="D183" s="24" t="s">
        <v>388</v>
      </c>
      <c r="E183" s="25">
        <v>5280</v>
      </c>
      <c r="F183" s="25">
        <f t="shared" si="8"/>
        <v>116160</v>
      </c>
      <c r="G183" s="36" t="s">
        <v>43</v>
      </c>
      <c r="H183" s="15">
        <f t="shared" si="9"/>
        <v>1393920</v>
      </c>
      <c r="I183" s="15">
        <f t="shared" si="10"/>
        <v>4181760</v>
      </c>
      <c r="J183" s="15">
        <v>50000</v>
      </c>
      <c r="K183" s="15">
        <v>250000</v>
      </c>
      <c r="L183" s="15">
        <v>50000</v>
      </c>
      <c r="M183" s="15">
        <f t="shared" si="11"/>
        <v>25090.560000000001</v>
      </c>
    </row>
    <row r="184" spans="1:13" ht="15" customHeight="1" x14ac:dyDescent="0.3">
      <c r="A184" s="22">
        <v>177</v>
      </c>
      <c r="B184" s="23" t="s">
        <v>597</v>
      </c>
      <c r="C184" s="23" t="s">
        <v>598</v>
      </c>
      <c r="D184" s="24" t="s">
        <v>302</v>
      </c>
      <c r="E184" s="25">
        <v>10560</v>
      </c>
      <c r="F184" s="25">
        <f t="shared" si="8"/>
        <v>232320</v>
      </c>
      <c r="G184" s="36" t="s">
        <v>43</v>
      </c>
      <c r="H184" s="15">
        <f t="shared" si="9"/>
        <v>2787840</v>
      </c>
      <c r="I184" s="15">
        <f t="shared" si="10"/>
        <v>8363520</v>
      </c>
      <c r="J184" s="15">
        <v>50000</v>
      </c>
      <c r="K184" s="15">
        <v>250000</v>
      </c>
      <c r="L184" s="15">
        <v>50000</v>
      </c>
      <c r="M184" s="15">
        <f t="shared" si="11"/>
        <v>50181.120000000003</v>
      </c>
    </row>
    <row r="185" spans="1:13" ht="15" customHeight="1" x14ac:dyDescent="0.3">
      <c r="A185" s="22">
        <v>178</v>
      </c>
      <c r="B185" s="23" t="s">
        <v>78</v>
      </c>
      <c r="C185" s="23" t="s">
        <v>599</v>
      </c>
      <c r="D185" s="24" t="s">
        <v>388</v>
      </c>
      <c r="E185" s="25">
        <v>5280</v>
      </c>
      <c r="F185" s="25">
        <f t="shared" si="8"/>
        <v>116160</v>
      </c>
      <c r="G185" s="36" t="s">
        <v>43</v>
      </c>
      <c r="H185" s="15">
        <f t="shared" si="9"/>
        <v>1393920</v>
      </c>
      <c r="I185" s="15">
        <f t="shared" si="10"/>
        <v>4181760</v>
      </c>
      <c r="J185" s="15">
        <v>50000</v>
      </c>
      <c r="K185" s="15">
        <v>250000</v>
      </c>
      <c r="L185" s="15">
        <v>50000</v>
      </c>
      <c r="M185" s="15">
        <f t="shared" si="11"/>
        <v>25090.560000000001</v>
      </c>
    </row>
    <row r="186" spans="1:13" ht="15" customHeight="1" x14ac:dyDescent="0.3">
      <c r="A186" s="22">
        <v>179</v>
      </c>
      <c r="B186" s="23" t="s">
        <v>600</v>
      </c>
      <c r="C186" s="23" t="s">
        <v>601</v>
      </c>
      <c r="D186" s="24" t="s">
        <v>484</v>
      </c>
      <c r="E186" s="25">
        <v>9240</v>
      </c>
      <c r="F186" s="25">
        <f t="shared" si="8"/>
        <v>203280</v>
      </c>
      <c r="G186" s="36" t="s">
        <v>43</v>
      </c>
      <c r="H186" s="15">
        <f t="shared" si="9"/>
        <v>2439360</v>
      </c>
      <c r="I186" s="15">
        <f t="shared" si="10"/>
        <v>7318080</v>
      </c>
      <c r="J186" s="15">
        <v>50000</v>
      </c>
      <c r="K186" s="15">
        <v>250000</v>
      </c>
      <c r="L186" s="15">
        <v>50000</v>
      </c>
      <c r="M186" s="15">
        <f t="shared" si="11"/>
        <v>43908.480000000003</v>
      </c>
    </row>
    <row r="187" spans="1:13" ht="15" customHeight="1" x14ac:dyDescent="0.3">
      <c r="A187" s="22">
        <v>180</v>
      </c>
      <c r="B187" s="23" t="s">
        <v>602</v>
      </c>
      <c r="C187" s="23" t="s">
        <v>603</v>
      </c>
      <c r="D187" s="24" t="s">
        <v>329</v>
      </c>
      <c r="E187" s="25">
        <v>7260</v>
      </c>
      <c r="F187" s="25">
        <f t="shared" si="8"/>
        <v>159720</v>
      </c>
      <c r="G187" s="36" t="s">
        <v>43</v>
      </c>
      <c r="H187" s="15">
        <f t="shared" si="9"/>
        <v>1916640</v>
      </c>
      <c r="I187" s="15">
        <f t="shared" si="10"/>
        <v>5749920</v>
      </c>
      <c r="J187" s="15">
        <v>50000</v>
      </c>
      <c r="K187" s="15">
        <v>250000</v>
      </c>
      <c r="L187" s="15">
        <v>50000</v>
      </c>
      <c r="M187" s="15">
        <f t="shared" si="11"/>
        <v>34499.519999999997</v>
      </c>
    </row>
    <row r="188" spans="1:13" ht="15" customHeight="1" x14ac:dyDescent="0.3">
      <c r="A188" s="22">
        <v>181</v>
      </c>
      <c r="B188" s="23" t="s">
        <v>604</v>
      </c>
      <c r="C188" s="23" t="s">
        <v>605</v>
      </c>
      <c r="D188" s="24" t="s">
        <v>484</v>
      </c>
      <c r="E188" s="25">
        <v>5280</v>
      </c>
      <c r="F188" s="25">
        <f t="shared" si="8"/>
        <v>116160</v>
      </c>
      <c r="G188" s="36" t="s">
        <v>43</v>
      </c>
      <c r="H188" s="15">
        <f t="shared" si="9"/>
        <v>1393920</v>
      </c>
      <c r="I188" s="15">
        <f t="shared" si="10"/>
        <v>4181760</v>
      </c>
      <c r="J188" s="15">
        <v>50000</v>
      </c>
      <c r="K188" s="15">
        <v>250000</v>
      </c>
      <c r="L188" s="15">
        <v>50000</v>
      </c>
      <c r="M188" s="15">
        <f t="shared" si="11"/>
        <v>25090.560000000001</v>
      </c>
    </row>
    <row r="189" spans="1:13" ht="15" customHeight="1" x14ac:dyDescent="0.3">
      <c r="A189" s="22">
        <v>182</v>
      </c>
      <c r="B189" s="23" t="s">
        <v>606</v>
      </c>
      <c r="C189" s="23" t="s">
        <v>607</v>
      </c>
      <c r="D189" s="24" t="s">
        <v>310</v>
      </c>
      <c r="E189" s="25">
        <v>6600</v>
      </c>
      <c r="F189" s="25">
        <f t="shared" si="8"/>
        <v>145200</v>
      </c>
      <c r="G189" s="36" t="s">
        <v>43</v>
      </c>
      <c r="H189" s="15">
        <f t="shared" si="9"/>
        <v>1742400</v>
      </c>
      <c r="I189" s="15">
        <f t="shared" si="10"/>
        <v>5227200</v>
      </c>
      <c r="J189" s="15">
        <v>50000</v>
      </c>
      <c r="K189" s="15">
        <v>250000</v>
      </c>
      <c r="L189" s="15">
        <v>50000</v>
      </c>
      <c r="M189" s="15">
        <f t="shared" si="11"/>
        <v>31363.200000000001</v>
      </c>
    </row>
    <row r="190" spans="1:13" ht="15" customHeight="1" x14ac:dyDescent="0.3">
      <c r="A190" s="22">
        <v>183</v>
      </c>
      <c r="B190" s="23" t="s">
        <v>608</v>
      </c>
      <c r="C190" s="23" t="s">
        <v>499</v>
      </c>
      <c r="D190" s="24" t="s">
        <v>346</v>
      </c>
      <c r="E190" s="25">
        <v>10560</v>
      </c>
      <c r="F190" s="25">
        <f t="shared" si="8"/>
        <v>232320</v>
      </c>
      <c r="G190" s="36" t="s">
        <v>43</v>
      </c>
      <c r="H190" s="15">
        <f t="shared" si="9"/>
        <v>2787840</v>
      </c>
      <c r="I190" s="15">
        <f t="shared" si="10"/>
        <v>8363520</v>
      </c>
      <c r="J190" s="15">
        <v>50000</v>
      </c>
      <c r="K190" s="15">
        <v>250000</v>
      </c>
      <c r="L190" s="15">
        <v>50000</v>
      </c>
      <c r="M190" s="15">
        <f t="shared" si="11"/>
        <v>50181.120000000003</v>
      </c>
    </row>
    <row r="191" spans="1:13" ht="15" customHeight="1" x14ac:dyDescent="0.3">
      <c r="A191" s="22">
        <v>184</v>
      </c>
      <c r="B191" s="23" t="s">
        <v>78</v>
      </c>
      <c r="C191" s="23" t="s">
        <v>609</v>
      </c>
      <c r="D191" s="24" t="s">
        <v>388</v>
      </c>
      <c r="E191" s="25">
        <v>5280</v>
      </c>
      <c r="F191" s="25">
        <f t="shared" si="8"/>
        <v>116160</v>
      </c>
      <c r="G191" s="36" t="s">
        <v>43</v>
      </c>
      <c r="H191" s="15">
        <f t="shared" si="9"/>
        <v>1393920</v>
      </c>
      <c r="I191" s="15">
        <f t="shared" si="10"/>
        <v>4181760</v>
      </c>
      <c r="J191" s="15">
        <v>50000</v>
      </c>
      <c r="K191" s="15">
        <v>250000</v>
      </c>
      <c r="L191" s="15">
        <v>50000</v>
      </c>
      <c r="M191" s="15">
        <f t="shared" si="11"/>
        <v>25090.560000000001</v>
      </c>
    </row>
    <row r="192" spans="1:13" ht="15" customHeight="1" x14ac:dyDescent="0.3">
      <c r="A192" s="22">
        <v>185</v>
      </c>
      <c r="B192" s="23" t="s">
        <v>450</v>
      </c>
      <c r="C192" s="23" t="s">
        <v>378</v>
      </c>
      <c r="D192" s="24" t="s">
        <v>302</v>
      </c>
      <c r="E192" s="25">
        <v>10560</v>
      </c>
      <c r="F192" s="25">
        <f t="shared" si="8"/>
        <v>232320</v>
      </c>
      <c r="G192" s="36" t="s">
        <v>43</v>
      </c>
      <c r="H192" s="15">
        <f t="shared" si="9"/>
        <v>2787840</v>
      </c>
      <c r="I192" s="15">
        <f t="shared" si="10"/>
        <v>8363520</v>
      </c>
      <c r="J192" s="15">
        <v>50000</v>
      </c>
      <c r="K192" s="15">
        <v>250000</v>
      </c>
      <c r="L192" s="15">
        <v>50000</v>
      </c>
      <c r="M192" s="15">
        <f t="shared" si="11"/>
        <v>50181.120000000003</v>
      </c>
    </row>
    <row r="193" spans="1:13" ht="15" customHeight="1" x14ac:dyDescent="0.3">
      <c r="A193" s="22">
        <v>186</v>
      </c>
      <c r="B193" s="23" t="s">
        <v>610</v>
      </c>
      <c r="C193" s="23" t="s">
        <v>65</v>
      </c>
      <c r="D193" s="24" t="s">
        <v>484</v>
      </c>
      <c r="E193" s="25">
        <v>5280</v>
      </c>
      <c r="F193" s="25">
        <f t="shared" si="8"/>
        <v>116160</v>
      </c>
      <c r="G193" s="36" t="s">
        <v>43</v>
      </c>
      <c r="H193" s="15">
        <f t="shared" si="9"/>
        <v>1393920</v>
      </c>
      <c r="I193" s="15">
        <f t="shared" si="10"/>
        <v>4181760</v>
      </c>
      <c r="J193" s="15">
        <v>50000</v>
      </c>
      <c r="K193" s="15">
        <v>250000</v>
      </c>
      <c r="L193" s="15">
        <v>50000</v>
      </c>
      <c r="M193" s="15">
        <f t="shared" si="11"/>
        <v>25090.560000000001</v>
      </c>
    </row>
    <row r="194" spans="1:13" ht="15" customHeight="1" x14ac:dyDescent="0.3">
      <c r="A194" s="22">
        <v>187</v>
      </c>
      <c r="B194" s="23" t="s">
        <v>149</v>
      </c>
      <c r="C194" s="23" t="s">
        <v>65</v>
      </c>
      <c r="D194" s="24" t="s">
        <v>346</v>
      </c>
      <c r="E194" s="25">
        <v>15840</v>
      </c>
      <c r="F194" s="25">
        <f t="shared" si="8"/>
        <v>348480</v>
      </c>
      <c r="G194" s="36" t="s">
        <v>43</v>
      </c>
      <c r="H194" s="15">
        <f t="shared" si="9"/>
        <v>4181760</v>
      </c>
      <c r="I194" s="15">
        <f t="shared" si="10"/>
        <v>12545280</v>
      </c>
      <c r="J194" s="15">
        <v>50000</v>
      </c>
      <c r="K194" s="15">
        <v>250000</v>
      </c>
      <c r="L194" s="15">
        <v>50000</v>
      </c>
      <c r="M194" s="15">
        <f t="shared" si="11"/>
        <v>75271.679999999993</v>
      </c>
    </row>
    <row r="195" spans="1:13" ht="15" customHeight="1" x14ac:dyDescent="0.3">
      <c r="A195" s="22">
        <v>188</v>
      </c>
      <c r="B195" s="23" t="s">
        <v>400</v>
      </c>
      <c r="C195" s="23" t="s">
        <v>611</v>
      </c>
      <c r="D195" s="24" t="s">
        <v>396</v>
      </c>
      <c r="E195" s="25">
        <v>6600</v>
      </c>
      <c r="F195" s="25">
        <f t="shared" si="8"/>
        <v>145200</v>
      </c>
      <c r="G195" s="36" t="s">
        <v>43</v>
      </c>
      <c r="H195" s="15">
        <f t="shared" si="9"/>
        <v>1742400</v>
      </c>
      <c r="I195" s="15">
        <f t="shared" si="10"/>
        <v>5227200</v>
      </c>
      <c r="J195" s="15">
        <v>50000</v>
      </c>
      <c r="K195" s="15">
        <v>250000</v>
      </c>
      <c r="L195" s="15">
        <v>50000</v>
      </c>
      <c r="M195" s="15">
        <f t="shared" si="11"/>
        <v>31363.200000000001</v>
      </c>
    </row>
    <row r="196" spans="1:13" ht="15" customHeight="1" x14ac:dyDescent="0.3">
      <c r="A196" s="22">
        <v>189</v>
      </c>
      <c r="B196" s="23" t="s">
        <v>612</v>
      </c>
      <c r="C196" s="23" t="s">
        <v>613</v>
      </c>
      <c r="D196" s="24" t="s">
        <v>424</v>
      </c>
      <c r="E196" s="25">
        <v>6600</v>
      </c>
      <c r="F196" s="25">
        <f t="shared" si="8"/>
        <v>145200</v>
      </c>
      <c r="G196" s="36" t="s">
        <v>43</v>
      </c>
      <c r="H196" s="15">
        <f t="shared" si="9"/>
        <v>1742400</v>
      </c>
      <c r="I196" s="15">
        <f t="shared" si="10"/>
        <v>5227200</v>
      </c>
      <c r="J196" s="15">
        <v>50000</v>
      </c>
      <c r="K196" s="15">
        <v>250000</v>
      </c>
      <c r="L196" s="15">
        <v>50000</v>
      </c>
      <c r="M196" s="15">
        <f t="shared" si="11"/>
        <v>31363.200000000001</v>
      </c>
    </row>
    <row r="197" spans="1:13" ht="15" customHeight="1" x14ac:dyDescent="0.3">
      <c r="A197" s="22">
        <v>190</v>
      </c>
      <c r="B197" s="23" t="s">
        <v>614</v>
      </c>
      <c r="C197" s="23" t="s">
        <v>368</v>
      </c>
      <c r="D197" s="24" t="s">
        <v>424</v>
      </c>
      <c r="E197" s="25">
        <v>6600</v>
      </c>
      <c r="F197" s="25">
        <f t="shared" si="8"/>
        <v>145200</v>
      </c>
      <c r="G197" s="36" t="s">
        <v>43</v>
      </c>
      <c r="H197" s="15">
        <f t="shared" si="9"/>
        <v>1742400</v>
      </c>
      <c r="I197" s="15">
        <f t="shared" si="10"/>
        <v>5227200</v>
      </c>
      <c r="J197" s="15">
        <v>50000</v>
      </c>
      <c r="K197" s="15">
        <v>250000</v>
      </c>
      <c r="L197" s="15">
        <v>50000</v>
      </c>
      <c r="M197" s="15">
        <f t="shared" si="11"/>
        <v>31363.200000000001</v>
      </c>
    </row>
    <row r="198" spans="1:13" ht="15" customHeight="1" x14ac:dyDescent="0.3">
      <c r="A198" s="22">
        <v>191</v>
      </c>
      <c r="B198" s="23" t="s">
        <v>615</v>
      </c>
      <c r="C198" s="23" t="s">
        <v>368</v>
      </c>
      <c r="D198" s="24" t="s">
        <v>359</v>
      </c>
      <c r="E198" s="25">
        <v>9240</v>
      </c>
      <c r="F198" s="25">
        <f t="shared" si="8"/>
        <v>203280</v>
      </c>
      <c r="G198" s="36" t="s">
        <v>43</v>
      </c>
      <c r="H198" s="15">
        <f t="shared" si="9"/>
        <v>2439360</v>
      </c>
      <c r="I198" s="15">
        <f t="shared" si="10"/>
        <v>7318080</v>
      </c>
      <c r="J198" s="15">
        <v>50000</v>
      </c>
      <c r="K198" s="15">
        <v>250000</v>
      </c>
      <c r="L198" s="15">
        <v>50000</v>
      </c>
      <c r="M198" s="15">
        <f t="shared" si="11"/>
        <v>43908.480000000003</v>
      </c>
    </row>
    <row r="199" spans="1:13" ht="15" customHeight="1" x14ac:dyDescent="0.3">
      <c r="A199" s="22">
        <v>192</v>
      </c>
      <c r="B199" s="23" t="s">
        <v>616</v>
      </c>
      <c r="C199" s="23" t="s">
        <v>300</v>
      </c>
      <c r="D199" s="24" t="s">
        <v>359</v>
      </c>
      <c r="E199" s="25">
        <v>5280</v>
      </c>
      <c r="F199" s="25">
        <f t="shared" si="8"/>
        <v>116160</v>
      </c>
      <c r="G199" s="36" t="s">
        <v>43</v>
      </c>
      <c r="H199" s="15">
        <f t="shared" si="9"/>
        <v>1393920</v>
      </c>
      <c r="I199" s="15">
        <f t="shared" si="10"/>
        <v>4181760</v>
      </c>
      <c r="J199" s="15">
        <v>50000</v>
      </c>
      <c r="K199" s="15">
        <v>250000</v>
      </c>
      <c r="L199" s="15">
        <v>50000</v>
      </c>
      <c r="M199" s="15">
        <f t="shared" si="11"/>
        <v>25090.560000000001</v>
      </c>
    </row>
    <row r="200" spans="1:13" ht="15" customHeight="1" x14ac:dyDescent="0.3">
      <c r="A200" s="22">
        <v>193</v>
      </c>
      <c r="B200" s="23" t="s">
        <v>183</v>
      </c>
      <c r="C200" s="23" t="s">
        <v>489</v>
      </c>
      <c r="D200" s="24" t="s">
        <v>354</v>
      </c>
      <c r="E200" s="25">
        <v>6600</v>
      </c>
      <c r="F200" s="25">
        <f t="shared" ref="F200:F263" si="12">E200*22</f>
        <v>145200</v>
      </c>
      <c r="G200" s="36" t="s">
        <v>43</v>
      </c>
      <c r="H200" s="15">
        <f t="shared" si="9"/>
        <v>1742400</v>
      </c>
      <c r="I200" s="15">
        <f t="shared" si="10"/>
        <v>5227200</v>
      </c>
      <c r="J200" s="15">
        <v>50000</v>
      </c>
      <c r="K200" s="15">
        <v>250000</v>
      </c>
      <c r="L200" s="15">
        <v>50000</v>
      </c>
      <c r="M200" s="15">
        <f t="shared" si="11"/>
        <v>31363.200000000001</v>
      </c>
    </row>
    <row r="201" spans="1:13" ht="15" customHeight="1" x14ac:dyDescent="0.3">
      <c r="A201" s="22">
        <v>194</v>
      </c>
      <c r="B201" s="23" t="s">
        <v>617</v>
      </c>
      <c r="C201" s="23" t="s">
        <v>618</v>
      </c>
      <c r="D201" s="24" t="s">
        <v>329</v>
      </c>
      <c r="E201" s="25">
        <v>7260</v>
      </c>
      <c r="F201" s="25">
        <f t="shared" si="12"/>
        <v>159720</v>
      </c>
      <c r="G201" s="36" t="s">
        <v>43</v>
      </c>
      <c r="H201" s="15">
        <f t="shared" ref="H201:H264" si="13">F201*12</f>
        <v>1916640</v>
      </c>
      <c r="I201" s="15">
        <f t="shared" ref="I201:I264" si="14">H201*3</f>
        <v>5749920</v>
      </c>
      <c r="J201" s="15">
        <v>50000</v>
      </c>
      <c r="K201" s="15">
        <v>250000</v>
      </c>
      <c r="L201" s="15">
        <v>50000</v>
      </c>
      <c r="M201" s="15">
        <f t="shared" ref="M201:M264" si="15">I201*6/1000</f>
        <v>34499.519999999997</v>
      </c>
    </row>
    <row r="202" spans="1:13" ht="15" customHeight="1" x14ac:dyDescent="0.3">
      <c r="A202" s="22">
        <v>195</v>
      </c>
      <c r="B202" s="23" t="s">
        <v>249</v>
      </c>
      <c r="C202" s="23" t="s">
        <v>619</v>
      </c>
      <c r="D202" s="24" t="s">
        <v>346</v>
      </c>
      <c r="E202" s="25">
        <v>10560</v>
      </c>
      <c r="F202" s="25">
        <f t="shared" si="12"/>
        <v>232320</v>
      </c>
      <c r="G202" s="36" t="s">
        <v>43</v>
      </c>
      <c r="H202" s="15">
        <f t="shared" si="13"/>
        <v>2787840</v>
      </c>
      <c r="I202" s="15">
        <f t="shared" si="14"/>
        <v>8363520</v>
      </c>
      <c r="J202" s="15">
        <v>50000</v>
      </c>
      <c r="K202" s="15">
        <v>250000</v>
      </c>
      <c r="L202" s="15">
        <v>50000</v>
      </c>
      <c r="M202" s="15">
        <f t="shared" si="15"/>
        <v>50181.120000000003</v>
      </c>
    </row>
    <row r="203" spans="1:13" ht="15" customHeight="1" x14ac:dyDescent="0.3">
      <c r="A203" s="22">
        <v>196</v>
      </c>
      <c r="B203" s="23" t="s">
        <v>32</v>
      </c>
      <c r="C203" s="23" t="s">
        <v>620</v>
      </c>
      <c r="D203" s="24" t="s">
        <v>484</v>
      </c>
      <c r="E203" s="25">
        <v>5280</v>
      </c>
      <c r="F203" s="25">
        <f t="shared" si="12"/>
        <v>116160</v>
      </c>
      <c r="G203" s="36" t="s">
        <v>43</v>
      </c>
      <c r="H203" s="15">
        <f t="shared" si="13"/>
        <v>1393920</v>
      </c>
      <c r="I203" s="15">
        <f t="shared" si="14"/>
        <v>4181760</v>
      </c>
      <c r="J203" s="15">
        <v>50000</v>
      </c>
      <c r="K203" s="15">
        <v>250000</v>
      </c>
      <c r="L203" s="15">
        <v>50000</v>
      </c>
      <c r="M203" s="15">
        <f t="shared" si="15"/>
        <v>25090.560000000001</v>
      </c>
    </row>
    <row r="204" spans="1:13" ht="15" customHeight="1" x14ac:dyDescent="0.3">
      <c r="A204" s="22">
        <v>197</v>
      </c>
      <c r="B204" s="23" t="s">
        <v>32</v>
      </c>
      <c r="C204" s="23" t="s">
        <v>621</v>
      </c>
      <c r="D204" s="24" t="s">
        <v>302</v>
      </c>
      <c r="E204" s="25">
        <v>10560</v>
      </c>
      <c r="F204" s="25">
        <f t="shared" si="12"/>
        <v>232320</v>
      </c>
      <c r="G204" s="36" t="s">
        <v>43</v>
      </c>
      <c r="H204" s="15">
        <f t="shared" si="13"/>
        <v>2787840</v>
      </c>
      <c r="I204" s="15">
        <f t="shared" si="14"/>
        <v>8363520</v>
      </c>
      <c r="J204" s="15">
        <v>50000</v>
      </c>
      <c r="K204" s="15">
        <v>250000</v>
      </c>
      <c r="L204" s="15">
        <v>50000</v>
      </c>
      <c r="M204" s="15">
        <f t="shared" si="15"/>
        <v>50181.120000000003</v>
      </c>
    </row>
    <row r="205" spans="1:13" ht="15" customHeight="1" x14ac:dyDescent="0.3">
      <c r="A205" s="22">
        <v>198</v>
      </c>
      <c r="B205" s="23" t="s">
        <v>561</v>
      </c>
      <c r="C205" s="23" t="s">
        <v>336</v>
      </c>
      <c r="D205" s="24" t="s">
        <v>310</v>
      </c>
      <c r="E205" s="25">
        <v>6600</v>
      </c>
      <c r="F205" s="25">
        <f t="shared" si="12"/>
        <v>145200</v>
      </c>
      <c r="G205" s="36" t="s">
        <v>43</v>
      </c>
      <c r="H205" s="15">
        <f t="shared" si="13"/>
        <v>1742400</v>
      </c>
      <c r="I205" s="15">
        <f t="shared" si="14"/>
        <v>5227200</v>
      </c>
      <c r="J205" s="15">
        <v>50000</v>
      </c>
      <c r="K205" s="15">
        <v>250000</v>
      </c>
      <c r="L205" s="15">
        <v>50000</v>
      </c>
      <c r="M205" s="15">
        <f t="shared" si="15"/>
        <v>31363.200000000001</v>
      </c>
    </row>
    <row r="206" spans="1:13" ht="15" customHeight="1" x14ac:dyDescent="0.3">
      <c r="A206" s="22">
        <v>199</v>
      </c>
      <c r="B206" s="23" t="s">
        <v>605</v>
      </c>
      <c r="C206" s="23" t="s">
        <v>622</v>
      </c>
      <c r="D206" s="24" t="s">
        <v>484</v>
      </c>
      <c r="E206" s="25">
        <v>5280</v>
      </c>
      <c r="F206" s="25">
        <f t="shared" si="12"/>
        <v>116160</v>
      </c>
      <c r="G206" s="36" t="s">
        <v>43</v>
      </c>
      <c r="H206" s="15">
        <f t="shared" si="13"/>
        <v>1393920</v>
      </c>
      <c r="I206" s="15">
        <f t="shared" si="14"/>
        <v>4181760</v>
      </c>
      <c r="J206" s="15">
        <v>50000</v>
      </c>
      <c r="K206" s="15">
        <v>250000</v>
      </c>
      <c r="L206" s="15">
        <v>50000</v>
      </c>
      <c r="M206" s="15">
        <f t="shared" si="15"/>
        <v>25090.560000000001</v>
      </c>
    </row>
    <row r="207" spans="1:13" ht="15" customHeight="1" x14ac:dyDescent="0.3">
      <c r="A207" s="22">
        <v>200</v>
      </c>
      <c r="B207" s="23" t="s">
        <v>481</v>
      </c>
      <c r="C207" s="23" t="s">
        <v>623</v>
      </c>
      <c r="D207" s="24" t="s">
        <v>329</v>
      </c>
      <c r="E207" s="25">
        <v>7260</v>
      </c>
      <c r="F207" s="25">
        <f t="shared" si="12"/>
        <v>159720</v>
      </c>
      <c r="G207" s="36" t="s">
        <v>43</v>
      </c>
      <c r="H207" s="15">
        <f t="shared" si="13"/>
        <v>1916640</v>
      </c>
      <c r="I207" s="15">
        <f t="shared" si="14"/>
        <v>5749920</v>
      </c>
      <c r="J207" s="15">
        <v>50000</v>
      </c>
      <c r="K207" s="15">
        <v>250000</v>
      </c>
      <c r="L207" s="15">
        <v>50000</v>
      </c>
      <c r="M207" s="15">
        <f t="shared" si="15"/>
        <v>34499.519999999997</v>
      </c>
    </row>
    <row r="208" spans="1:13" ht="15" customHeight="1" x14ac:dyDescent="0.3">
      <c r="A208" s="22">
        <v>201</v>
      </c>
      <c r="B208" s="23" t="s">
        <v>624</v>
      </c>
      <c r="C208" s="23" t="s">
        <v>625</v>
      </c>
      <c r="D208" s="24" t="s">
        <v>484</v>
      </c>
      <c r="E208" s="25">
        <v>5280</v>
      </c>
      <c r="F208" s="25">
        <f t="shared" si="12"/>
        <v>116160</v>
      </c>
      <c r="G208" s="36" t="s">
        <v>43</v>
      </c>
      <c r="H208" s="15">
        <f t="shared" si="13"/>
        <v>1393920</v>
      </c>
      <c r="I208" s="15">
        <f t="shared" si="14"/>
        <v>4181760</v>
      </c>
      <c r="J208" s="15">
        <v>50000</v>
      </c>
      <c r="K208" s="15">
        <v>250000</v>
      </c>
      <c r="L208" s="15">
        <v>50000</v>
      </c>
      <c r="M208" s="15">
        <f t="shared" si="15"/>
        <v>25090.560000000001</v>
      </c>
    </row>
    <row r="209" spans="1:13" ht="15" customHeight="1" x14ac:dyDescent="0.3">
      <c r="A209" s="22">
        <v>202</v>
      </c>
      <c r="B209" s="23" t="s">
        <v>626</v>
      </c>
      <c r="C209" s="23" t="s">
        <v>627</v>
      </c>
      <c r="D209" s="24" t="s">
        <v>302</v>
      </c>
      <c r="E209" s="25">
        <v>10560</v>
      </c>
      <c r="F209" s="25">
        <f t="shared" si="12"/>
        <v>232320</v>
      </c>
      <c r="G209" s="36" t="s">
        <v>43</v>
      </c>
      <c r="H209" s="15">
        <f t="shared" si="13"/>
        <v>2787840</v>
      </c>
      <c r="I209" s="15">
        <f t="shared" si="14"/>
        <v>8363520</v>
      </c>
      <c r="J209" s="15">
        <v>50000</v>
      </c>
      <c r="K209" s="15">
        <v>250000</v>
      </c>
      <c r="L209" s="15">
        <v>50000</v>
      </c>
      <c r="M209" s="15">
        <f t="shared" si="15"/>
        <v>50181.120000000003</v>
      </c>
    </row>
    <row r="210" spans="1:13" ht="15" customHeight="1" x14ac:dyDescent="0.3">
      <c r="A210" s="22">
        <v>203</v>
      </c>
      <c r="B210" s="23" t="s">
        <v>628</v>
      </c>
      <c r="C210" s="23" t="s">
        <v>61</v>
      </c>
      <c r="D210" s="24" t="s">
        <v>359</v>
      </c>
      <c r="E210" s="25">
        <v>9240</v>
      </c>
      <c r="F210" s="25">
        <f t="shared" si="12"/>
        <v>203280</v>
      </c>
      <c r="G210" s="36" t="s">
        <v>43</v>
      </c>
      <c r="H210" s="15">
        <f t="shared" si="13"/>
        <v>2439360</v>
      </c>
      <c r="I210" s="15">
        <f t="shared" si="14"/>
        <v>7318080</v>
      </c>
      <c r="J210" s="15">
        <v>50000</v>
      </c>
      <c r="K210" s="15">
        <v>250000</v>
      </c>
      <c r="L210" s="15">
        <v>50000</v>
      </c>
      <c r="M210" s="15">
        <f t="shared" si="15"/>
        <v>43908.480000000003</v>
      </c>
    </row>
    <row r="211" spans="1:13" ht="15" customHeight="1" x14ac:dyDescent="0.3">
      <c r="A211" s="22">
        <v>204</v>
      </c>
      <c r="B211" s="23" t="s">
        <v>629</v>
      </c>
      <c r="C211" s="23" t="s">
        <v>630</v>
      </c>
      <c r="D211" s="24" t="s">
        <v>329</v>
      </c>
      <c r="E211" s="25">
        <v>7260</v>
      </c>
      <c r="F211" s="25">
        <f t="shared" si="12"/>
        <v>159720</v>
      </c>
      <c r="G211" s="36" t="s">
        <v>43</v>
      </c>
      <c r="H211" s="15">
        <f t="shared" si="13"/>
        <v>1916640</v>
      </c>
      <c r="I211" s="15">
        <f t="shared" si="14"/>
        <v>5749920</v>
      </c>
      <c r="J211" s="15">
        <v>50000</v>
      </c>
      <c r="K211" s="15">
        <v>250000</v>
      </c>
      <c r="L211" s="15">
        <v>50000</v>
      </c>
      <c r="M211" s="15">
        <f t="shared" si="15"/>
        <v>34499.519999999997</v>
      </c>
    </row>
    <row r="212" spans="1:13" ht="15" customHeight="1" x14ac:dyDescent="0.3">
      <c r="A212" s="22">
        <v>205</v>
      </c>
      <c r="B212" s="23" t="s">
        <v>631</v>
      </c>
      <c r="C212" s="23" t="s">
        <v>632</v>
      </c>
      <c r="D212" s="24" t="s">
        <v>359</v>
      </c>
      <c r="E212" s="25">
        <v>9240</v>
      </c>
      <c r="F212" s="25">
        <f t="shared" si="12"/>
        <v>203280</v>
      </c>
      <c r="G212" s="36" t="s">
        <v>43</v>
      </c>
      <c r="H212" s="15">
        <f t="shared" si="13"/>
        <v>2439360</v>
      </c>
      <c r="I212" s="15">
        <f t="shared" si="14"/>
        <v>7318080</v>
      </c>
      <c r="J212" s="15">
        <v>50000</v>
      </c>
      <c r="K212" s="15">
        <v>250000</v>
      </c>
      <c r="L212" s="15">
        <v>50000</v>
      </c>
      <c r="M212" s="15">
        <f t="shared" si="15"/>
        <v>43908.480000000003</v>
      </c>
    </row>
    <row r="213" spans="1:13" ht="15" customHeight="1" x14ac:dyDescent="0.3">
      <c r="A213" s="22">
        <v>206</v>
      </c>
      <c r="B213" s="23" t="s">
        <v>633</v>
      </c>
      <c r="C213" s="23" t="s">
        <v>634</v>
      </c>
      <c r="D213" s="24" t="s">
        <v>484</v>
      </c>
      <c r="E213" s="25">
        <v>5280</v>
      </c>
      <c r="F213" s="25">
        <f t="shared" si="12"/>
        <v>116160</v>
      </c>
      <c r="G213" s="36" t="s">
        <v>43</v>
      </c>
      <c r="H213" s="15">
        <f t="shared" si="13"/>
        <v>1393920</v>
      </c>
      <c r="I213" s="15">
        <f t="shared" si="14"/>
        <v>4181760</v>
      </c>
      <c r="J213" s="15">
        <v>50000</v>
      </c>
      <c r="K213" s="15">
        <v>250000</v>
      </c>
      <c r="L213" s="15">
        <v>50000</v>
      </c>
      <c r="M213" s="15">
        <f t="shared" si="15"/>
        <v>25090.560000000001</v>
      </c>
    </row>
    <row r="214" spans="1:13" ht="15" customHeight="1" x14ac:dyDescent="0.3">
      <c r="A214" s="22">
        <v>207</v>
      </c>
      <c r="B214" s="23" t="s">
        <v>311</v>
      </c>
      <c r="C214" s="23" t="s">
        <v>164</v>
      </c>
      <c r="D214" s="24" t="s">
        <v>484</v>
      </c>
      <c r="E214" s="25">
        <v>5280</v>
      </c>
      <c r="F214" s="25">
        <f t="shared" si="12"/>
        <v>116160</v>
      </c>
      <c r="G214" s="36" t="s">
        <v>43</v>
      </c>
      <c r="H214" s="15">
        <f t="shared" si="13"/>
        <v>1393920</v>
      </c>
      <c r="I214" s="15">
        <f t="shared" si="14"/>
        <v>4181760</v>
      </c>
      <c r="J214" s="15">
        <v>50000</v>
      </c>
      <c r="K214" s="15">
        <v>250000</v>
      </c>
      <c r="L214" s="15">
        <v>50000</v>
      </c>
      <c r="M214" s="15">
        <f t="shared" si="15"/>
        <v>25090.560000000001</v>
      </c>
    </row>
    <row r="215" spans="1:13" ht="15" customHeight="1" x14ac:dyDescent="0.3">
      <c r="A215" s="22">
        <v>208</v>
      </c>
      <c r="B215" s="23" t="s">
        <v>635</v>
      </c>
      <c r="C215" s="23" t="s">
        <v>164</v>
      </c>
      <c r="D215" s="24" t="s">
        <v>310</v>
      </c>
      <c r="E215" s="25">
        <v>6600</v>
      </c>
      <c r="F215" s="25">
        <f t="shared" si="12"/>
        <v>145200</v>
      </c>
      <c r="G215" s="36" t="s">
        <v>43</v>
      </c>
      <c r="H215" s="15">
        <f t="shared" si="13"/>
        <v>1742400</v>
      </c>
      <c r="I215" s="15">
        <f t="shared" si="14"/>
        <v>5227200</v>
      </c>
      <c r="J215" s="15">
        <v>50000</v>
      </c>
      <c r="K215" s="15">
        <v>250000</v>
      </c>
      <c r="L215" s="15">
        <v>50000</v>
      </c>
      <c r="M215" s="15">
        <f t="shared" si="15"/>
        <v>31363.200000000001</v>
      </c>
    </row>
    <row r="216" spans="1:13" ht="15" customHeight="1" x14ac:dyDescent="0.3">
      <c r="A216" s="22">
        <v>209</v>
      </c>
      <c r="B216" s="23" t="s">
        <v>599</v>
      </c>
      <c r="C216" s="23" t="s">
        <v>636</v>
      </c>
      <c r="D216" s="24" t="s">
        <v>484</v>
      </c>
      <c r="E216" s="25">
        <v>5280</v>
      </c>
      <c r="F216" s="25">
        <f t="shared" si="12"/>
        <v>116160</v>
      </c>
      <c r="G216" s="36" t="s">
        <v>43</v>
      </c>
      <c r="H216" s="15">
        <f t="shared" si="13"/>
        <v>1393920</v>
      </c>
      <c r="I216" s="15">
        <f t="shared" si="14"/>
        <v>4181760</v>
      </c>
      <c r="J216" s="15">
        <v>50000</v>
      </c>
      <c r="K216" s="15">
        <v>250000</v>
      </c>
      <c r="L216" s="15">
        <v>50000</v>
      </c>
      <c r="M216" s="15">
        <f t="shared" si="15"/>
        <v>25090.560000000001</v>
      </c>
    </row>
    <row r="217" spans="1:13" ht="15" customHeight="1" x14ac:dyDescent="0.3">
      <c r="A217" s="22">
        <v>210</v>
      </c>
      <c r="B217" s="23" t="s">
        <v>637</v>
      </c>
      <c r="C217" s="23" t="s">
        <v>638</v>
      </c>
      <c r="D217" s="24" t="s">
        <v>359</v>
      </c>
      <c r="E217" s="25">
        <v>9240</v>
      </c>
      <c r="F217" s="25">
        <f t="shared" si="12"/>
        <v>203280</v>
      </c>
      <c r="G217" s="36" t="s">
        <v>43</v>
      </c>
      <c r="H217" s="15">
        <f t="shared" si="13"/>
        <v>2439360</v>
      </c>
      <c r="I217" s="15">
        <f t="shared" si="14"/>
        <v>7318080</v>
      </c>
      <c r="J217" s="15">
        <v>50000</v>
      </c>
      <c r="K217" s="15">
        <v>250000</v>
      </c>
      <c r="L217" s="15">
        <v>50000</v>
      </c>
      <c r="M217" s="15">
        <f t="shared" si="15"/>
        <v>43908.480000000003</v>
      </c>
    </row>
    <row r="218" spans="1:13" ht="15" customHeight="1" x14ac:dyDescent="0.3">
      <c r="A218" s="22">
        <v>211</v>
      </c>
      <c r="B218" s="23" t="s">
        <v>639</v>
      </c>
      <c r="C218" s="23" t="s">
        <v>640</v>
      </c>
      <c r="D218" s="24" t="s">
        <v>359</v>
      </c>
      <c r="E218" s="25">
        <v>9240</v>
      </c>
      <c r="F218" s="25">
        <f t="shared" si="12"/>
        <v>203280</v>
      </c>
      <c r="G218" s="36" t="s">
        <v>43</v>
      </c>
      <c r="H218" s="15">
        <f t="shared" si="13"/>
        <v>2439360</v>
      </c>
      <c r="I218" s="15">
        <f t="shared" si="14"/>
        <v>7318080</v>
      </c>
      <c r="J218" s="15">
        <v>50000</v>
      </c>
      <c r="K218" s="15">
        <v>250000</v>
      </c>
      <c r="L218" s="15">
        <v>50000</v>
      </c>
      <c r="M218" s="15">
        <f t="shared" si="15"/>
        <v>43908.480000000003</v>
      </c>
    </row>
    <row r="219" spans="1:13" ht="15" customHeight="1" x14ac:dyDescent="0.3">
      <c r="A219" s="22">
        <v>212</v>
      </c>
      <c r="B219" s="23" t="s">
        <v>641</v>
      </c>
      <c r="C219" s="23" t="s">
        <v>642</v>
      </c>
      <c r="D219" s="24" t="s">
        <v>346</v>
      </c>
      <c r="E219" s="25">
        <v>10560</v>
      </c>
      <c r="F219" s="25">
        <f t="shared" si="12"/>
        <v>232320</v>
      </c>
      <c r="G219" s="36" t="s">
        <v>43</v>
      </c>
      <c r="H219" s="15">
        <f t="shared" si="13"/>
        <v>2787840</v>
      </c>
      <c r="I219" s="15">
        <f t="shared" si="14"/>
        <v>8363520</v>
      </c>
      <c r="J219" s="15">
        <v>50000</v>
      </c>
      <c r="K219" s="15">
        <v>250000</v>
      </c>
      <c r="L219" s="15">
        <v>50000</v>
      </c>
      <c r="M219" s="15">
        <f t="shared" si="15"/>
        <v>50181.120000000003</v>
      </c>
    </row>
    <row r="220" spans="1:13" ht="15" customHeight="1" x14ac:dyDescent="0.3">
      <c r="A220" s="22">
        <v>213</v>
      </c>
      <c r="B220" s="23" t="s">
        <v>643</v>
      </c>
      <c r="C220" s="23" t="s">
        <v>644</v>
      </c>
      <c r="D220" s="24" t="s">
        <v>346</v>
      </c>
      <c r="E220" s="25">
        <v>10560</v>
      </c>
      <c r="F220" s="25">
        <f t="shared" si="12"/>
        <v>232320</v>
      </c>
      <c r="G220" s="36" t="s">
        <v>43</v>
      </c>
      <c r="H220" s="15">
        <f t="shared" si="13"/>
        <v>2787840</v>
      </c>
      <c r="I220" s="15">
        <f t="shared" si="14"/>
        <v>8363520</v>
      </c>
      <c r="J220" s="15">
        <v>50000</v>
      </c>
      <c r="K220" s="15">
        <v>250000</v>
      </c>
      <c r="L220" s="15">
        <v>50000</v>
      </c>
      <c r="M220" s="15">
        <f t="shared" si="15"/>
        <v>50181.120000000003</v>
      </c>
    </row>
    <row r="221" spans="1:13" ht="15" customHeight="1" x14ac:dyDescent="0.3">
      <c r="A221" s="22">
        <v>214</v>
      </c>
      <c r="B221" s="23" t="s">
        <v>311</v>
      </c>
      <c r="C221" s="23" t="s">
        <v>645</v>
      </c>
      <c r="D221" s="24" t="s">
        <v>359</v>
      </c>
      <c r="E221" s="25">
        <v>10560</v>
      </c>
      <c r="F221" s="25">
        <f t="shared" si="12"/>
        <v>232320</v>
      </c>
      <c r="G221" s="36" t="s">
        <v>43</v>
      </c>
      <c r="H221" s="15">
        <f t="shared" si="13"/>
        <v>2787840</v>
      </c>
      <c r="I221" s="15">
        <f t="shared" si="14"/>
        <v>8363520</v>
      </c>
      <c r="J221" s="15">
        <v>50000</v>
      </c>
      <c r="K221" s="15">
        <v>250000</v>
      </c>
      <c r="L221" s="15">
        <v>50000</v>
      </c>
      <c r="M221" s="15">
        <f t="shared" si="15"/>
        <v>50181.120000000003</v>
      </c>
    </row>
    <row r="222" spans="1:13" ht="15" customHeight="1" x14ac:dyDescent="0.3">
      <c r="A222" s="22">
        <v>215</v>
      </c>
      <c r="B222" s="23" t="s">
        <v>646</v>
      </c>
      <c r="C222" s="23" t="s">
        <v>647</v>
      </c>
      <c r="D222" s="24" t="s">
        <v>648</v>
      </c>
      <c r="E222" s="25">
        <v>7260</v>
      </c>
      <c r="F222" s="25">
        <f t="shared" si="12"/>
        <v>159720</v>
      </c>
      <c r="G222" s="36" t="s">
        <v>43</v>
      </c>
      <c r="H222" s="15">
        <f t="shared" si="13"/>
        <v>1916640</v>
      </c>
      <c r="I222" s="15">
        <f t="shared" si="14"/>
        <v>5749920</v>
      </c>
      <c r="J222" s="15">
        <v>50000</v>
      </c>
      <c r="K222" s="15">
        <v>250000</v>
      </c>
      <c r="L222" s="15">
        <v>50000</v>
      </c>
      <c r="M222" s="15">
        <f t="shared" si="15"/>
        <v>34499.519999999997</v>
      </c>
    </row>
    <row r="223" spans="1:13" ht="15" customHeight="1" x14ac:dyDescent="0.3">
      <c r="A223" s="22">
        <v>216</v>
      </c>
      <c r="B223" s="23" t="s">
        <v>65</v>
      </c>
      <c r="C223" s="23" t="s">
        <v>649</v>
      </c>
      <c r="D223" s="24" t="s">
        <v>359</v>
      </c>
      <c r="E223" s="25">
        <v>9240</v>
      </c>
      <c r="F223" s="25">
        <f t="shared" si="12"/>
        <v>203280</v>
      </c>
      <c r="G223" s="36" t="s">
        <v>43</v>
      </c>
      <c r="H223" s="15">
        <f t="shared" si="13"/>
        <v>2439360</v>
      </c>
      <c r="I223" s="15">
        <f t="shared" si="14"/>
        <v>7318080</v>
      </c>
      <c r="J223" s="15">
        <v>50000</v>
      </c>
      <c r="K223" s="15">
        <v>250000</v>
      </c>
      <c r="L223" s="15">
        <v>50000</v>
      </c>
      <c r="M223" s="15">
        <f t="shared" si="15"/>
        <v>43908.480000000003</v>
      </c>
    </row>
    <row r="224" spans="1:13" ht="15" customHeight="1" x14ac:dyDescent="0.3">
      <c r="A224" s="22">
        <v>217</v>
      </c>
      <c r="B224" s="23" t="s">
        <v>632</v>
      </c>
      <c r="C224" s="23" t="s">
        <v>650</v>
      </c>
      <c r="D224" s="24" t="s">
        <v>484</v>
      </c>
      <c r="E224" s="25">
        <v>5280</v>
      </c>
      <c r="F224" s="25">
        <f t="shared" si="12"/>
        <v>116160</v>
      </c>
      <c r="G224" s="36" t="s">
        <v>43</v>
      </c>
      <c r="H224" s="15">
        <f t="shared" si="13"/>
        <v>1393920</v>
      </c>
      <c r="I224" s="15">
        <f t="shared" si="14"/>
        <v>4181760</v>
      </c>
      <c r="J224" s="15">
        <v>50000</v>
      </c>
      <c r="K224" s="15">
        <v>250000</v>
      </c>
      <c r="L224" s="15">
        <v>50000</v>
      </c>
      <c r="M224" s="15">
        <f t="shared" si="15"/>
        <v>25090.560000000001</v>
      </c>
    </row>
    <row r="225" spans="1:13" ht="15" customHeight="1" x14ac:dyDescent="0.3">
      <c r="A225" s="22">
        <v>218</v>
      </c>
      <c r="B225" s="23" t="s">
        <v>389</v>
      </c>
      <c r="C225" s="23" t="s">
        <v>651</v>
      </c>
      <c r="D225" s="24" t="s">
        <v>388</v>
      </c>
      <c r="E225" s="25">
        <v>5280</v>
      </c>
      <c r="F225" s="25">
        <f t="shared" si="12"/>
        <v>116160</v>
      </c>
      <c r="G225" s="36" t="s">
        <v>43</v>
      </c>
      <c r="H225" s="15">
        <f t="shared" si="13"/>
        <v>1393920</v>
      </c>
      <c r="I225" s="15">
        <f t="shared" si="14"/>
        <v>4181760</v>
      </c>
      <c r="J225" s="15">
        <v>50000</v>
      </c>
      <c r="K225" s="15">
        <v>250000</v>
      </c>
      <c r="L225" s="15">
        <v>50000</v>
      </c>
      <c r="M225" s="15">
        <f t="shared" si="15"/>
        <v>25090.560000000001</v>
      </c>
    </row>
    <row r="226" spans="1:13" ht="15" customHeight="1" x14ac:dyDescent="0.3">
      <c r="A226" s="22">
        <v>219</v>
      </c>
      <c r="B226" s="23" t="s">
        <v>253</v>
      </c>
      <c r="C226" s="23" t="s">
        <v>652</v>
      </c>
      <c r="D226" s="24" t="s">
        <v>388</v>
      </c>
      <c r="E226" s="25">
        <v>5280</v>
      </c>
      <c r="F226" s="25">
        <f t="shared" si="12"/>
        <v>116160</v>
      </c>
      <c r="G226" s="36" t="s">
        <v>43</v>
      </c>
      <c r="H226" s="15">
        <f t="shared" si="13"/>
        <v>1393920</v>
      </c>
      <c r="I226" s="15">
        <f t="shared" si="14"/>
        <v>4181760</v>
      </c>
      <c r="J226" s="15">
        <v>50000</v>
      </c>
      <c r="K226" s="15">
        <v>250000</v>
      </c>
      <c r="L226" s="15">
        <v>50000</v>
      </c>
      <c r="M226" s="15">
        <f t="shared" si="15"/>
        <v>25090.560000000001</v>
      </c>
    </row>
    <row r="227" spans="1:13" ht="15" customHeight="1" x14ac:dyDescent="0.3">
      <c r="A227" s="22">
        <v>220</v>
      </c>
      <c r="B227" s="23" t="s">
        <v>653</v>
      </c>
      <c r="C227" s="23" t="s">
        <v>654</v>
      </c>
      <c r="D227" s="24" t="s">
        <v>359</v>
      </c>
      <c r="E227" s="25">
        <v>9240</v>
      </c>
      <c r="F227" s="25">
        <f t="shared" si="12"/>
        <v>203280</v>
      </c>
      <c r="G227" s="36" t="s">
        <v>43</v>
      </c>
      <c r="H227" s="15">
        <f t="shared" si="13"/>
        <v>2439360</v>
      </c>
      <c r="I227" s="15">
        <f t="shared" si="14"/>
        <v>7318080</v>
      </c>
      <c r="J227" s="15">
        <v>50000</v>
      </c>
      <c r="K227" s="15">
        <v>250000</v>
      </c>
      <c r="L227" s="15">
        <v>50000</v>
      </c>
      <c r="M227" s="15">
        <f t="shared" si="15"/>
        <v>43908.480000000003</v>
      </c>
    </row>
    <row r="228" spans="1:13" ht="15" customHeight="1" x14ac:dyDescent="0.3">
      <c r="A228" s="22">
        <v>221</v>
      </c>
      <c r="B228" s="23" t="s">
        <v>407</v>
      </c>
      <c r="C228" s="23" t="s">
        <v>655</v>
      </c>
      <c r="D228" s="24" t="s">
        <v>329</v>
      </c>
      <c r="E228" s="25">
        <v>7260</v>
      </c>
      <c r="F228" s="25">
        <f t="shared" si="12"/>
        <v>159720</v>
      </c>
      <c r="G228" s="36" t="s">
        <v>43</v>
      </c>
      <c r="H228" s="15">
        <f t="shared" si="13"/>
        <v>1916640</v>
      </c>
      <c r="I228" s="15">
        <f t="shared" si="14"/>
        <v>5749920</v>
      </c>
      <c r="J228" s="15">
        <v>50000</v>
      </c>
      <c r="K228" s="15">
        <v>250000</v>
      </c>
      <c r="L228" s="15">
        <v>50000</v>
      </c>
      <c r="M228" s="15">
        <f t="shared" si="15"/>
        <v>34499.519999999997</v>
      </c>
    </row>
    <row r="229" spans="1:13" ht="15" customHeight="1" x14ac:dyDescent="0.3">
      <c r="A229" s="22">
        <v>222</v>
      </c>
      <c r="B229" s="23" t="s">
        <v>656</v>
      </c>
      <c r="C229" s="23" t="s">
        <v>657</v>
      </c>
      <c r="D229" s="24" t="s">
        <v>332</v>
      </c>
      <c r="E229" s="25">
        <v>9240</v>
      </c>
      <c r="F229" s="25">
        <f t="shared" si="12"/>
        <v>203280</v>
      </c>
      <c r="G229" s="36" t="s">
        <v>43</v>
      </c>
      <c r="H229" s="15">
        <f t="shared" si="13"/>
        <v>2439360</v>
      </c>
      <c r="I229" s="15">
        <f t="shared" si="14"/>
        <v>7318080</v>
      </c>
      <c r="J229" s="15">
        <v>50000</v>
      </c>
      <c r="K229" s="15">
        <v>250000</v>
      </c>
      <c r="L229" s="15">
        <v>50000</v>
      </c>
      <c r="M229" s="15">
        <f t="shared" si="15"/>
        <v>43908.480000000003</v>
      </c>
    </row>
    <row r="230" spans="1:13" ht="15" customHeight="1" x14ac:dyDescent="0.3">
      <c r="A230" s="22">
        <v>223</v>
      </c>
      <c r="B230" s="23" t="s">
        <v>184</v>
      </c>
      <c r="C230" s="23" t="s">
        <v>183</v>
      </c>
      <c r="D230" s="24" t="s">
        <v>329</v>
      </c>
      <c r="E230" s="25">
        <v>7260</v>
      </c>
      <c r="F230" s="25">
        <f t="shared" si="12"/>
        <v>159720</v>
      </c>
      <c r="G230" s="36" t="s">
        <v>43</v>
      </c>
      <c r="H230" s="15">
        <f t="shared" si="13"/>
        <v>1916640</v>
      </c>
      <c r="I230" s="15">
        <f t="shared" si="14"/>
        <v>5749920</v>
      </c>
      <c r="J230" s="15">
        <v>50000</v>
      </c>
      <c r="K230" s="15">
        <v>250000</v>
      </c>
      <c r="L230" s="15">
        <v>50000</v>
      </c>
      <c r="M230" s="15">
        <f t="shared" si="15"/>
        <v>34499.519999999997</v>
      </c>
    </row>
    <row r="231" spans="1:13" ht="15" customHeight="1" x14ac:dyDescent="0.3">
      <c r="A231" s="22">
        <v>224</v>
      </c>
      <c r="B231" s="23" t="s">
        <v>379</v>
      </c>
      <c r="C231" s="23" t="s">
        <v>36</v>
      </c>
      <c r="D231" s="24" t="s">
        <v>302</v>
      </c>
      <c r="E231" s="25">
        <v>10560</v>
      </c>
      <c r="F231" s="25">
        <f t="shared" si="12"/>
        <v>232320</v>
      </c>
      <c r="G231" s="36" t="s">
        <v>43</v>
      </c>
      <c r="H231" s="15">
        <f t="shared" si="13"/>
        <v>2787840</v>
      </c>
      <c r="I231" s="15">
        <f t="shared" si="14"/>
        <v>8363520</v>
      </c>
      <c r="J231" s="15">
        <v>50000</v>
      </c>
      <c r="K231" s="15">
        <v>250000</v>
      </c>
      <c r="L231" s="15">
        <v>50000</v>
      </c>
      <c r="M231" s="15">
        <f t="shared" si="15"/>
        <v>50181.120000000003</v>
      </c>
    </row>
    <row r="232" spans="1:13" ht="15" customHeight="1" x14ac:dyDescent="0.3">
      <c r="A232" s="22">
        <v>225</v>
      </c>
      <c r="B232" s="23" t="s">
        <v>656</v>
      </c>
      <c r="C232" s="23" t="s">
        <v>65</v>
      </c>
      <c r="D232" s="24" t="s">
        <v>359</v>
      </c>
      <c r="E232" s="25">
        <v>9240</v>
      </c>
      <c r="F232" s="25">
        <f t="shared" si="12"/>
        <v>203280</v>
      </c>
      <c r="G232" s="36" t="s">
        <v>43</v>
      </c>
      <c r="H232" s="15">
        <f t="shared" si="13"/>
        <v>2439360</v>
      </c>
      <c r="I232" s="15">
        <f t="shared" si="14"/>
        <v>7318080</v>
      </c>
      <c r="J232" s="15">
        <v>50000</v>
      </c>
      <c r="K232" s="15">
        <v>250000</v>
      </c>
      <c r="L232" s="15">
        <v>50000</v>
      </c>
      <c r="M232" s="15">
        <f t="shared" si="15"/>
        <v>43908.480000000003</v>
      </c>
    </row>
    <row r="233" spans="1:13" ht="15" customHeight="1" x14ac:dyDescent="0.3">
      <c r="A233" s="22">
        <v>226</v>
      </c>
      <c r="B233" s="23" t="s">
        <v>658</v>
      </c>
      <c r="C233" s="23" t="s">
        <v>592</v>
      </c>
      <c r="D233" s="24" t="s">
        <v>424</v>
      </c>
      <c r="E233" s="25">
        <v>6600</v>
      </c>
      <c r="F233" s="25">
        <f t="shared" si="12"/>
        <v>145200</v>
      </c>
      <c r="G233" s="36" t="s">
        <v>43</v>
      </c>
      <c r="H233" s="15">
        <f t="shared" si="13"/>
        <v>1742400</v>
      </c>
      <c r="I233" s="15">
        <f t="shared" si="14"/>
        <v>5227200</v>
      </c>
      <c r="J233" s="15">
        <v>50000</v>
      </c>
      <c r="K233" s="15">
        <v>250000</v>
      </c>
      <c r="L233" s="15">
        <v>50000</v>
      </c>
      <c r="M233" s="15">
        <f t="shared" si="15"/>
        <v>31363.200000000001</v>
      </c>
    </row>
    <row r="234" spans="1:13" ht="15" customHeight="1" x14ac:dyDescent="0.3">
      <c r="A234" s="22">
        <v>227</v>
      </c>
      <c r="B234" s="23" t="s">
        <v>659</v>
      </c>
      <c r="C234" s="23" t="s">
        <v>660</v>
      </c>
      <c r="D234" s="24" t="s">
        <v>424</v>
      </c>
      <c r="E234" s="25">
        <v>6600</v>
      </c>
      <c r="F234" s="25">
        <f t="shared" si="12"/>
        <v>145200</v>
      </c>
      <c r="G234" s="36" t="s">
        <v>43</v>
      </c>
      <c r="H234" s="15">
        <f t="shared" si="13"/>
        <v>1742400</v>
      </c>
      <c r="I234" s="15">
        <f t="shared" si="14"/>
        <v>5227200</v>
      </c>
      <c r="J234" s="15">
        <v>50000</v>
      </c>
      <c r="K234" s="15">
        <v>250000</v>
      </c>
      <c r="L234" s="15">
        <v>50000</v>
      </c>
      <c r="M234" s="15">
        <f t="shared" si="15"/>
        <v>31363.200000000001</v>
      </c>
    </row>
    <row r="235" spans="1:13" ht="15" customHeight="1" x14ac:dyDescent="0.3">
      <c r="A235" s="22">
        <v>228</v>
      </c>
      <c r="B235" s="23" t="s">
        <v>661</v>
      </c>
      <c r="C235" s="23" t="s">
        <v>662</v>
      </c>
      <c r="D235" s="24" t="s">
        <v>302</v>
      </c>
      <c r="E235" s="25">
        <v>10560</v>
      </c>
      <c r="F235" s="25">
        <f t="shared" si="12"/>
        <v>232320</v>
      </c>
      <c r="G235" s="36" t="s">
        <v>43</v>
      </c>
      <c r="H235" s="15">
        <f t="shared" si="13"/>
        <v>2787840</v>
      </c>
      <c r="I235" s="15">
        <f t="shared" si="14"/>
        <v>8363520</v>
      </c>
      <c r="J235" s="15">
        <v>50000</v>
      </c>
      <c r="K235" s="15">
        <v>250000</v>
      </c>
      <c r="L235" s="15">
        <v>50000</v>
      </c>
      <c r="M235" s="15">
        <f t="shared" si="15"/>
        <v>50181.120000000003</v>
      </c>
    </row>
    <row r="236" spans="1:13" ht="15" customHeight="1" x14ac:dyDescent="0.3">
      <c r="A236" s="22">
        <v>229</v>
      </c>
      <c r="B236" s="23" t="s">
        <v>447</v>
      </c>
      <c r="C236" s="23" t="s">
        <v>663</v>
      </c>
      <c r="D236" s="24" t="s">
        <v>388</v>
      </c>
      <c r="E236" s="25">
        <v>5280</v>
      </c>
      <c r="F236" s="25">
        <f t="shared" si="12"/>
        <v>116160</v>
      </c>
      <c r="G236" s="36" t="s">
        <v>664</v>
      </c>
      <c r="H236" s="15">
        <f t="shared" si="13"/>
        <v>1393920</v>
      </c>
      <c r="I236" s="15">
        <f t="shared" si="14"/>
        <v>4181760</v>
      </c>
      <c r="J236" s="15">
        <v>50000</v>
      </c>
      <c r="K236" s="15">
        <v>250000</v>
      </c>
      <c r="L236" s="15">
        <v>50000</v>
      </c>
      <c r="M236" s="15">
        <f t="shared" si="15"/>
        <v>25090.560000000001</v>
      </c>
    </row>
    <row r="237" spans="1:13" ht="15" customHeight="1" x14ac:dyDescent="0.3">
      <c r="A237" s="22">
        <v>230</v>
      </c>
      <c r="B237" s="23" t="s">
        <v>379</v>
      </c>
      <c r="C237" s="23" t="s">
        <v>665</v>
      </c>
      <c r="D237" s="24" t="s">
        <v>359</v>
      </c>
      <c r="E237" s="25">
        <v>9240</v>
      </c>
      <c r="F237" s="25">
        <f t="shared" si="12"/>
        <v>203280</v>
      </c>
      <c r="G237" s="36" t="s">
        <v>664</v>
      </c>
      <c r="H237" s="15">
        <f t="shared" si="13"/>
        <v>2439360</v>
      </c>
      <c r="I237" s="15">
        <f t="shared" si="14"/>
        <v>7318080</v>
      </c>
      <c r="J237" s="15">
        <v>50000</v>
      </c>
      <c r="K237" s="15">
        <v>250000</v>
      </c>
      <c r="L237" s="15">
        <v>50000</v>
      </c>
      <c r="M237" s="15">
        <f t="shared" si="15"/>
        <v>43908.480000000003</v>
      </c>
    </row>
    <row r="238" spans="1:13" ht="15" customHeight="1" x14ac:dyDescent="0.3">
      <c r="A238" s="22">
        <v>231</v>
      </c>
      <c r="B238" s="23" t="s">
        <v>666</v>
      </c>
      <c r="C238" s="23" t="s">
        <v>667</v>
      </c>
      <c r="D238" s="24" t="s">
        <v>359</v>
      </c>
      <c r="E238" s="25">
        <v>9240</v>
      </c>
      <c r="F238" s="25">
        <f t="shared" si="12"/>
        <v>203280</v>
      </c>
      <c r="G238" s="36" t="s">
        <v>664</v>
      </c>
      <c r="H238" s="15">
        <f t="shared" si="13"/>
        <v>2439360</v>
      </c>
      <c r="I238" s="15">
        <f t="shared" si="14"/>
        <v>7318080</v>
      </c>
      <c r="J238" s="15">
        <v>50000</v>
      </c>
      <c r="K238" s="15">
        <v>250000</v>
      </c>
      <c r="L238" s="15">
        <v>50000</v>
      </c>
      <c r="M238" s="15">
        <f t="shared" si="15"/>
        <v>43908.480000000003</v>
      </c>
    </row>
    <row r="239" spans="1:13" ht="15" customHeight="1" x14ac:dyDescent="0.3">
      <c r="A239" s="22">
        <v>232</v>
      </c>
      <c r="B239" s="23" t="s">
        <v>668</v>
      </c>
      <c r="C239" s="23" t="s">
        <v>149</v>
      </c>
      <c r="D239" s="24" t="s">
        <v>335</v>
      </c>
      <c r="E239" s="25">
        <v>6600</v>
      </c>
      <c r="F239" s="25">
        <f t="shared" si="12"/>
        <v>145200</v>
      </c>
      <c r="G239" s="36" t="s">
        <v>664</v>
      </c>
      <c r="H239" s="15">
        <f t="shared" si="13"/>
        <v>1742400</v>
      </c>
      <c r="I239" s="15">
        <f t="shared" si="14"/>
        <v>5227200</v>
      </c>
      <c r="J239" s="15">
        <v>50000</v>
      </c>
      <c r="K239" s="15">
        <v>250000</v>
      </c>
      <c r="L239" s="15">
        <v>50000</v>
      </c>
      <c r="M239" s="15">
        <f t="shared" si="15"/>
        <v>31363.200000000001</v>
      </c>
    </row>
    <row r="240" spans="1:13" ht="15" customHeight="1" x14ac:dyDescent="0.3">
      <c r="A240" s="22">
        <v>233</v>
      </c>
      <c r="B240" s="23" t="s">
        <v>597</v>
      </c>
      <c r="C240" s="23" t="s">
        <v>311</v>
      </c>
      <c r="D240" s="24" t="s">
        <v>346</v>
      </c>
      <c r="E240" s="25">
        <v>16800</v>
      </c>
      <c r="F240" s="25">
        <f t="shared" si="12"/>
        <v>369600</v>
      </c>
      <c r="G240" s="36" t="s">
        <v>664</v>
      </c>
      <c r="H240" s="15">
        <f t="shared" si="13"/>
        <v>4435200</v>
      </c>
      <c r="I240" s="15">
        <f t="shared" si="14"/>
        <v>13305600</v>
      </c>
      <c r="J240" s="15">
        <v>50000</v>
      </c>
      <c r="K240" s="15">
        <v>250000</v>
      </c>
      <c r="L240" s="15">
        <v>50000</v>
      </c>
      <c r="M240" s="15">
        <f t="shared" si="15"/>
        <v>79833.600000000006</v>
      </c>
    </row>
    <row r="241" spans="1:13" ht="15" customHeight="1" x14ac:dyDescent="0.3">
      <c r="A241" s="22">
        <v>234</v>
      </c>
      <c r="B241" s="23" t="s">
        <v>493</v>
      </c>
      <c r="C241" s="23" t="s">
        <v>669</v>
      </c>
      <c r="D241" s="24" t="s">
        <v>484</v>
      </c>
      <c r="E241" s="25">
        <v>5280</v>
      </c>
      <c r="F241" s="25">
        <f t="shared" si="12"/>
        <v>116160</v>
      </c>
      <c r="G241" s="36" t="s">
        <v>664</v>
      </c>
      <c r="H241" s="15">
        <f t="shared" si="13"/>
        <v>1393920</v>
      </c>
      <c r="I241" s="15">
        <f t="shared" si="14"/>
        <v>4181760</v>
      </c>
      <c r="J241" s="15">
        <v>50000</v>
      </c>
      <c r="K241" s="15">
        <v>250000</v>
      </c>
      <c r="L241" s="15">
        <v>50000</v>
      </c>
      <c r="M241" s="15">
        <f t="shared" si="15"/>
        <v>25090.560000000001</v>
      </c>
    </row>
    <row r="242" spans="1:13" ht="15" customHeight="1" x14ac:dyDescent="0.3">
      <c r="A242" s="22">
        <v>235</v>
      </c>
      <c r="B242" s="23" t="s">
        <v>311</v>
      </c>
      <c r="C242" s="23" t="s">
        <v>670</v>
      </c>
      <c r="D242" s="24" t="s">
        <v>354</v>
      </c>
      <c r="E242" s="25">
        <v>6600</v>
      </c>
      <c r="F242" s="25">
        <f t="shared" si="12"/>
        <v>145200</v>
      </c>
      <c r="G242" s="36" t="s">
        <v>664</v>
      </c>
      <c r="H242" s="15">
        <f t="shared" si="13"/>
        <v>1742400</v>
      </c>
      <c r="I242" s="15">
        <f t="shared" si="14"/>
        <v>5227200</v>
      </c>
      <c r="J242" s="15">
        <v>50000</v>
      </c>
      <c r="K242" s="15">
        <v>250000</v>
      </c>
      <c r="L242" s="15">
        <v>50000</v>
      </c>
      <c r="M242" s="15">
        <f t="shared" si="15"/>
        <v>31363.200000000001</v>
      </c>
    </row>
    <row r="243" spans="1:13" ht="15" customHeight="1" x14ac:dyDescent="0.3">
      <c r="A243" s="22">
        <v>236</v>
      </c>
      <c r="B243" s="23" t="s">
        <v>671</v>
      </c>
      <c r="C243" s="23" t="s">
        <v>670</v>
      </c>
      <c r="D243" s="24" t="s">
        <v>484</v>
      </c>
      <c r="E243" s="25">
        <v>5280</v>
      </c>
      <c r="F243" s="25">
        <f t="shared" si="12"/>
        <v>116160</v>
      </c>
      <c r="G243" s="36" t="s">
        <v>664</v>
      </c>
      <c r="H243" s="15">
        <f t="shared" si="13"/>
        <v>1393920</v>
      </c>
      <c r="I243" s="15">
        <f t="shared" si="14"/>
        <v>4181760</v>
      </c>
      <c r="J243" s="15">
        <v>50000</v>
      </c>
      <c r="K243" s="15">
        <v>250000</v>
      </c>
      <c r="L243" s="15">
        <v>50000</v>
      </c>
      <c r="M243" s="15">
        <f t="shared" si="15"/>
        <v>25090.560000000001</v>
      </c>
    </row>
    <row r="244" spans="1:13" ht="15" customHeight="1" x14ac:dyDescent="0.3">
      <c r="A244" s="22">
        <v>237</v>
      </c>
      <c r="B244" s="23" t="s">
        <v>672</v>
      </c>
      <c r="C244" s="23" t="s">
        <v>673</v>
      </c>
      <c r="D244" s="24" t="s">
        <v>302</v>
      </c>
      <c r="E244" s="25">
        <v>10560</v>
      </c>
      <c r="F244" s="25">
        <f t="shared" si="12"/>
        <v>232320</v>
      </c>
      <c r="G244" s="36" t="s">
        <v>664</v>
      </c>
      <c r="H244" s="15">
        <f t="shared" si="13"/>
        <v>2787840</v>
      </c>
      <c r="I244" s="15">
        <f t="shared" si="14"/>
        <v>8363520</v>
      </c>
      <c r="J244" s="15">
        <v>50000</v>
      </c>
      <c r="K244" s="15">
        <v>250000</v>
      </c>
      <c r="L244" s="15">
        <v>50000</v>
      </c>
      <c r="M244" s="15">
        <f t="shared" si="15"/>
        <v>50181.120000000003</v>
      </c>
    </row>
    <row r="245" spans="1:13" ht="15" customHeight="1" x14ac:dyDescent="0.3">
      <c r="A245" s="22">
        <v>238</v>
      </c>
      <c r="B245" s="23" t="s">
        <v>674</v>
      </c>
      <c r="C245" s="23" t="s">
        <v>675</v>
      </c>
      <c r="D245" s="24" t="s">
        <v>388</v>
      </c>
      <c r="E245" s="25">
        <v>5280</v>
      </c>
      <c r="F245" s="25">
        <f t="shared" si="12"/>
        <v>116160</v>
      </c>
      <c r="G245" s="36" t="s">
        <v>664</v>
      </c>
      <c r="H245" s="15">
        <f t="shared" si="13"/>
        <v>1393920</v>
      </c>
      <c r="I245" s="15">
        <f t="shared" si="14"/>
        <v>4181760</v>
      </c>
      <c r="J245" s="15">
        <v>50000</v>
      </c>
      <c r="K245" s="15">
        <v>250000</v>
      </c>
      <c r="L245" s="15">
        <v>50000</v>
      </c>
      <c r="M245" s="15">
        <f t="shared" si="15"/>
        <v>25090.560000000001</v>
      </c>
    </row>
    <row r="246" spans="1:13" ht="15" customHeight="1" x14ac:dyDescent="0.3">
      <c r="A246" s="22">
        <v>239</v>
      </c>
      <c r="B246" s="23" t="s">
        <v>676</v>
      </c>
      <c r="C246" s="23" t="s">
        <v>677</v>
      </c>
      <c r="D246" s="24" t="s">
        <v>495</v>
      </c>
      <c r="E246" s="25">
        <v>6000</v>
      </c>
      <c r="F246" s="25">
        <f t="shared" si="12"/>
        <v>132000</v>
      </c>
      <c r="G246" s="36" t="s">
        <v>664</v>
      </c>
      <c r="H246" s="15">
        <f t="shared" si="13"/>
        <v>1584000</v>
      </c>
      <c r="I246" s="15">
        <f t="shared" si="14"/>
        <v>4752000</v>
      </c>
      <c r="J246" s="15">
        <v>50000</v>
      </c>
      <c r="K246" s="15">
        <v>250000</v>
      </c>
      <c r="L246" s="15">
        <v>50000</v>
      </c>
      <c r="M246" s="15">
        <f t="shared" si="15"/>
        <v>28512</v>
      </c>
    </row>
    <row r="247" spans="1:13" ht="15" customHeight="1" x14ac:dyDescent="0.3">
      <c r="A247" s="22">
        <v>240</v>
      </c>
      <c r="B247" s="23" t="s">
        <v>678</v>
      </c>
      <c r="C247" s="23" t="s">
        <v>679</v>
      </c>
      <c r="D247" s="24" t="s">
        <v>388</v>
      </c>
      <c r="E247" s="25">
        <v>5280</v>
      </c>
      <c r="F247" s="25">
        <f t="shared" si="12"/>
        <v>116160</v>
      </c>
      <c r="G247" s="36" t="s">
        <v>664</v>
      </c>
      <c r="H247" s="15">
        <f t="shared" si="13"/>
        <v>1393920</v>
      </c>
      <c r="I247" s="15">
        <f t="shared" si="14"/>
        <v>4181760</v>
      </c>
      <c r="J247" s="15">
        <v>50000</v>
      </c>
      <c r="K247" s="15">
        <v>250000</v>
      </c>
      <c r="L247" s="15">
        <v>50000</v>
      </c>
      <c r="M247" s="15">
        <f t="shared" si="15"/>
        <v>25090.560000000001</v>
      </c>
    </row>
    <row r="248" spans="1:13" ht="15" customHeight="1" x14ac:dyDescent="0.3">
      <c r="A248" s="22">
        <v>241</v>
      </c>
      <c r="B248" s="23" t="s">
        <v>574</v>
      </c>
      <c r="C248" s="23" t="s">
        <v>680</v>
      </c>
      <c r="D248" s="24" t="s">
        <v>388</v>
      </c>
      <c r="E248" s="25">
        <v>5280</v>
      </c>
      <c r="F248" s="25">
        <f t="shared" si="12"/>
        <v>116160</v>
      </c>
      <c r="G248" s="36" t="s">
        <v>664</v>
      </c>
      <c r="H248" s="15">
        <f t="shared" si="13"/>
        <v>1393920</v>
      </c>
      <c r="I248" s="15">
        <f t="shared" si="14"/>
        <v>4181760</v>
      </c>
      <c r="J248" s="15">
        <v>50000</v>
      </c>
      <c r="K248" s="15">
        <v>250000</v>
      </c>
      <c r="L248" s="15">
        <v>50000</v>
      </c>
      <c r="M248" s="15">
        <f t="shared" si="15"/>
        <v>25090.560000000001</v>
      </c>
    </row>
    <row r="249" spans="1:13" ht="15" customHeight="1" x14ac:dyDescent="0.3">
      <c r="A249" s="22">
        <v>242</v>
      </c>
      <c r="B249" s="23" t="s">
        <v>386</v>
      </c>
      <c r="C249" s="23" t="s">
        <v>681</v>
      </c>
      <c r="D249" s="24" t="s">
        <v>316</v>
      </c>
      <c r="E249" s="25">
        <v>11880</v>
      </c>
      <c r="F249" s="25">
        <f t="shared" si="12"/>
        <v>261360</v>
      </c>
      <c r="G249" s="36" t="s">
        <v>664</v>
      </c>
      <c r="H249" s="15">
        <f t="shared" si="13"/>
        <v>3136320</v>
      </c>
      <c r="I249" s="15">
        <f t="shared" si="14"/>
        <v>9408960</v>
      </c>
      <c r="J249" s="15">
        <v>50000</v>
      </c>
      <c r="K249" s="15">
        <v>250000</v>
      </c>
      <c r="L249" s="15">
        <v>50000</v>
      </c>
      <c r="M249" s="15">
        <f t="shared" si="15"/>
        <v>56453.760000000002</v>
      </c>
    </row>
    <row r="250" spans="1:13" ht="15" customHeight="1" x14ac:dyDescent="0.3">
      <c r="A250" s="22">
        <v>243</v>
      </c>
      <c r="B250" s="23" t="s">
        <v>682</v>
      </c>
      <c r="C250" s="23" t="s">
        <v>683</v>
      </c>
      <c r="D250" s="24" t="s">
        <v>359</v>
      </c>
      <c r="E250" s="25">
        <v>9240</v>
      </c>
      <c r="F250" s="25">
        <f t="shared" si="12"/>
        <v>203280</v>
      </c>
      <c r="G250" s="36" t="s">
        <v>664</v>
      </c>
      <c r="H250" s="15">
        <f t="shared" si="13"/>
        <v>2439360</v>
      </c>
      <c r="I250" s="15">
        <f t="shared" si="14"/>
        <v>7318080</v>
      </c>
      <c r="J250" s="15">
        <v>50000</v>
      </c>
      <c r="K250" s="15">
        <v>250000</v>
      </c>
      <c r="L250" s="15">
        <v>50000</v>
      </c>
      <c r="M250" s="15">
        <f t="shared" si="15"/>
        <v>43908.480000000003</v>
      </c>
    </row>
    <row r="251" spans="1:13" ht="15" customHeight="1" x14ac:dyDescent="0.3">
      <c r="A251" s="22">
        <v>244</v>
      </c>
      <c r="B251" s="23" t="s">
        <v>684</v>
      </c>
      <c r="C251" s="23" t="s">
        <v>685</v>
      </c>
      <c r="D251" s="24" t="s">
        <v>359</v>
      </c>
      <c r="E251" s="25">
        <v>9240</v>
      </c>
      <c r="F251" s="25">
        <f t="shared" si="12"/>
        <v>203280</v>
      </c>
      <c r="G251" s="36" t="s">
        <v>664</v>
      </c>
      <c r="H251" s="15">
        <f t="shared" si="13"/>
        <v>2439360</v>
      </c>
      <c r="I251" s="15">
        <f t="shared" si="14"/>
        <v>7318080</v>
      </c>
      <c r="J251" s="15">
        <v>50000</v>
      </c>
      <c r="K251" s="15">
        <v>250000</v>
      </c>
      <c r="L251" s="15">
        <v>50000</v>
      </c>
      <c r="M251" s="15">
        <f t="shared" si="15"/>
        <v>43908.480000000003</v>
      </c>
    </row>
    <row r="252" spans="1:13" ht="15" customHeight="1" x14ac:dyDescent="0.3">
      <c r="A252" s="22">
        <v>245</v>
      </c>
      <c r="B252" s="23" t="s">
        <v>149</v>
      </c>
      <c r="C252" s="23" t="s">
        <v>686</v>
      </c>
      <c r="D252" s="24" t="s">
        <v>359</v>
      </c>
      <c r="E252" s="25">
        <v>9240</v>
      </c>
      <c r="F252" s="25">
        <f t="shared" si="12"/>
        <v>203280</v>
      </c>
      <c r="G252" s="36" t="s">
        <v>664</v>
      </c>
      <c r="H252" s="15">
        <f t="shared" si="13"/>
        <v>2439360</v>
      </c>
      <c r="I252" s="15">
        <f t="shared" si="14"/>
        <v>7318080</v>
      </c>
      <c r="J252" s="15">
        <v>50000</v>
      </c>
      <c r="K252" s="15">
        <v>250000</v>
      </c>
      <c r="L252" s="15">
        <v>50000</v>
      </c>
      <c r="M252" s="15">
        <f t="shared" si="15"/>
        <v>43908.480000000003</v>
      </c>
    </row>
    <row r="253" spans="1:13" ht="15" customHeight="1" x14ac:dyDescent="0.3">
      <c r="A253" s="22">
        <v>246</v>
      </c>
      <c r="B253" s="23" t="s">
        <v>140</v>
      </c>
      <c r="C253" s="23" t="s">
        <v>687</v>
      </c>
      <c r="D253" s="24" t="s">
        <v>424</v>
      </c>
      <c r="E253" s="25">
        <v>6600</v>
      </c>
      <c r="F253" s="25">
        <f t="shared" si="12"/>
        <v>145200</v>
      </c>
      <c r="G253" s="36" t="s">
        <v>664</v>
      </c>
      <c r="H253" s="15">
        <f t="shared" si="13"/>
        <v>1742400</v>
      </c>
      <c r="I253" s="15">
        <f t="shared" si="14"/>
        <v>5227200</v>
      </c>
      <c r="J253" s="15">
        <v>50000</v>
      </c>
      <c r="K253" s="15">
        <v>250000</v>
      </c>
      <c r="L253" s="15">
        <v>50000</v>
      </c>
      <c r="M253" s="15">
        <f t="shared" si="15"/>
        <v>31363.200000000001</v>
      </c>
    </row>
    <row r="254" spans="1:13" ht="15" customHeight="1" x14ac:dyDescent="0.3">
      <c r="A254" s="22">
        <v>247</v>
      </c>
      <c r="B254" s="23" t="s">
        <v>688</v>
      </c>
      <c r="C254" s="23" t="s">
        <v>381</v>
      </c>
      <c r="D254" s="24" t="s">
        <v>484</v>
      </c>
      <c r="E254" s="25">
        <v>5280</v>
      </c>
      <c r="F254" s="25">
        <f t="shared" si="12"/>
        <v>116160</v>
      </c>
      <c r="G254" s="36" t="s">
        <v>664</v>
      </c>
      <c r="H254" s="15">
        <f t="shared" si="13"/>
        <v>1393920</v>
      </c>
      <c r="I254" s="15">
        <f t="shared" si="14"/>
        <v>4181760</v>
      </c>
      <c r="J254" s="15">
        <v>50000</v>
      </c>
      <c r="K254" s="15">
        <v>250000</v>
      </c>
      <c r="L254" s="15">
        <v>50000</v>
      </c>
      <c r="M254" s="15">
        <f t="shared" si="15"/>
        <v>25090.560000000001</v>
      </c>
    </row>
    <row r="255" spans="1:13" ht="15" customHeight="1" x14ac:dyDescent="0.3">
      <c r="A255" s="22">
        <v>248</v>
      </c>
      <c r="B255" s="23" t="s">
        <v>554</v>
      </c>
      <c r="C255" s="23" t="s">
        <v>689</v>
      </c>
      <c r="D255" s="24" t="s">
        <v>484</v>
      </c>
      <c r="E255" s="25">
        <v>5280</v>
      </c>
      <c r="F255" s="25">
        <f t="shared" si="12"/>
        <v>116160</v>
      </c>
      <c r="G255" s="36" t="s">
        <v>664</v>
      </c>
      <c r="H255" s="15">
        <f t="shared" si="13"/>
        <v>1393920</v>
      </c>
      <c r="I255" s="15">
        <f t="shared" si="14"/>
        <v>4181760</v>
      </c>
      <c r="J255" s="15">
        <v>50000</v>
      </c>
      <c r="K255" s="15">
        <v>250000</v>
      </c>
      <c r="L255" s="15">
        <v>50000</v>
      </c>
      <c r="M255" s="15">
        <f t="shared" si="15"/>
        <v>25090.560000000001</v>
      </c>
    </row>
    <row r="256" spans="1:13" ht="15" customHeight="1" x14ac:dyDescent="0.3">
      <c r="A256" s="22">
        <v>249</v>
      </c>
      <c r="B256" s="23" t="s">
        <v>690</v>
      </c>
      <c r="C256" s="23" t="s">
        <v>522</v>
      </c>
      <c r="D256" s="24" t="s">
        <v>310</v>
      </c>
      <c r="E256" s="25">
        <v>6600</v>
      </c>
      <c r="F256" s="25">
        <f t="shared" si="12"/>
        <v>145200</v>
      </c>
      <c r="G256" s="36" t="s">
        <v>664</v>
      </c>
      <c r="H256" s="15">
        <f t="shared" si="13"/>
        <v>1742400</v>
      </c>
      <c r="I256" s="15">
        <f t="shared" si="14"/>
        <v>5227200</v>
      </c>
      <c r="J256" s="15">
        <v>50000</v>
      </c>
      <c r="K256" s="15">
        <v>250000</v>
      </c>
      <c r="L256" s="15">
        <v>50000</v>
      </c>
      <c r="M256" s="15">
        <f t="shared" si="15"/>
        <v>31363.200000000001</v>
      </c>
    </row>
    <row r="257" spans="1:13" ht="15" customHeight="1" x14ac:dyDescent="0.3">
      <c r="A257" s="22">
        <v>250</v>
      </c>
      <c r="B257" s="23" t="s">
        <v>691</v>
      </c>
      <c r="C257" s="23" t="s">
        <v>692</v>
      </c>
      <c r="D257" s="24" t="s">
        <v>359</v>
      </c>
      <c r="E257" s="25">
        <v>9240</v>
      </c>
      <c r="F257" s="25">
        <f t="shared" si="12"/>
        <v>203280</v>
      </c>
      <c r="G257" s="36" t="s">
        <v>664</v>
      </c>
      <c r="H257" s="15">
        <f t="shared" si="13"/>
        <v>2439360</v>
      </c>
      <c r="I257" s="15">
        <f t="shared" si="14"/>
        <v>7318080</v>
      </c>
      <c r="J257" s="15">
        <v>50000</v>
      </c>
      <c r="K257" s="15">
        <v>250000</v>
      </c>
      <c r="L257" s="15">
        <v>50000</v>
      </c>
      <c r="M257" s="15">
        <f t="shared" si="15"/>
        <v>43908.480000000003</v>
      </c>
    </row>
    <row r="258" spans="1:13" ht="15" customHeight="1" x14ac:dyDescent="0.3">
      <c r="A258" s="22">
        <v>251</v>
      </c>
      <c r="B258" s="23" t="s">
        <v>673</v>
      </c>
      <c r="C258" s="23" t="s">
        <v>693</v>
      </c>
      <c r="D258" s="24" t="s">
        <v>359</v>
      </c>
      <c r="E258" s="25">
        <v>9240</v>
      </c>
      <c r="F258" s="25">
        <f t="shared" si="12"/>
        <v>203280</v>
      </c>
      <c r="G258" s="36" t="s">
        <v>664</v>
      </c>
      <c r="H258" s="15">
        <f t="shared" si="13"/>
        <v>2439360</v>
      </c>
      <c r="I258" s="15">
        <f t="shared" si="14"/>
        <v>7318080</v>
      </c>
      <c r="J258" s="15">
        <v>50000</v>
      </c>
      <c r="K258" s="15">
        <v>250000</v>
      </c>
      <c r="L258" s="15">
        <v>50000</v>
      </c>
      <c r="M258" s="15">
        <f t="shared" si="15"/>
        <v>43908.480000000003</v>
      </c>
    </row>
    <row r="259" spans="1:13" ht="15" customHeight="1" x14ac:dyDescent="0.3">
      <c r="A259" s="22">
        <v>252</v>
      </c>
      <c r="B259" s="23" t="s">
        <v>694</v>
      </c>
      <c r="C259" s="23" t="s">
        <v>695</v>
      </c>
      <c r="D259" s="24" t="s">
        <v>346</v>
      </c>
      <c r="E259" s="25">
        <v>15840</v>
      </c>
      <c r="F259" s="25">
        <f t="shared" si="12"/>
        <v>348480</v>
      </c>
      <c r="G259" s="36" t="s">
        <v>664</v>
      </c>
      <c r="H259" s="15">
        <f t="shared" si="13"/>
        <v>4181760</v>
      </c>
      <c r="I259" s="15">
        <f t="shared" si="14"/>
        <v>12545280</v>
      </c>
      <c r="J259" s="15">
        <v>50000</v>
      </c>
      <c r="K259" s="15">
        <v>250000</v>
      </c>
      <c r="L259" s="15">
        <v>50000</v>
      </c>
      <c r="M259" s="15">
        <f t="shared" si="15"/>
        <v>75271.679999999993</v>
      </c>
    </row>
    <row r="260" spans="1:13" ht="15" customHeight="1" x14ac:dyDescent="0.3">
      <c r="A260" s="22">
        <v>253</v>
      </c>
      <c r="B260" s="23" t="s">
        <v>696</v>
      </c>
      <c r="C260" s="23" t="s">
        <v>447</v>
      </c>
      <c r="D260" s="24" t="s">
        <v>388</v>
      </c>
      <c r="E260" s="25">
        <v>5280</v>
      </c>
      <c r="F260" s="25">
        <f t="shared" si="12"/>
        <v>116160</v>
      </c>
      <c r="G260" s="36" t="s">
        <v>664</v>
      </c>
      <c r="H260" s="15">
        <f t="shared" si="13"/>
        <v>1393920</v>
      </c>
      <c r="I260" s="15">
        <f t="shared" si="14"/>
        <v>4181760</v>
      </c>
      <c r="J260" s="15">
        <v>50000</v>
      </c>
      <c r="K260" s="15">
        <v>250000</v>
      </c>
      <c r="L260" s="15">
        <v>50000</v>
      </c>
      <c r="M260" s="15">
        <f t="shared" si="15"/>
        <v>25090.560000000001</v>
      </c>
    </row>
    <row r="261" spans="1:13" ht="15" customHeight="1" x14ac:dyDescent="0.3">
      <c r="A261" s="22">
        <v>254</v>
      </c>
      <c r="B261" s="23" t="s">
        <v>697</v>
      </c>
      <c r="C261" s="23" t="s">
        <v>698</v>
      </c>
      <c r="D261" s="24" t="s">
        <v>699</v>
      </c>
      <c r="E261" s="25">
        <v>5500</v>
      </c>
      <c r="F261" s="25">
        <f t="shared" si="12"/>
        <v>121000</v>
      </c>
      <c r="G261" s="36" t="s">
        <v>700</v>
      </c>
      <c r="H261" s="15">
        <f t="shared" si="13"/>
        <v>1452000</v>
      </c>
      <c r="I261" s="15">
        <f t="shared" si="14"/>
        <v>4356000</v>
      </c>
      <c r="J261" s="15">
        <v>50000</v>
      </c>
      <c r="K261" s="15">
        <v>250000</v>
      </c>
      <c r="L261" s="15">
        <v>50000</v>
      </c>
      <c r="M261" s="15">
        <f t="shared" si="15"/>
        <v>26136</v>
      </c>
    </row>
    <row r="262" spans="1:13" ht="15" customHeight="1" x14ac:dyDescent="0.3">
      <c r="A262" s="22">
        <v>255</v>
      </c>
      <c r="B262" s="23" t="s">
        <v>701</v>
      </c>
      <c r="C262" s="23" t="s">
        <v>702</v>
      </c>
      <c r="D262" s="24" t="s">
        <v>524</v>
      </c>
      <c r="E262" s="25">
        <v>5500</v>
      </c>
      <c r="F262" s="25">
        <f t="shared" si="12"/>
        <v>121000</v>
      </c>
      <c r="G262" s="36" t="s">
        <v>700</v>
      </c>
      <c r="H262" s="15">
        <f t="shared" si="13"/>
        <v>1452000</v>
      </c>
      <c r="I262" s="15">
        <f t="shared" si="14"/>
        <v>4356000</v>
      </c>
      <c r="J262" s="15">
        <v>50000</v>
      </c>
      <c r="K262" s="15">
        <v>250000</v>
      </c>
      <c r="L262" s="15">
        <v>50000</v>
      </c>
      <c r="M262" s="15">
        <f t="shared" si="15"/>
        <v>26136</v>
      </c>
    </row>
    <row r="263" spans="1:13" ht="15" customHeight="1" x14ac:dyDescent="0.3">
      <c r="A263" s="22">
        <v>256</v>
      </c>
      <c r="B263" s="23" t="s">
        <v>703</v>
      </c>
      <c r="C263" s="23" t="s">
        <v>704</v>
      </c>
      <c r="D263" s="24" t="s">
        <v>404</v>
      </c>
      <c r="E263" s="25">
        <v>10530</v>
      </c>
      <c r="F263" s="25">
        <f t="shared" si="12"/>
        <v>231660</v>
      </c>
      <c r="G263" s="36" t="s">
        <v>700</v>
      </c>
      <c r="H263" s="15">
        <f t="shared" si="13"/>
        <v>2779920</v>
      </c>
      <c r="I263" s="15">
        <f t="shared" si="14"/>
        <v>8339760</v>
      </c>
      <c r="J263" s="15">
        <v>50000</v>
      </c>
      <c r="K263" s="15">
        <v>250000</v>
      </c>
      <c r="L263" s="15">
        <v>50000</v>
      </c>
      <c r="M263" s="15">
        <f t="shared" si="15"/>
        <v>50038.559999999998</v>
      </c>
    </row>
    <row r="264" spans="1:13" ht="15" customHeight="1" x14ac:dyDescent="0.3">
      <c r="A264" s="22">
        <v>257</v>
      </c>
      <c r="B264" s="23" t="s">
        <v>705</v>
      </c>
      <c r="C264" s="23" t="s">
        <v>530</v>
      </c>
      <c r="D264" s="24" t="s">
        <v>302</v>
      </c>
      <c r="E264" s="25">
        <v>10530</v>
      </c>
      <c r="F264" s="25">
        <f t="shared" ref="F264:F309" si="16">E264*22</f>
        <v>231660</v>
      </c>
      <c r="G264" s="36" t="s">
        <v>700</v>
      </c>
      <c r="H264" s="15">
        <f t="shared" si="13"/>
        <v>2779920</v>
      </c>
      <c r="I264" s="15">
        <f t="shared" si="14"/>
        <v>8339760</v>
      </c>
      <c r="J264" s="15">
        <v>50000</v>
      </c>
      <c r="K264" s="15">
        <v>250000</v>
      </c>
      <c r="L264" s="15">
        <v>50000</v>
      </c>
      <c r="M264" s="15">
        <f t="shared" si="15"/>
        <v>50038.559999999998</v>
      </c>
    </row>
    <row r="265" spans="1:13" ht="15" customHeight="1" x14ac:dyDescent="0.3">
      <c r="A265" s="22">
        <v>258</v>
      </c>
      <c r="B265" s="23" t="s">
        <v>442</v>
      </c>
      <c r="C265" s="23" t="s">
        <v>706</v>
      </c>
      <c r="D265" s="24" t="s">
        <v>424</v>
      </c>
      <c r="E265" s="25">
        <v>6600</v>
      </c>
      <c r="F265" s="25">
        <f t="shared" si="16"/>
        <v>145200</v>
      </c>
      <c r="G265" s="36" t="s">
        <v>700</v>
      </c>
      <c r="H265" s="15">
        <f t="shared" ref="H265:H309" si="17">F265*12</f>
        <v>1742400</v>
      </c>
      <c r="I265" s="15">
        <f t="shared" ref="I265:I309" si="18">H265*3</f>
        <v>5227200</v>
      </c>
      <c r="J265" s="15">
        <v>50000</v>
      </c>
      <c r="K265" s="15">
        <v>250000</v>
      </c>
      <c r="L265" s="15">
        <v>50000</v>
      </c>
      <c r="M265" s="15">
        <f t="shared" ref="M265:M309" si="19">I265*6/1000</f>
        <v>31363.200000000001</v>
      </c>
    </row>
    <row r="266" spans="1:13" ht="15" customHeight="1" x14ac:dyDescent="0.3">
      <c r="A266" s="22">
        <v>259</v>
      </c>
      <c r="B266" s="23" t="s">
        <v>707</v>
      </c>
      <c r="C266" s="23" t="s">
        <v>94</v>
      </c>
      <c r="D266" s="24" t="s">
        <v>424</v>
      </c>
      <c r="E266" s="25">
        <v>6600</v>
      </c>
      <c r="F266" s="25">
        <f t="shared" si="16"/>
        <v>145200</v>
      </c>
      <c r="G266" s="36" t="s">
        <v>700</v>
      </c>
      <c r="H266" s="15">
        <f t="shared" si="17"/>
        <v>1742400</v>
      </c>
      <c r="I266" s="15">
        <f t="shared" si="18"/>
        <v>5227200</v>
      </c>
      <c r="J266" s="15">
        <v>50000</v>
      </c>
      <c r="K266" s="15">
        <v>250000</v>
      </c>
      <c r="L266" s="15">
        <v>50000</v>
      </c>
      <c r="M266" s="15">
        <f t="shared" si="19"/>
        <v>31363.200000000001</v>
      </c>
    </row>
    <row r="267" spans="1:13" ht="15" customHeight="1" x14ac:dyDescent="0.3">
      <c r="A267" s="22">
        <v>260</v>
      </c>
      <c r="B267" s="23" t="s">
        <v>708</v>
      </c>
      <c r="C267" s="23" t="s">
        <v>709</v>
      </c>
      <c r="D267" s="24" t="s">
        <v>424</v>
      </c>
      <c r="E267" s="25">
        <v>6600</v>
      </c>
      <c r="F267" s="25">
        <f t="shared" si="16"/>
        <v>145200</v>
      </c>
      <c r="G267" s="36" t="s">
        <v>700</v>
      </c>
      <c r="H267" s="15">
        <f t="shared" si="17"/>
        <v>1742400</v>
      </c>
      <c r="I267" s="15">
        <f t="shared" si="18"/>
        <v>5227200</v>
      </c>
      <c r="J267" s="15">
        <v>50000</v>
      </c>
      <c r="K267" s="15">
        <v>250000</v>
      </c>
      <c r="L267" s="15">
        <v>50000</v>
      </c>
      <c r="M267" s="15">
        <f t="shared" si="19"/>
        <v>31363.200000000001</v>
      </c>
    </row>
    <row r="268" spans="1:13" ht="15" customHeight="1" x14ac:dyDescent="0.3">
      <c r="A268" s="22">
        <v>261</v>
      </c>
      <c r="B268" s="23" t="s">
        <v>367</v>
      </c>
      <c r="C268" s="23" t="s">
        <v>219</v>
      </c>
      <c r="D268" s="24" t="s">
        <v>539</v>
      </c>
      <c r="E268" s="25">
        <v>10000</v>
      </c>
      <c r="F268" s="25">
        <f t="shared" si="16"/>
        <v>220000</v>
      </c>
      <c r="G268" s="36" t="s">
        <v>700</v>
      </c>
      <c r="H268" s="15">
        <f t="shared" si="17"/>
        <v>2640000</v>
      </c>
      <c r="I268" s="15">
        <f t="shared" si="18"/>
        <v>7920000</v>
      </c>
      <c r="J268" s="15">
        <v>50000</v>
      </c>
      <c r="K268" s="15">
        <v>250000</v>
      </c>
      <c r="L268" s="15">
        <v>50000</v>
      </c>
      <c r="M268" s="15">
        <f t="shared" si="19"/>
        <v>47520</v>
      </c>
    </row>
    <row r="269" spans="1:13" ht="15" customHeight="1" x14ac:dyDescent="0.3">
      <c r="A269" s="22">
        <v>262</v>
      </c>
      <c r="B269" s="23" t="s">
        <v>675</v>
      </c>
      <c r="C269" s="23" t="s">
        <v>710</v>
      </c>
      <c r="D269" s="24" t="s">
        <v>318</v>
      </c>
      <c r="E269" s="25">
        <v>8250</v>
      </c>
      <c r="F269" s="25">
        <f t="shared" si="16"/>
        <v>181500</v>
      </c>
      <c r="G269" s="36" t="s">
        <v>700</v>
      </c>
      <c r="H269" s="15">
        <f t="shared" si="17"/>
        <v>2178000</v>
      </c>
      <c r="I269" s="15">
        <f t="shared" si="18"/>
        <v>6534000</v>
      </c>
      <c r="J269" s="15">
        <v>50000</v>
      </c>
      <c r="K269" s="15">
        <v>250000</v>
      </c>
      <c r="L269" s="15">
        <v>50000</v>
      </c>
      <c r="M269" s="15">
        <f t="shared" si="19"/>
        <v>39204</v>
      </c>
    </row>
    <row r="270" spans="1:13" ht="15" customHeight="1" x14ac:dyDescent="0.3">
      <c r="A270" s="22">
        <v>263</v>
      </c>
      <c r="B270" s="23" t="s">
        <v>711</v>
      </c>
      <c r="C270" s="23" t="s">
        <v>712</v>
      </c>
      <c r="D270" s="24"/>
      <c r="E270" s="25">
        <v>6600</v>
      </c>
      <c r="F270" s="25">
        <f t="shared" si="16"/>
        <v>145200</v>
      </c>
      <c r="G270" s="36" t="s">
        <v>700</v>
      </c>
      <c r="H270" s="15">
        <f t="shared" si="17"/>
        <v>1742400</v>
      </c>
      <c r="I270" s="15">
        <f t="shared" si="18"/>
        <v>5227200</v>
      </c>
      <c r="J270" s="15">
        <v>50000</v>
      </c>
      <c r="K270" s="15">
        <v>250000</v>
      </c>
      <c r="L270" s="15">
        <v>50000</v>
      </c>
      <c r="M270" s="15">
        <f t="shared" si="19"/>
        <v>31363.200000000001</v>
      </c>
    </row>
    <row r="271" spans="1:13" ht="15" customHeight="1" x14ac:dyDescent="0.3">
      <c r="A271" s="22">
        <v>264</v>
      </c>
      <c r="B271" s="23" t="s">
        <v>713</v>
      </c>
      <c r="C271" s="23" t="s">
        <v>714</v>
      </c>
      <c r="D271" s="24" t="s">
        <v>715</v>
      </c>
      <c r="E271" s="25">
        <v>5500</v>
      </c>
      <c r="F271" s="25">
        <f t="shared" si="16"/>
        <v>121000</v>
      </c>
      <c r="G271" s="36" t="s">
        <v>700</v>
      </c>
      <c r="H271" s="15">
        <f t="shared" si="17"/>
        <v>1452000</v>
      </c>
      <c r="I271" s="15">
        <f t="shared" si="18"/>
        <v>4356000</v>
      </c>
      <c r="J271" s="15">
        <v>50000</v>
      </c>
      <c r="K271" s="15">
        <v>250000</v>
      </c>
      <c r="L271" s="15">
        <v>50000</v>
      </c>
      <c r="M271" s="15">
        <f t="shared" si="19"/>
        <v>26136</v>
      </c>
    </row>
    <row r="272" spans="1:13" ht="15" customHeight="1" x14ac:dyDescent="0.3">
      <c r="A272" s="22">
        <v>265</v>
      </c>
      <c r="B272" s="23" t="s">
        <v>716</v>
      </c>
      <c r="C272" s="23" t="s">
        <v>717</v>
      </c>
      <c r="D272" s="24"/>
      <c r="E272" s="25">
        <v>5500</v>
      </c>
      <c r="F272" s="25">
        <f t="shared" si="16"/>
        <v>121000</v>
      </c>
      <c r="G272" s="36" t="s">
        <v>700</v>
      </c>
      <c r="H272" s="15">
        <f t="shared" si="17"/>
        <v>1452000</v>
      </c>
      <c r="I272" s="15">
        <f t="shared" si="18"/>
        <v>4356000</v>
      </c>
      <c r="J272" s="15">
        <v>50000</v>
      </c>
      <c r="K272" s="15">
        <v>250000</v>
      </c>
      <c r="L272" s="15">
        <v>50000</v>
      </c>
      <c r="M272" s="15">
        <f t="shared" si="19"/>
        <v>26136</v>
      </c>
    </row>
    <row r="273" spans="1:13" ht="15" customHeight="1" x14ac:dyDescent="0.3">
      <c r="A273" s="22">
        <v>266</v>
      </c>
      <c r="B273" s="23" t="s">
        <v>718</v>
      </c>
      <c r="C273" s="23" t="s">
        <v>682</v>
      </c>
      <c r="D273" s="24" t="s">
        <v>539</v>
      </c>
      <c r="E273" s="25">
        <v>10000</v>
      </c>
      <c r="F273" s="25">
        <f t="shared" si="16"/>
        <v>220000</v>
      </c>
      <c r="G273" s="36" t="s">
        <v>700</v>
      </c>
      <c r="H273" s="15">
        <f t="shared" si="17"/>
        <v>2640000</v>
      </c>
      <c r="I273" s="15">
        <f t="shared" si="18"/>
        <v>7920000</v>
      </c>
      <c r="J273" s="15">
        <v>50000</v>
      </c>
      <c r="K273" s="15">
        <v>250000</v>
      </c>
      <c r="L273" s="15">
        <v>50000</v>
      </c>
      <c r="M273" s="15">
        <f t="shared" si="19"/>
        <v>47520</v>
      </c>
    </row>
    <row r="274" spans="1:13" ht="15" customHeight="1" x14ac:dyDescent="0.3">
      <c r="A274" s="22">
        <v>267</v>
      </c>
      <c r="B274" s="23" t="s">
        <v>719</v>
      </c>
      <c r="C274" s="23" t="s">
        <v>720</v>
      </c>
      <c r="D274" s="24" t="s">
        <v>524</v>
      </c>
      <c r="E274" s="25">
        <v>5500</v>
      </c>
      <c r="F274" s="25">
        <f t="shared" si="16"/>
        <v>121000</v>
      </c>
      <c r="G274" s="36" t="s">
        <v>700</v>
      </c>
      <c r="H274" s="15">
        <f t="shared" si="17"/>
        <v>1452000</v>
      </c>
      <c r="I274" s="15">
        <f t="shared" si="18"/>
        <v>4356000</v>
      </c>
      <c r="J274" s="15">
        <v>50000</v>
      </c>
      <c r="K274" s="15">
        <v>250000</v>
      </c>
      <c r="L274" s="15">
        <v>50000</v>
      </c>
      <c r="M274" s="15">
        <f t="shared" si="19"/>
        <v>26136</v>
      </c>
    </row>
    <row r="275" spans="1:13" ht="15" customHeight="1" x14ac:dyDescent="0.3">
      <c r="A275" s="22">
        <v>268</v>
      </c>
      <c r="B275" s="23" t="s">
        <v>716</v>
      </c>
      <c r="C275" s="23" t="s">
        <v>721</v>
      </c>
      <c r="D275" s="24" t="s">
        <v>424</v>
      </c>
      <c r="E275" s="25">
        <v>6600</v>
      </c>
      <c r="F275" s="25">
        <f t="shared" si="16"/>
        <v>145200</v>
      </c>
      <c r="G275" s="36" t="s">
        <v>700</v>
      </c>
      <c r="H275" s="15">
        <f t="shared" si="17"/>
        <v>1742400</v>
      </c>
      <c r="I275" s="15">
        <f t="shared" si="18"/>
        <v>5227200</v>
      </c>
      <c r="J275" s="15">
        <v>50000</v>
      </c>
      <c r="K275" s="15">
        <v>250000</v>
      </c>
      <c r="L275" s="15">
        <v>50000</v>
      </c>
      <c r="M275" s="15">
        <f t="shared" si="19"/>
        <v>31363.200000000001</v>
      </c>
    </row>
    <row r="276" spans="1:13" ht="15" customHeight="1" x14ac:dyDescent="0.3">
      <c r="A276" s="22">
        <v>269</v>
      </c>
      <c r="B276" s="23" t="s">
        <v>722</v>
      </c>
      <c r="C276" s="23" t="s">
        <v>723</v>
      </c>
      <c r="D276" s="24" t="s">
        <v>424</v>
      </c>
      <c r="E276" s="25">
        <v>6600</v>
      </c>
      <c r="F276" s="25">
        <f t="shared" si="16"/>
        <v>145200</v>
      </c>
      <c r="G276" s="36" t="s">
        <v>700</v>
      </c>
      <c r="H276" s="15">
        <f t="shared" si="17"/>
        <v>1742400</v>
      </c>
      <c r="I276" s="15">
        <f t="shared" si="18"/>
        <v>5227200</v>
      </c>
      <c r="J276" s="15">
        <v>50000</v>
      </c>
      <c r="K276" s="15">
        <v>250000</v>
      </c>
      <c r="L276" s="15">
        <v>50000</v>
      </c>
      <c r="M276" s="15">
        <f t="shared" si="19"/>
        <v>31363.200000000001</v>
      </c>
    </row>
    <row r="277" spans="1:13" ht="15" customHeight="1" x14ac:dyDescent="0.3">
      <c r="A277" s="22">
        <v>270</v>
      </c>
      <c r="B277" s="23" t="s">
        <v>724</v>
      </c>
      <c r="C277" s="23" t="s">
        <v>725</v>
      </c>
      <c r="D277" s="24" t="s">
        <v>524</v>
      </c>
      <c r="E277" s="25">
        <v>5500</v>
      </c>
      <c r="F277" s="25">
        <f t="shared" si="16"/>
        <v>121000</v>
      </c>
      <c r="G277" s="36" t="s">
        <v>700</v>
      </c>
      <c r="H277" s="15">
        <f t="shared" si="17"/>
        <v>1452000</v>
      </c>
      <c r="I277" s="15">
        <f t="shared" si="18"/>
        <v>4356000</v>
      </c>
      <c r="J277" s="15">
        <v>50000</v>
      </c>
      <c r="K277" s="15">
        <v>250000</v>
      </c>
      <c r="L277" s="15">
        <v>50000</v>
      </c>
      <c r="M277" s="15">
        <f t="shared" si="19"/>
        <v>26136</v>
      </c>
    </row>
    <row r="278" spans="1:13" ht="15" customHeight="1" x14ac:dyDescent="0.3">
      <c r="A278" s="22">
        <v>271</v>
      </c>
      <c r="B278" s="23" t="s">
        <v>726</v>
      </c>
      <c r="C278" s="23" t="s">
        <v>727</v>
      </c>
      <c r="D278" s="24" t="s">
        <v>546</v>
      </c>
      <c r="E278" s="25">
        <v>9240</v>
      </c>
      <c r="F278" s="25">
        <f t="shared" si="16"/>
        <v>203280</v>
      </c>
      <c r="G278" s="36" t="s">
        <v>700</v>
      </c>
      <c r="H278" s="15">
        <f t="shared" si="17"/>
        <v>2439360</v>
      </c>
      <c r="I278" s="15">
        <f t="shared" si="18"/>
        <v>7318080</v>
      </c>
      <c r="J278" s="15">
        <v>50000</v>
      </c>
      <c r="K278" s="15">
        <v>250000</v>
      </c>
      <c r="L278" s="15">
        <v>50000</v>
      </c>
      <c r="M278" s="15">
        <f t="shared" si="19"/>
        <v>43908.480000000003</v>
      </c>
    </row>
    <row r="279" spans="1:13" ht="15" customHeight="1" x14ac:dyDescent="0.3">
      <c r="A279" s="22">
        <v>272</v>
      </c>
      <c r="B279" s="23" t="s">
        <v>344</v>
      </c>
      <c r="C279" s="23" t="s">
        <v>728</v>
      </c>
      <c r="D279" s="24" t="s">
        <v>562</v>
      </c>
      <c r="E279" s="25">
        <v>6655</v>
      </c>
      <c r="F279" s="25">
        <f t="shared" si="16"/>
        <v>146410</v>
      </c>
      <c r="G279" s="36" t="s">
        <v>700</v>
      </c>
      <c r="H279" s="15">
        <f t="shared" si="17"/>
        <v>1756920</v>
      </c>
      <c r="I279" s="15">
        <f t="shared" si="18"/>
        <v>5270760</v>
      </c>
      <c r="J279" s="15">
        <v>50000</v>
      </c>
      <c r="K279" s="15">
        <v>250000</v>
      </c>
      <c r="L279" s="15">
        <v>50000</v>
      </c>
      <c r="M279" s="15">
        <f t="shared" si="19"/>
        <v>31624.560000000001</v>
      </c>
    </row>
    <row r="280" spans="1:13" ht="15" customHeight="1" x14ac:dyDescent="0.3">
      <c r="A280" s="22">
        <v>273</v>
      </c>
      <c r="B280" s="23" t="s">
        <v>73</v>
      </c>
      <c r="C280" s="23" t="s">
        <v>729</v>
      </c>
      <c r="D280" s="24"/>
      <c r="E280" s="25">
        <v>5500</v>
      </c>
      <c r="F280" s="25">
        <f t="shared" si="16"/>
        <v>121000</v>
      </c>
      <c r="G280" s="36" t="s">
        <v>700</v>
      </c>
      <c r="H280" s="15">
        <f t="shared" si="17"/>
        <v>1452000</v>
      </c>
      <c r="I280" s="15">
        <f t="shared" si="18"/>
        <v>4356000</v>
      </c>
      <c r="J280" s="15">
        <v>50000</v>
      </c>
      <c r="K280" s="15">
        <v>250000</v>
      </c>
      <c r="L280" s="15">
        <v>50000</v>
      </c>
      <c r="M280" s="15">
        <f t="shared" si="19"/>
        <v>26136</v>
      </c>
    </row>
    <row r="281" spans="1:13" ht="15" customHeight="1" x14ac:dyDescent="0.3">
      <c r="A281" s="22">
        <v>274</v>
      </c>
      <c r="B281" s="23" t="s">
        <v>730</v>
      </c>
      <c r="C281" s="23" t="s">
        <v>397</v>
      </c>
      <c r="D281" s="24"/>
      <c r="E281" s="25">
        <v>5500</v>
      </c>
      <c r="F281" s="25">
        <f t="shared" si="16"/>
        <v>121000</v>
      </c>
      <c r="G281" s="36" t="s">
        <v>700</v>
      </c>
      <c r="H281" s="15">
        <f t="shared" si="17"/>
        <v>1452000</v>
      </c>
      <c r="I281" s="15">
        <f t="shared" si="18"/>
        <v>4356000</v>
      </c>
      <c r="J281" s="15">
        <v>50000</v>
      </c>
      <c r="K281" s="15">
        <v>250000</v>
      </c>
      <c r="L281" s="15">
        <v>50000</v>
      </c>
      <c r="M281" s="15">
        <f t="shared" si="19"/>
        <v>26136</v>
      </c>
    </row>
    <row r="282" spans="1:13" ht="15" customHeight="1" x14ac:dyDescent="0.3">
      <c r="A282" s="22">
        <v>275</v>
      </c>
      <c r="B282" s="23" t="s">
        <v>731</v>
      </c>
      <c r="C282" s="23" t="s">
        <v>732</v>
      </c>
      <c r="D282" s="24" t="s">
        <v>435</v>
      </c>
      <c r="E282" s="25">
        <v>8500</v>
      </c>
      <c r="F282" s="25">
        <f t="shared" si="16"/>
        <v>187000</v>
      </c>
      <c r="G282" s="36" t="s">
        <v>700</v>
      </c>
      <c r="H282" s="15">
        <f t="shared" si="17"/>
        <v>2244000</v>
      </c>
      <c r="I282" s="15">
        <f t="shared" si="18"/>
        <v>6732000</v>
      </c>
      <c r="J282" s="15">
        <v>50000</v>
      </c>
      <c r="K282" s="15">
        <v>250000</v>
      </c>
      <c r="L282" s="15">
        <v>50000</v>
      </c>
      <c r="M282" s="15">
        <f t="shared" si="19"/>
        <v>40392</v>
      </c>
    </row>
    <row r="283" spans="1:13" ht="15" customHeight="1" x14ac:dyDescent="0.3">
      <c r="A283" s="22">
        <v>276</v>
      </c>
      <c r="B283" s="23" t="s">
        <v>733</v>
      </c>
      <c r="C283" s="23" t="s">
        <v>386</v>
      </c>
      <c r="D283" s="24" t="s">
        <v>524</v>
      </c>
      <c r="E283" s="25">
        <v>5500</v>
      </c>
      <c r="F283" s="25">
        <f t="shared" si="16"/>
        <v>121000</v>
      </c>
      <c r="G283" s="36" t="s">
        <v>700</v>
      </c>
      <c r="H283" s="15">
        <f t="shared" si="17"/>
        <v>1452000</v>
      </c>
      <c r="I283" s="15">
        <f t="shared" si="18"/>
        <v>4356000</v>
      </c>
      <c r="J283" s="15">
        <v>50000</v>
      </c>
      <c r="K283" s="15">
        <v>250000</v>
      </c>
      <c r="L283" s="15">
        <v>50000</v>
      </c>
      <c r="M283" s="15">
        <f t="shared" si="19"/>
        <v>26136</v>
      </c>
    </row>
    <row r="284" spans="1:13" ht="15" customHeight="1" x14ac:dyDescent="0.3">
      <c r="A284" s="22">
        <v>277</v>
      </c>
      <c r="B284" s="23" t="s">
        <v>706</v>
      </c>
      <c r="C284" s="23" t="s">
        <v>734</v>
      </c>
      <c r="D284" s="24" t="s">
        <v>524</v>
      </c>
      <c r="E284" s="25">
        <v>5500</v>
      </c>
      <c r="F284" s="25">
        <f t="shared" si="16"/>
        <v>121000</v>
      </c>
      <c r="G284" s="36" t="s">
        <v>700</v>
      </c>
      <c r="H284" s="15">
        <f t="shared" si="17"/>
        <v>1452000</v>
      </c>
      <c r="I284" s="15">
        <f t="shared" si="18"/>
        <v>4356000</v>
      </c>
      <c r="J284" s="15">
        <v>50000</v>
      </c>
      <c r="K284" s="15">
        <v>250000</v>
      </c>
      <c r="L284" s="15">
        <v>50000</v>
      </c>
      <c r="M284" s="15">
        <f t="shared" si="19"/>
        <v>26136</v>
      </c>
    </row>
    <row r="285" spans="1:13" ht="15" customHeight="1" x14ac:dyDescent="0.3">
      <c r="A285" s="22">
        <v>278</v>
      </c>
      <c r="B285" s="23" t="s">
        <v>735</v>
      </c>
      <c r="C285" s="23" t="s">
        <v>736</v>
      </c>
      <c r="D285" s="24" t="s">
        <v>546</v>
      </c>
      <c r="E285" s="25">
        <v>9240</v>
      </c>
      <c r="F285" s="25">
        <f t="shared" si="16"/>
        <v>203280</v>
      </c>
      <c r="G285" s="36" t="s">
        <v>700</v>
      </c>
      <c r="H285" s="15">
        <f t="shared" si="17"/>
        <v>2439360</v>
      </c>
      <c r="I285" s="15">
        <f t="shared" si="18"/>
        <v>7318080</v>
      </c>
      <c r="J285" s="15">
        <v>50000</v>
      </c>
      <c r="K285" s="15">
        <v>250000</v>
      </c>
      <c r="L285" s="15">
        <v>50000</v>
      </c>
      <c r="M285" s="15">
        <f t="shared" si="19"/>
        <v>43908.480000000003</v>
      </c>
    </row>
    <row r="286" spans="1:13" ht="15" customHeight="1" x14ac:dyDescent="0.3">
      <c r="A286" s="22">
        <v>279</v>
      </c>
      <c r="B286" s="23" t="s">
        <v>737</v>
      </c>
      <c r="C286" s="23" t="s">
        <v>738</v>
      </c>
      <c r="D286" s="24" t="s">
        <v>562</v>
      </c>
      <c r="E286" s="25">
        <v>6655</v>
      </c>
      <c r="F286" s="25">
        <f t="shared" si="16"/>
        <v>146410</v>
      </c>
      <c r="G286" s="36" t="s">
        <v>700</v>
      </c>
      <c r="H286" s="15">
        <f t="shared" si="17"/>
        <v>1756920</v>
      </c>
      <c r="I286" s="15">
        <f t="shared" si="18"/>
        <v>5270760</v>
      </c>
      <c r="J286" s="15">
        <v>50000</v>
      </c>
      <c r="K286" s="15">
        <v>250000</v>
      </c>
      <c r="L286" s="15">
        <v>50000</v>
      </c>
      <c r="M286" s="15">
        <f t="shared" si="19"/>
        <v>31624.560000000001</v>
      </c>
    </row>
    <row r="287" spans="1:13" ht="15" customHeight="1" x14ac:dyDescent="0.3">
      <c r="A287" s="22">
        <v>280</v>
      </c>
      <c r="B287" s="23" t="s">
        <v>739</v>
      </c>
      <c r="C287" s="23" t="s">
        <v>740</v>
      </c>
      <c r="D287" s="24" t="s">
        <v>524</v>
      </c>
      <c r="E287" s="25">
        <v>5500</v>
      </c>
      <c r="F287" s="25">
        <f t="shared" si="16"/>
        <v>121000</v>
      </c>
      <c r="G287" s="36" t="s">
        <v>700</v>
      </c>
      <c r="H287" s="15">
        <f t="shared" si="17"/>
        <v>1452000</v>
      </c>
      <c r="I287" s="15">
        <f t="shared" si="18"/>
        <v>4356000</v>
      </c>
      <c r="J287" s="15">
        <v>50000</v>
      </c>
      <c r="K287" s="15">
        <v>250000</v>
      </c>
      <c r="L287" s="15">
        <v>50000</v>
      </c>
      <c r="M287" s="15">
        <f t="shared" si="19"/>
        <v>26136</v>
      </c>
    </row>
    <row r="288" spans="1:13" ht="15" customHeight="1" x14ac:dyDescent="0.3">
      <c r="A288" s="22">
        <v>281</v>
      </c>
      <c r="B288" s="23" t="s">
        <v>90</v>
      </c>
      <c r="C288" s="23" t="s">
        <v>741</v>
      </c>
      <c r="D288" s="24" t="s">
        <v>424</v>
      </c>
      <c r="E288" s="25">
        <v>6600</v>
      </c>
      <c r="F288" s="25">
        <f t="shared" si="16"/>
        <v>145200</v>
      </c>
      <c r="G288" s="36" t="s">
        <v>700</v>
      </c>
      <c r="H288" s="15">
        <f t="shared" si="17"/>
        <v>1742400</v>
      </c>
      <c r="I288" s="15">
        <f t="shared" si="18"/>
        <v>5227200</v>
      </c>
      <c r="J288" s="15">
        <v>50000</v>
      </c>
      <c r="K288" s="15">
        <v>250000</v>
      </c>
      <c r="L288" s="15">
        <v>50000</v>
      </c>
      <c r="M288" s="15">
        <f t="shared" si="19"/>
        <v>31363.200000000001</v>
      </c>
    </row>
    <row r="289" spans="1:13" ht="15" customHeight="1" x14ac:dyDescent="0.3">
      <c r="A289" s="22">
        <v>282</v>
      </c>
      <c r="B289" s="23" t="s">
        <v>742</v>
      </c>
      <c r="C289" s="23" t="s">
        <v>743</v>
      </c>
      <c r="D289" s="24" t="s">
        <v>744</v>
      </c>
      <c r="E289" s="25">
        <v>9240</v>
      </c>
      <c r="F289" s="25">
        <f t="shared" si="16"/>
        <v>203280</v>
      </c>
      <c r="G289" s="36" t="s">
        <v>700</v>
      </c>
      <c r="H289" s="15">
        <f t="shared" si="17"/>
        <v>2439360</v>
      </c>
      <c r="I289" s="15">
        <f t="shared" si="18"/>
        <v>7318080</v>
      </c>
      <c r="J289" s="15">
        <v>50000</v>
      </c>
      <c r="K289" s="15">
        <v>250000</v>
      </c>
      <c r="L289" s="15">
        <v>50000</v>
      </c>
      <c r="M289" s="15">
        <f t="shared" si="19"/>
        <v>43908.480000000003</v>
      </c>
    </row>
    <row r="290" spans="1:13" ht="15" customHeight="1" x14ac:dyDescent="0.3">
      <c r="A290" s="22">
        <v>283</v>
      </c>
      <c r="B290" s="23" t="s">
        <v>745</v>
      </c>
      <c r="C290" s="23" t="s">
        <v>746</v>
      </c>
      <c r="D290" s="24" t="s">
        <v>546</v>
      </c>
      <c r="E290" s="25">
        <v>9240</v>
      </c>
      <c r="F290" s="25">
        <f t="shared" si="16"/>
        <v>203280</v>
      </c>
      <c r="G290" s="36" t="s">
        <v>700</v>
      </c>
      <c r="H290" s="15">
        <f t="shared" si="17"/>
        <v>2439360</v>
      </c>
      <c r="I290" s="15">
        <f t="shared" si="18"/>
        <v>7318080</v>
      </c>
      <c r="J290" s="15">
        <v>50000</v>
      </c>
      <c r="K290" s="15">
        <v>250000</v>
      </c>
      <c r="L290" s="15">
        <v>50000</v>
      </c>
      <c r="M290" s="15">
        <f t="shared" si="19"/>
        <v>43908.480000000003</v>
      </c>
    </row>
    <row r="291" spans="1:13" ht="15" customHeight="1" x14ac:dyDescent="0.3">
      <c r="A291" s="22">
        <v>284</v>
      </c>
      <c r="B291" s="23" t="s">
        <v>747</v>
      </c>
      <c r="C291" s="23" t="s">
        <v>748</v>
      </c>
      <c r="D291" s="24"/>
      <c r="E291" s="25">
        <v>9240</v>
      </c>
      <c r="F291" s="25">
        <f t="shared" si="16"/>
        <v>203280</v>
      </c>
      <c r="G291" s="36" t="s">
        <v>700</v>
      </c>
      <c r="H291" s="15">
        <f t="shared" si="17"/>
        <v>2439360</v>
      </c>
      <c r="I291" s="15">
        <f t="shared" si="18"/>
        <v>7318080</v>
      </c>
      <c r="J291" s="15">
        <v>50000</v>
      </c>
      <c r="K291" s="15">
        <v>250000</v>
      </c>
      <c r="L291" s="15">
        <v>50000</v>
      </c>
      <c r="M291" s="15">
        <f t="shared" si="19"/>
        <v>43908.480000000003</v>
      </c>
    </row>
    <row r="292" spans="1:13" ht="15" customHeight="1" x14ac:dyDescent="0.3">
      <c r="A292" s="22">
        <v>285</v>
      </c>
      <c r="B292" s="23" t="s">
        <v>749</v>
      </c>
      <c r="C292" s="23" t="s">
        <v>750</v>
      </c>
      <c r="D292" s="24" t="s">
        <v>546</v>
      </c>
      <c r="E292" s="25">
        <v>9240</v>
      </c>
      <c r="F292" s="25">
        <f t="shared" si="16"/>
        <v>203280</v>
      </c>
      <c r="G292" s="36" t="s">
        <v>700</v>
      </c>
      <c r="H292" s="15">
        <f t="shared" si="17"/>
        <v>2439360</v>
      </c>
      <c r="I292" s="15">
        <f t="shared" si="18"/>
        <v>7318080</v>
      </c>
      <c r="J292" s="15">
        <v>50000</v>
      </c>
      <c r="K292" s="15">
        <v>250000</v>
      </c>
      <c r="L292" s="15">
        <v>50000</v>
      </c>
      <c r="M292" s="15">
        <f t="shared" si="19"/>
        <v>43908.480000000003</v>
      </c>
    </row>
    <row r="293" spans="1:13" ht="15" customHeight="1" x14ac:dyDescent="0.3">
      <c r="A293" s="22">
        <v>286</v>
      </c>
      <c r="B293" s="23" t="s">
        <v>751</v>
      </c>
      <c r="C293" s="23" t="s">
        <v>752</v>
      </c>
      <c r="D293" s="24" t="s">
        <v>546</v>
      </c>
      <c r="E293" s="25">
        <v>9240</v>
      </c>
      <c r="F293" s="25">
        <f t="shared" si="16"/>
        <v>203280</v>
      </c>
      <c r="G293" s="36" t="s">
        <v>700</v>
      </c>
      <c r="H293" s="15">
        <f t="shared" si="17"/>
        <v>2439360</v>
      </c>
      <c r="I293" s="15">
        <f t="shared" si="18"/>
        <v>7318080</v>
      </c>
      <c r="J293" s="15">
        <v>50000</v>
      </c>
      <c r="K293" s="15">
        <v>250000</v>
      </c>
      <c r="L293" s="15">
        <v>50000</v>
      </c>
      <c r="M293" s="15">
        <f t="shared" si="19"/>
        <v>43908.480000000003</v>
      </c>
    </row>
    <row r="294" spans="1:13" ht="15" customHeight="1" x14ac:dyDescent="0.3">
      <c r="A294" s="22">
        <v>287</v>
      </c>
      <c r="B294" s="23" t="s">
        <v>753</v>
      </c>
      <c r="C294" s="23" t="s">
        <v>754</v>
      </c>
      <c r="D294" s="24" t="s">
        <v>346</v>
      </c>
      <c r="E294" s="25">
        <v>9240</v>
      </c>
      <c r="F294" s="25">
        <f t="shared" si="16"/>
        <v>203280</v>
      </c>
      <c r="G294" s="36" t="s">
        <v>700</v>
      </c>
      <c r="H294" s="15">
        <f t="shared" si="17"/>
        <v>2439360</v>
      </c>
      <c r="I294" s="15">
        <f t="shared" si="18"/>
        <v>7318080</v>
      </c>
      <c r="J294" s="15">
        <v>50000</v>
      </c>
      <c r="K294" s="15">
        <v>250000</v>
      </c>
      <c r="L294" s="15">
        <v>50000</v>
      </c>
      <c r="M294" s="15">
        <f t="shared" si="19"/>
        <v>43908.480000000003</v>
      </c>
    </row>
    <row r="295" spans="1:13" ht="15" customHeight="1" x14ac:dyDescent="0.3">
      <c r="A295" s="22">
        <v>288</v>
      </c>
      <c r="B295" s="23" t="s">
        <v>755</v>
      </c>
      <c r="C295" s="23" t="s">
        <v>756</v>
      </c>
      <c r="D295" s="24"/>
      <c r="E295" s="25">
        <v>9240</v>
      </c>
      <c r="F295" s="25">
        <f t="shared" si="16"/>
        <v>203280</v>
      </c>
      <c r="G295" s="36" t="s">
        <v>700</v>
      </c>
      <c r="H295" s="15">
        <f t="shared" si="17"/>
        <v>2439360</v>
      </c>
      <c r="I295" s="15">
        <f t="shared" si="18"/>
        <v>7318080</v>
      </c>
      <c r="J295" s="15">
        <v>50000</v>
      </c>
      <c r="K295" s="15">
        <v>250000</v>
      </c>
      <c r="L295" s="15">
        <v>50000</v>
      </c>
      <c r="M295" s="15">
        <f t="shared" si="19"/>
        <v>43908.480000000003</v>
      </c>
    </row>
    <row r="296" spans="1:13" ht="15" customHeight="1" x14ac:dyDescent="0.3">
      <c r="A296" s="22">
        <v>289</v>
      </c>
      <c r="B296" s="23" t="s">
        <v>94</v>
      </c>
      <c r="C296" s="23" t="s">
        <v>757</v>
      </c>
      <c r="D296" s="24" t="s">
        <v>562</v>
      </c>
      <c r="E296" s="25">
        <v>6655</v>
      </c>
      <c r="F296" s="25">
        <f t="shared" si="16"/>
        <v>146410</v>
      </c>
      <c r="G296" s="36" t="s">
        <v>700</v>
      </c>
      <c r="H296" s="15">
        <f t="shared" si="17"/>
        <v>1756920</v>
      </c>
      <c r="I296" s="15">
        <f t="shared" si="18"/>
        <v>5270760</v>
      </c>
      <c r="J296" s="15">
        <v>50000</v>
      </c>
      <c r="K296" s="15">
        <v>250000</v>
      </c>
      <c r="L296" s="15">
        <v>50000</v>
      </c>
      <c r="M296" s="15">
        <f t="shared" si="19"/>
        <v>31624.560000000001</v>
      </c>
    </row>
    <row r="297" spans="1:13" ht="15" customHeight="1" x14ac:dyDescent="0.3">
      <c r="A297" s="22">
        <v>290</v>
      </c>
      <c r="B297" s="23" t="s">
        <v>352</v>
      </c>
      <c r="C297" s="23" t="s">
        <v>758</v>
      </c>
      <c r="D297" s="24" t="s">
        <v>524</v>
      </c>
      <c r="E297" s="25">
        <v>5500</v>
      </c>
      <c r="F297" s="25">
        <f t="shared" si="16"/>
        <v>121000</v>
      </c>
      <c r="G297" s="36" t="s">
        <v>700</v>
      </c>
      <c r="H297" s="15">
        <f t="shared" si="17"/>
        <v>1452000</v>
      </c>
      <c r="I297" s="15">
        <f t="shared" si="18"/>
        <v>4356000</v>
      </c>
      <c r="J297" s="15">
        <v>50000</v>
      </c>
      <c r="K297" s="15">
        <v>250000</v>
      </c>
      <c r="L297" s="15">
        <v>50000</v>
      </c>
      <c r="M297" s="15">
        <f t="shared" si="19"/>
        <v>26136</v>
      </c>
    </row>
    <row r="298" spans="1:13" ht="15" customHeight="1" x14ac:dyDescent="0.3">
      <c r="A298" s="22">
        <v>291</v>
      </c>
      <c r="B298" s="23" t="s">
        <v>717</v>
      </c>
      <c r="C298" s="23" t="s">
        <v>759</v>
      </c>
      <c r="D298" s="24" t="s">
        <v>524</v>
      </c>
      <c r="E298" s="25">
        <v>5500</v>
      </c>
      <c r="F298" s="25">
        <f t="shared" si="16"/>
        <v>121000</v>
      </c>
      <c r="G298" s="36" t="s">
        <v>700</v>
      </c>
      <c r="H298" s="15">
        <f t="shared" si="17"/>
        <v>1452000</v>
      </c>
      <c r="I298" s="15">
        <f t="shared" si="18"/>
        <v>4356000</v>
      </c>
      <c r="J298" s="15">
        <v>50000</v>
      </c>
      <c r="K298" s="15">
        <v>250000</v>
      </c>
      <c r="L298" s="15">
        <v>50000</v>
      </c>
      <c r="M298" s="15">
        <f t="shared" si="19"/>
        <v>26136</v>
      </c>
    </row>
    <row r="299" spans="1:13" ht="15" customHeight="1" x14ac:dyDescent="0.3">
      <c r="A299" s="22">
        <v>292</v>
      </c>
      <c r="B299" s="23" t="s">
        <v>493</v>
      </c>
      <c r="C299" s="23" t="s">
        <v>760</v>
      </c>
      <c r="D299" s="24" t="s">
        <v>761</v>
      </c>
      <c r="E299" s="25">
        <v>5500</v>
      </c>
      <c r="F299" s="25">
        <f t="shared" si="16"/>
        <v>121000</v>
      </c>
      <c r="G299" s="36" t="s">
        <v>700</v>
      </c>
      <c r="H299" s="15">
        <f t="shared" si="17"/>
        <v>1452000</v>
      </c>
      <c r="I299" s="15">
        <f t="shared" si="18"/>
        <v>4356000</v>
      </c>
      <c r="J299" s="15">
        <v>50000</v>
      </c>
      <c r="K299" s="15">
        <v>250000</v>
      </c>
      <c r="L299" s="15">
        <v>50000</v>
      </c>
      <c r="M299" s="15">
        <f t="shared" si="19"/>
        <v>26136</v>
      </c>
    </row>
    <row r="300" spans="1:13" ht="15" customHeight="1" x14ac:dyDescent="0.3">
      <c r="A300" s="22">
        <v>293</v>
      </c>
      <c r="B300" s="23" t="s">
        <v>716</v>
      </c>
      <c r="C300" s="23" t="s">
        <v>762</v>
      </c>
      <c r="D300" s="24" t="s">
        <v>763</v>
      </c>
      <c r="E300" s="25">
        <v>5500</v>
      </c>
      <c r="F300" s="25">
        <f t="shared" si="16"/>
        <v>121000</v>
      </c>
      <c r="G300" s="36" t="s">
        <v>700</v>
      </c>
      <c r="H300" s="15">
        <f t="shared" si="17"/>
        <v>1452000</v>
      </c>
      <c r="I300" s="15">
        <f t="shared" si="18"/>
        <v>4356000</v>
      </c>
      <c r="J300" s="15">
        <v>50000</v>
      </c>
      <c r="K300" s="15">
        <v>250000</v>
      </c>
      <c r="L300" s="15">
        <v>50000</v>
      </c>
      <c r="M300" s="15">
        <f t="shared" si="19"/>
        <v>26136</v>
      </c>
    </row>
    <row r="301" spans="1:13" ht="15" customHeight="1" x14ac:dyDescent="0.3">
      <c r="A301" s="22">
        <v>294</v>
      </c>
      <c r="B301" s="23" t="s">
        <v>764</v>
      </c>
      <c r="C301" s="23" t="s">
        <v>765</v>
      </c>
      <c r="D301" s="24" t="s">
        <v>761</v>
      </c>
      <c r="E301" s="25">
        <v>5500</v>
      </c>
      <c r="F301" s="25">
        <f t="shared" si="16"/>
        <v>121000</v>
      </c>
      <c r="G301" s="36" t="s">
        <v>700</v>
      </c>
      <c r="H301" s="15">
        <f t="shared" si="17"/>
        <v>1452000</v>
      </c>
      <c r="I301" s="15">
        <f t="shared" si="18"/>
        <v>4356000</v>
      </c>
      <c r="J301" s="15">
        <v>50000</v>
      </c>
      <c r="K301" s="15">
        <v>250000</v>
      </c>
      <c r="L301" s="15">
        <v>50000</v>
      </c>
      <c r="M301" s="15">
        <f t="shared" si="19"/>
        <v>26136</v>
      </c>
    </row>
    <row r="302" spans="1:13" ht="15" customHeight="1" x14ac:dyDescent="0.3">
      <c r="A302" s="22">
        <v>295</v>
      </c>
      <c r="B302" s="23" t="s">
        <v>766</v>
      </c>
      <c r="C302" s="23" t="s">
        <v>767</v>
      </c>
      <c r="D302" s="24" t="s">
        <v>744</v>
      </c>
      <c r="E302" s="25">
        <v>9240</v>
      </c>
      <c r="F302" s="25">
        <f t="shared" si="16"/>
        <v>203280</v>
      </c>
      <c r="G302" s="36" t="s">
        <v>700</v>
      </c>
      <c r="H302" s="15">
        <f t="shared" si="17"/>
        <v>2439360</v>
      </c>
      <c r="I302" s="15">
        <f t="shared" si="18"/>
        <v>7318080</v>
      </c>
      <c r="J302" s="15">
        <v>50000</v>
      </c>
      <c r="K302" s="15">
        <v>250000</v>
      </c>
      <c r="L302" s="15">
        <v>50000</v>
      </c>
      <c r="M302" s="15">
        <f t="shared" si="19"/>
        <v>43908.480000000003</v>
      </c>
    </row>
    <row r="303" spans="1:13" ht="15" customHeight="1" x14ac:dyDescent="0.3">
      <c r="A303" s="22">
        <v>296</v>
      </c>
      <c r="B303" s="23" t="s">
        <v>768</v>
      </c>
      <c r="C303" s="23" t="s">
        <v>769</v>
      </c>
      <c r="D303" s="24" t="s">
        <v>524</v>
      </c>
      <c r="E303" s="25">
        <v>5500</v>
      </c>
      <c r="F303" s="25">
        <f t="shared" si="16"/>
        <v>121000</v>
      </c>
      <c r="G303" s="36" t="s">
        <v>700</v>
      </c>
      <c r="H303" s="15">
        <f t="shared" si="17"/>
        <v>1452000</v>
      </c>
      <c r="I303" s="15">
        <f t="shared" si="18"/>
        <v>4356000</v>
      </c>
      <c r="J303" s="15">
        <v>50000</v>
      </c>
      <c r="K303" s="15">
        <v>250000</v>
      </c>
      <c r="L303" s="15">
        <v>50000</v>
      </c>
      <c r="M303" s="15">
        <f t="shared" si="19"/>
        <v>26136</v>
      </c>
    </row>
    <row r="304" spans="1:13" ht="15" customHeight="1" x14ac:dyDescent="0.3">
      <c r="A304" s="22">
        <v>297</v>
      </c>
      <c r="B304" s="23" t="s">
        <v>770</v>
      </c>
      <c r="C304" s="23" t="s">
        <v>327</v>
      </c>
      <c r="D304" s="24" t="s">
        <v>771</v>
      </c>
      <c r="E304" s="25">
        <v>5500</v>
      </c>
      <c r="F304" s="25">
        <f t="shared" si="16"/>
        <v>121000</v>
      </c>
      <c r="G304" s="36" t="s">
        <v>700</v>
      </c>
      <c r="H304" s="15">
        <f t="shared" si="17"/>
        <v>1452000</v>
      </c>
      <c r="I304" s="15">
        <f t="shared" si="18"/>
        <v>4356000</v>
      </c>
      <c r="J304" s="15">
        <v>50000</v>
      </c>
      <c r="K304" s="15">
        <v>250000</v>
      </c>
      <c r="L304" s="15">
        <v>50000</v>
      </c>
      <c r="M304" s="15">
        <f t="shared" si="19"/>
        <v>26136</v>
      </c>
    </row>
    <row r="305" spans="1:13" ht="15" customHeight="1" x14ac:dyDescent="0.3">
      <c r="A305" s="22">
        <v>298</v>
      </c>
      <c r="B305" s="23" t="s">
        <v>430</v>
      </c>
      <c r="C305" s="23" t="s">
        <v>772</v>
      </c>
      <c r="D305" s="24" t="s">
        <v>773</v>
      </c>
      <c r="E305" s="25">
        <v>9240</v>
      </c>
      <c r="F305" s="25">
        <f t="shared" si="16"/>
        <v>203280</v>
      </c>
      <c r="G305" s="36" t="s">
        <v>700</v>
      </c>
      <c r="H305" s="15">
        <f t="shared" si="17"/>
        <v>2439360</v>
      </c>
      <c r="I305" s="15">
        <f t="shared" si="18"/>
        <v>7318080</v>
      </c>
      <c r="J305" s="15">
        <v>50000</v>
      </c>
      <c r="K305" s="15">
        <v>250000</v>
      </c>
      <c r="L305" s="15">
        <v>50000</v>
      </c>
      <c r="M305" s="15">
        <f t="shared" si="19"/>
        <v>43908.480000000003</v>
      </c>
    </row>
    <row r="306" spans="1:13" ht="15" customHeight="1" x14ac:dyDescent="0.3">
      <c r="A306" s="22">
        <v>299</v>
      </c>
      <c r="B306" s="23" t="s">
        <v>774</v>
      </c>
      <c r="C306" s="23" t="s">
        <v>775</v>
      </c>
      <c r="D306" s="24" t="s">
        <v>435</v>
      </c>
      <c r="E306" s="25">
        <v>7500</v>
      </c>
      <c r="F306" s="25">
        <f t="shared" si="16"/>
        <v>165000</v>
      </c>
      <c r="G306" s="36" t="s">
        <v>700</v>
      </c>
      <c r="H306" s="15">
        <f t="shared" si="17"/>
        <v>1980000</v>
      </c>
      <c r="I306" s="15">
        <f t="shared" si="18"/>
        <v>5940000</v>
      </c>
      <c r="J306" s="15">
        <v>50000</v>
      </c>
      <c r="K306" s="15">
        <v>250000</v>
      </c>
      <c r="L306" s="15">
        <v>50000</v>
      </c>
      <c r="M306" s="15">
        <f t="shared" si="19"/>
        <v>35640</v>
      </c>
    </row>
    <row r="307" spans="1:13" ht="15" customHeight="1" x14ac:dyDescent="0.3">
      <c r="A307" s="22">
        <v>300</v>
      </c>
      <c r="B307" s="23" t="s">
        <v>102</v>
      </c>
      <c r="C307" s="23" t="s">
        <v>776</v>
      </c>
      <c r="D307" s="24" t="s">
        <v>135</v>
      </c>
      <c r="E307" s="25">
        <v>30000</v>
      </c>
      <c r="F307" s="25">
        <f t="shared" si="16"/>
        <v>660000</v>
      </c>
      <c r="G307" s="36" t="s">
        <v>700</v>
      </c>
      <c r="H307" s="15">
        <f t="shared" si="17"/>
        <v>7920000</v>
      </c>
      <c r="I307" s="15">
        <f t="shared" si="18"/>
        <v>23760000</v>
      </c>
      <c r="J307" s="15">
        <v>50000</v>
      </c>
      <c r="K307" s="15">
        <v>250000</v>
      </c>
      <c r="L307" s="15">
        <v>50000</v>
      </c>
      <c r="M307" s="15">
        <f t="shared" si="19"/>
        <v>142560</v>
      </c>
    </row>
    <row r="308" spans="1:13" ht="15" customHeight="1" x14ac:dyDescent="0.3">
      <c r="A308" s="22">
        <v>301</v>
      </c>
      <c r="B308" s="23" t="s">
        <v>777</v>
      </c>
      <c r="C308" s="23" t="s">
        <v>311</v>
      </c>
      <c r="D308" s="24" t="s">
        <v>778</v>
      </c>
      <c r="E308" s="25">
        <v>8500</v>
      </c>
      <c r="F308" s="25">
        <f t="shared" si="16"/>
        <v>187000</v>
      </c>
      <c r="G308" s="36" t="s">
        <v>700</v>
      </c>
      <c r="H308" s="15">
        <f t="shared" si="17"/>
        <v>2244000</v>
      </c>
      <c r="I308" s="15">
        <f t="shared" si="18"/>
        <v>6732000</v>
      </c>
      <c r="J308" s="15">
        <v>50000</v>
      </c>
      <c r="K308" s="15">
        <v>250000</v>
      </c>
      <c r="L308" s="15">
        <v>50000</v>
      </c>
      <c r="M308" s="15">
        <f t="shared" si="19"/>
        <v>40392</v>
      </c>
    </row>
    <row r="309" spans="1:13" ht="15" customHeight="1" thickBot="1" x14ac:dyDescent="0.35">
      <c r="A309" s="38">
        <v>302</v>
      </c>
      <c r="B309" s="39" t="s">
        <v>779</v>
      </c>
      <c r="C309" s="39" t="s">
        <v>780</v>
      </c>
      <c r="D309" s="40" t="s">
        <v>388</v>
      </c>
      <c r="E309" s="41">
        <v>5280</v>
      </c>
      <c r="F309" s="41">
        <f t="shared" si="16"/>
        <v>116160</v>
      </c>
      <c r="G309" s="42" t="s">
        <v>700</v>
      </c>
      <c r="H309" s="46">
        <f t="shared" si="17"/>
        <v>1393920</v>
      </c>
      <c r="I309" s="46">
        <f t="shared" si="18"/>
        <v>4181760</v>
      </c>
      <c r="J309" s="46">
        <v>50000</v>
      </c>
      <c r="K309" s="46">
        <v>250000</v>
      </c>
      <c r="L309" s="46">
        <v>50000</v>
      </c>
      <c r="M309" s="46">
        <f t="shared" si="19"/>
        <v>25090.560000000001</v>
      </c>
    </row>
    <row r="310" spans="1:13" ht="15" customHeight="1" thickBot="1" x14ac:dyDescent="0.35">
      <c r="A310" s="43"/>
      <c r="B310" s="44"/>
      <c r="C310" s="44"/>
      <c r="D310" s="53" t="s">
        <v>781</v>
      </c>
      <c r="E310" s="44"/>
      <c r="F310" s="44"/>
      <c r="G310" s="45"/>
      <c r="H310" s="47">
        <f t="shared" ref="H310:M310" si="20">SUM(H8:H309)</f>
        <v>673169492.00160003</v>
      </c>
      <c r="I310" s="47">
        <f t="shared" si="20"/>
        <v>2019508476.0048001</v>
      </c>
      <c r="J310" s="47">
        <f t="shared" si="20"/>
        <v>15100000</v>
      </c>
      <c r="K310" s="47">
        <f t="shared" si="20"/>
        <v>75500000</v>
      </c>
      <c r="L310" s="47">
        <f t="shared" si="20"/>
        <v>15100000</v>
      </c>
      <c r="M310" s="54">
        <f t="shared" si="20"/>
        <v>12117050.856028803</v>
      </c>
    </row>
    <row r="312" spans="1:13" ht="15.75" customHeight="1" x14ac:dyDescent="0.3"/>
    <row r="313" spans="1:13" ht="15.75" customHeight="1" x14ac:dyDescent="0.3"/>
    <row r="314" spans="1:13" ht="15.75" customHeight="1" x14ac:dyDescent="0.3"/>
    <row r="315" spans="1:13" ht="15.75" customHeight="1" x14ac:dyDescent="0.3"/>
    <row r="316" spans="1:13" ht="15.75" customHeight="1" x14ac:dyDescent="0.3"/>
    <row r="317" spans="1:13" ht="15.75" customHeight="1" x14ac:dyDescent="0.3"/>
    <row r="318" spans="1:13" ht="15.75" customHeight="1" x14ac:dyDescent="0.3"/>
    <row r="319" spans="1:13" ht="15.75" customHeight="1" x14ac:dyDescent="0.3"/>
    <row r="320" spans="1:13" ht="15.75" customHeight="1" x14ac:dyDescent="0.3"/>
    <row r="321" ht="15.75" customHeight="1" x14ac:dyDescent="0.3"/>
    <row r="322" ht="15.75" customHeight="1" x14ac:dyDescent="0.3"/>
  </sheetData>
  <autoFilter ref="A7:M310" xr:uid="{B87FD7C5-6EED-423A-B380-B01B600F5A9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CBEF-6677-4602-A5BA-002C6761526F}">
  <dimension ref="A1:M93"/>
  <sheetViews>
    <sheetView topLeftCell="A87" zoomScale="90" zoomScaleNormal="90" workbookViewId="0">
      <selection activeCell="B7" sqref="B7"/>
    </sheetView>
  </sheetViews>
  <sheetFormatPr defaultColWidth="20.44140625" defaultRowHeight="33" customHeight="1" x14ac:dyDescent="0.3"/>
  <cols>
    <col min="1" max="1" width="7" customWidth="1"/>
    <col min="3" max="4" width="15.5546875" customWidth="1"/>
    <col min="5" max="5" width="15.5546875" style="58" customWidth="1"/>
    <col min="6" max="6" width="16.44140625" customWidth="1"/>
    <col min="7" max="7" width="27.77734375" customWidth="1"/>
    <col min="8" max="8" width="15.5546875" customWidth="1"/>
    <col min="9" max="9" width="16.77734375" customWidth="1"/>
    <col min="10" max="10" width="15.5546875" customWidth="1"/>
    <col min="11" max="11" width="15.21875" customWidth="1"/>
    <col min="12" max="12" width="15.5546875" customWidth="1"/>
    <col min="13" max="13" width="13.5546875" customWidth="1"/>
  </cols>
  <sheetData>
    <row r="1" spans="1:13" ht="15" customHeight="1" x14ac:dyDescent="0.3">
      <c r="E1" s="56" t="s">
        <v>782</v>
      </c>
      <c r="F1" s="14"/>
      <c r="G1" s="14"/>
    </row>
    <row r="2" spans="1:13" ht="15" customHeight="1" x14ac:dyDescent="0.3">
      <c r="E2" s="56"/>
      <c r="F2" s="14" t="s">
        <v>783</v>
      </c>
      <c r="G2" s="14"/>
    </row>
    <row r="3" spans="1:13" ht="15" customHeight="1" x14ac:dyDescent="0.3">
      <c r="E3" s="56"/>
      <c r="F3" s="14" t="s">
        <v>784</v>
      </c>
      <c r="G3" s="14"/>
    </row>
    <row r="4" spans="1:13" ht="15" customHeight="1" x14ac:dyDescent="0.3">
      <c r="E4" s="56" t="s">
        <v>785</v>
      </c>
      <c r="F4" s="14"/>
      <c r="G4" s="14"/>
    </row>
    <row r="5" spans="1:13" ht="15" customHeight="1" thickBot="1" x14ac:dyDescent="0.35">
      <c r="E5" s="57"/>
      <c r="F5" s="13"/>
      <c r="G5" s="13"/>
    </row>
    <row r="6" spans="1:13" ht="41.25" customHeight="1" thickBot="1" x14ac:dyDescent="0.35">
      <c r="A6" s="59" t="s">
        <v>11</v>
      </c>
      <c r="B6" s="63" t="s">
        <v>14</v>
      </c>
      <c r="C6" s="63" t="s">
        <v>292</v>
      </c>
      <c r="D6" s="63" t="s">
        <v>293</v>
      </c>
      <c r="E6" s="64" t="s">
        <v>786</v>
      </c>
      <c r="F6" s="63" t="s">
        <v>296</v>
      </c>
      <c r="G6" s="63" t="s">
        <v>787</v>
      </c>
      <c r="H6" s="63" t="s">
        <v>297</v>
      </c>
      <c r="I6" s="63" t="s">
        <v>25</v>
      </c>
      <c r="J6" s="63" t="s">
        <v>298</v>
      </c>
      <c r="K6" s="63" t="s">
        <v>27</v>
      </c>
      <c r="L6" s="63" t="s">
        <v>28</v>
      </c>
      <c r="M6" s="63" t="s">
        <v>29</v>
      </c>
    </row>
    <row r="7" spans="1:13" ht="15" customHeight="1" x14ac:dyDescent="0.3">
      <c r="A7" s="60">
        <v>1</v>
      </c>
      <c r="B7" s="16" t="s">
        <v>788</v>
      </c>
      <c r="C7" s="16" t="s">
        <v>789</v>
      </c>
      <c r="D7" s="5" t="s">
        <v>790</v>
      </c>
      <c r="E7" s="17">
        <v>368447.2</v>
      </c>
      <c r="F7" s="4" t="s">
        <v>34</v>
      </c>
      <c r="G7" s="18" t="s">
        <v>791</v>
      </c>
      <c r="H7" s="8">
        <f>E7*12</f>
        <v>4421366.4000000004</v>
      </c>
      <c r="I7" s="8">
        <f>H7*3</f>
        <v>13264099.200000001</v>
      </c>
      <c r="J7" s="8">
        <v>50000</v>
      </c>
      <c r="K7" s="8">
        <v>250000</v>
      </c>
      <c r="L7" s="8">
        <v>50000</v>
      </c>
      <c r="M7" s="8">
        <f>I7*6/1000</f>
        <v>79584.595199999996</v>
      </c>
    </row>
    <row r="8" spans="1:13" ht="15" customHeight="1" x14ac:dyDescent="0.3">
      <c r="A8" s="61">
        <v>2</v>
      </c>
      <c r="B8" s="19" t="s">
        <v>498</v>
      </c>
      <c r="C8" s="19" t="s">
        <v>792</v>
      </c>
      <c r="D8" s="5" t="s">
        <v>793</v>
      </c>
      <c r="E8" s="20">
        <v>186250</v>
      </c>
      <c r="F8" s="16" t="s">
        <v>34</v>
      </c>
      <c r="G8" s="21" t="s">
        <v>794</v>
      </c>
      <c r="H8" s="8">
        <f t="shared" ref="H8:H71" si="0">E8*12</f>
        <v>2235000</v>
      </c>
      <c r="I8" s="8">
        <f t="shared" ref="I8:I71" si="1">H8*3</f>
        <v>6705000</v>
      </c>
      <c r="J8" s="8">
        <v>50000</v>
      </c>
      <c r="K8" s="8">
        <v>250000</v>
      </c>
      <c r="L8" s="8">
        <v>50000</v>
      </c>
      <c r="M8" s="8">
        <f t="shared" ref="M8:M71" si="2">I8*6/1000</f>
        <v>40230</v>
      </c>
    </row>
    <row r="9" spans="1:13" ht="31.35" customHeight="1" x14ac:dyDescent="0.3">
      <c r="A9" s="61">
        <v>3</v>
      </c>
      <c r="B9" s="16" t="s">
        <v>485</v>
      </c>
      <c r="C9" s="16" t="s">
        <v>630</v>
      </c>
      <c r="D9" s="5" t="s">
        <v>795</v>
      </c>
      <c r="E9" s="17">
        <v>184900</v>
      </c>
      <c r="F9" s="19" t="s">
        <v>43</v>
      </c>
      <c r="G9" s="16" t="s">
        <v>796</v>
      </c>
      <c r="H9" s="8">
        <f t="shared" si="0"/>
        <v>2218800</v>
      </c>
      <c r="I9" s="8">
        <f t="shared" si="1"/>
        <v>6656400</v>
      </c>
      <c r="J9" s="8">
        <v>50000</v>
      </c>
      <c r="K9" s="8">
        <v>250000</v>
      </c>
      <c r="L9" s="8">
        <v>50000</v>
      </c>
      <c r="M9" s="8">
        <f t="shared" si="2"/>
        <v>39938.400000000001</v>
      </c>
    </row>
    <row r="10" spans="1:13" ht="42.75" customHeight="1" x14ac:dyDescent="0.3">
      <c r="A10" s="61">
        <v>4</v>
      </c>
      <c r="B10" s="19" t="s">
        <v>797</v>
      </c>
      <c r="C10" s="19" t="s">
        <v>798</v>
      </c>
      <c r="D10" s="5" t="s">
        <v>799</v>
      </c>
      <c r="E10" s="20">
        <v>390672.04</v>
      </c>
      <c r="F10" s="16" t="s">
        <v>664</v>
      </c>
      <c r="G10" s="19" t="s">
        <v>796</v>
      </c>
      <c r="H10" s="8">
        <f t="shared" si="0"/>
        <v>4688064.4799999995</v>
      </c>
      <c r="I10" s="8">
        <f t="shared" si="1"/>
        <v>14064193.439999998</v>
      </c>
      <c r="J10" s="8">
        <v>50000</v>
      </c>
      <c r="K10" s="8">
        <v>250000</v>
      </c>
      <c r="L10" s="8">
        <v>50000</v>
      </c>
      <c r="M10" s="8">
        <f t="shared" si="2"/>
        <v>84385.160639999987</v>
      </c>
    </row>
    <row r="11" spans="1:13" ht="15" customHeight="1" x14ac:dyDescent="0.3">
      <c r="A11" s="61">
        <v>5</v>
      </c>
      <c r="B11" s="16" t="s">
        <v>800</v>
      </c>
      <c r="C11" s="16" t="s">
        <v>507</v>
      </c>
      <c r="D11" s="5" t="s">
        <v>801</v>
      </c>
      <c r="E11" s="17">
        <v>958462.61</v>
      </c>
      <c r="F11" s="19" t="s">
        <v>34</v>
      </c>
      <c r="G11" s="16" t="s">
        <v>802</v>
      </c>
      <c r="H11" s="8">
        <f t="shared" si="0"/>
        <v>11501551.32</v>
      </c>
      <c r="I11" s="8">
        <f t="shared" si="1"/>
        <v>34504653.960000001</v>
      </c>
      <c r="J11" s="8">
        <v>50000</v>
      </c>
      <c r="K11" s="8">
        <v>250000</v>
      </c>
      <c r="L11" s="8">
        <v>50000</v>
      </c>
      <c r="M11" s="8">
        <f t="shared" si="2"/>
        <v>207027.92375999998</v>
      </c>
    </row>
    <row r="12" spans="1:13" ht="15" customHeight="1" x14ac:dyDescent="0.3">
      <c r="A12" s="61">
        <v>6</v>
      </c>
      <c r="B12" s="19" t="s">
        <v>498</v>
      </c>
      <c r="C12" s="19" t="s">
        <v>803</v>
      </c>
      <c r="D12" s="5" t="s">
        <v>804</v>
      </c>
      <c r="E12" s="20">
        <v>731080.05</v>
      </c>
      <c r="F12" s="16" t="s">
        <v>34</v>
      </c>
      <c r="G12" s="19" t="s">
        <v>805</v>
      </c>
      <c r="H12" s="8">
        <f t="shared" si="0"/>
        <v>8772960.6000000015</v>
      </c>
      <c r="I12" s="8">
        <f t="shared" si="1"/>
        <v>26318881.800000004</v>
      </c>
      <c r="J12" s="8">
        <v>50000</v>
      </c>
      <c r="K12" s="8">
        <v>250000</v>
      </c>
      <c r="L12" s="8">
        <v>50000</v>
      </c>
      <c r="M12" s="8">
        <f t="shared" si="2"/>
        <v>157913.29080000002</v>
      </c>
    </row>
    <row r="13" spans="1:13" ht="15" customHeight="1" x14ac:dyDescent="0.3">
      <c r="A13" s="61">
        <v>7</v>
      </c>
      <c r="B13" s="16" t="s">
        <v>806</v>
      </c>
      <c r="C13" s="16" t="s">
        <v>807</v>
      </c>
      <c r="D13" s="5" t="s">
        <v>808</v>
      </c>
      <c r="E13" s="17">
        <v>341116.88</v>
      </c>
      <c r="F13" s="19" t="s">
        <v>664</v>
      </c>
      <c r="G13" s="18" t="s">
        <v>805</v>
      </c>
      <c r="H13" s="8">
        <f t="shared" si="0"/>
        <v>4093402.56</v>
      </c>
      <c r="I13" s="8">
        <f t="shared" si="1"/>
        <v>12280207.68</v>
      </c>
      <c r="J13" s="8">
        <v>50000</v>
      </c>
      <c r="K13" s="8">
        <v>250000</v>
      </c>
      <c r="L13" s="8">
        <v>50000</v>
      </c>
      <c r="M13" s="8">
        <f t="shared" si="2"/>
        <v>73681.246079999997</v>
      </c>
    </row>
    <row r="14" spans="1:13" ht="15" customHeight="1" x14ac:dyDescent="0.3">
      <c r="A14" s="61">
        <v>8</v>
      </c>
      <c r="B14" s="19" t="s">
        <v>809</v>
      </c>
      <c r="C14" s="19" t="s">
        <v>810</v>
      </c>
      <c r="D14" s="5" t="s">
        <v>811</v>
      </c>
      <c r="E14" s="20">
        <v>160000</v>
      </c>
      <c r="F14" s="16" t="s">
        <v>43</v>
      </c>
      <c r="G14" s="19" t="s">
        <v>802</v>
      </c>
      <c r="H14" s="8">
        <f t="shared" si="0"/>
        <v>1920000</v>
      </c>
      <c r="I14" s="8">
        <f t="shared" si="1"/>
        <v>5760000</v>
      </c>
      <c r="J14" s="8">
        <v>50000</v>
      </c>
      <c r="K14" s="8">
        <v>250000</v>
      </c>
      <c r="L14" s="8">
        <v>50000</v>
      </c>
      <c r="M14" s="8">
        <f t="shared" si="2"/>
        <v>34560</v>
      </c>
    </row>
    <row r="15" spans="1:13" ht="15" customHeight="1" x14ac:dyDescent="0.3">
      <c r="A15" s="61">
        <v>9</v>
      </c>
      <c r="B15" s="16" t="s">
        <v>753</v>
      </c>
      <c r="C15" s="16" t="s">
        <v>812</v>
      </c>
      <c r="D15" s="5" t="s">
        <v>813</v>
      </c>
      <c r="E15" s="17">
        <v>573650</v>
      </c>
      <c r="F15" s="19" t="s">
        <v>34</v>
      </c>
      <c r="G15" s="16" t="s">
        <v>802</v>
      </c>
      <c r="H15" s="8">
        <f t="shared" si="0"/>
        <v>6883800</v>
      </c>
      <c r="I15" s="8">
        <f t="shared" si="1"/>
        <v>20651400</v>
      </c>
      <c r="J15" s="8">
        <v>50000</v>
      </c>
      <c r="K15" s="8">
        <v>250000</v>
      </c>
      <c r="L15" s="8">
        <v>50000</v>
      </c>
      <c r="M15" s="8">
        <f t="shared" si="2"/>
        <v>123908.4</v>
      </c>
    </row>
    <row r="16" spans="1:13" ht="15" customHeight="1" x14ac:dyDescent="0.3">
      <c r="A16" s="61">
        <v>10</v>
      </c>
      <c r="B16" s="19" t="s">
        <v>814</v>
      </c>
      <c r="C16" s="19" t="s">
        <v>405</v>
      </c>
      <c r="D16" s="5" t="s">
        <v>815</v>
      </c>
      <c r="E16" s="20">
        <v>618229.18000000005</v>
      </c>
      <c r="F16" s="16" t="s">
        <v>34</v>
      </c>
      <c r="G16" s="21" t="s">
        <v>816</v>
      </c>
      <c r="H16" s="8">
        <f t="shared" si="0"/>
        <v>7418750.1600000001</v>
      </c>
      <c r="I16" s="8">
        <f t="shared" si="1"/>
        <v>22256250.48</v>
      </c>
      <c r="J16" s="8">
        <v>50000</v>
      </c>
      <c r="K16" s="8">
        <v>250000</v>
      </c>
      <c r="L16" s="8">
        <v>50000</v>
      </c>
      <c r="M16" s="8">
        <f t="shared" si="2"/>
        <v>133537.50287999999</v>
      </c>
    </row>
    <row r="17" spans="1:13" ht="15" customHeight="1" x14ac:dyDescent="0.3">
      <c r="A17" s="61">
        <v>11</v>
      </c>
      <c r="B17" s="16" t="s">
        <v>774</v>
      </c>
      <c r="C17" s="16" t="s">
        <v>817</v>
      </c>
      <c r="D17" s="5" t="s">
        <v>795</v>
      </c>
      <c r="E17" s="17">
        <v>130693.75</v>
      </c>
      <c r="F17" s="19" t="s">
        <v>700</v>
      </c>
      <c r="G17" s="18" t="s">
        <v>802</v>
      </c>
      <c r="H17" s="8">
        <f t="shared" si="0"/>
        <v>1568325</v>
      </c>
      <c r="I17" s="8">
        <f t="shared" si="1"/>
        <v>4704975</v>
      </c>
      <c r="J17" s="8">
        <v>50000</v>
      </c>
      <c r="K17" s="8">
        <v>250000</v>
      </c>
      <c r="L17" s="8">
        <v>50000</v>
      </c>
      <c r="M17" s="8">
        <f t="shared" si="2"/>
        <v>28229.85</v>
      </c>
    </row>
    <row r="18" spans="1:13" ht="15" customHeight="1" x14ac:dyDescent="0.3">
      <c r="A18" s="61">
        <v>12</v>
      </c>
      <c r="B18" s="19" t="s">
        <v>94</v>
      </c>
      <c r="C18" s="19" t="s">
        <v>670</v>
      </c>
      <c r="D18" s="5" t="s">
        <v>818</v>
      </c>
      <c r="E18" s="20">
        <v>795939.38</v>
      </c>
      <c r="F18" s="16" t="s">
        <v>664</v>
      </c>
      <c r="G18" s="21" t="s">
        <v>819</v>
      </c>
      <c r="H18" s="8">
        <f t="shared" si="0"/>
        <v>9551272.5600000005</v>
      </c>
      <c r="I18" s="8">
        <f t="shared" si="1"/>
        <v>28653817.68</v>
      </c>
      <c r="J18" s="8">
        <v>50000</v>
      </c>
      <c r="K18" s="8">
        <v>250000</v>
      </c>
      <c r="L18" s="8">
        <v>50000</v>
      </c>
      <c r="M18" s="8">
        <f t="shared" si="2"/>
        <v>171922.90607999999</v>
      </c>
    </row>
    <row r="19" spans="1:13" ht="15" customHeight="1" x14ac:dyDescent="0.3">
      <c r="A19" s="61">
        <v>13</v>
      </c>
      <c r="B19" s="16" t="s">
        <v>389</v>
      </c>
      <c r="C19" s="16" t="s">
        <v>594</v>
      </c>
      <c r="D19" s="5" t="s">
        <v>795</v>
      </c>
      <c r="E19" s="17">
        <v>160000</v>
      </c>
      <c r="F19" s="19" t="s">
        <v>43</v>
      </c>
      <c r="G19" s="18" t="s">
        <v>796</v>
      </c>
      <c r="H19" s="8">
        <f t="shared" si="0"/>
        <v>1920000</v>
      </c>
      <c r="I19" s="8">
        <f t="shared" si="1"/>
        <v>5760000</v>
      </c>
      <c r="J19" s="8">
        <v>50000</v>
      </c>
      <c r="K19" s="8">
        <v>250000</v>
      </c>
      <c r="L19" s="8">
        <v>50000</v>
      </c>
      <c r="M19" s="8">
        <f t="shared" si="2"/>
        <v>34560</v>
      </c>
    </row>
    <row r="20" spans="1:13" ht="15" customHeight="1" x14ac:dyDescent="0.3">
      <c r="A20" s="61">
        <v>14</v>
      </c>
      <c r="B20" s="19" t="s">
        <v>568</v>
      </c>
      <c r="C20" s="19" t="s">
        <v>820</v>
      </c>
      <c r="D20" s="5" t="s">
        <v>821</v>
      </c>
      <c r="E20" s="20">
        <v>891578.44</v>
      </c>
      <c r="F20" s="16" t="s">
        <v>34</v>
      </c>
      <c r="G20" s="19" t="s">
        <v>822</v>
      </c>
      <c r="H20" s="8">
        <f t="shared" si="0"/>
        <v>10698941.279999999</v>
      </c>
      <c r="I20" s="8">
        <f t="shared" si="1"/>
        <v>32096823.839999996</v>
      </c>
      <c r="J20" s="8">
        <v>50000</v>
      </c>
      <c r="K20" s="8">
        <v>250000</v>
      </c>
      <c r="L20" s="8">
        <v>50000</v>
      </c>
      <c r="M20" s="8">
        <f t="shared" si="2"/>
        <v>192580.94303999995</v>
      </c>
    </row>
    <row r="21" spans="1:13" ht="15" customHeight="1" x14ac:dyDescent="0.3">
      <c r="A21" s="61">
        <v>15</v>
      </c>
      <c r="B21" s="16" t="s">
        <v>447</v>
      </c>
      <c r="C21" s="16" t="s">
        <v>823</v>
      </c>
      <c r="D21" s="5" t="s">
        <v>795</v>
      </c>
      <c r="E21" s="17">
        <v>180500</v>
      </c>
      <c r="F21" s="19" t="s">
        <v>43</v>
      </c>
      <c r="G21" s="16" t="s">
        <v>796</v>
      </c>
      <c r="H21" s="8">
        <f t="shared" si="0"/>
        <v>2166000</v>
      </c>
      <c r="I21" s="8">
        <f t="shared" si="1"/>
        <v>6498000</v>
      </c>
      <c r="J21" s="8">
        <v>50000</v>
      </c>
      <c r="K21" s="8">
        <v>250000</v>
      </c>
      <c r="L21" s="8">
        <v>50000</v>
      </c>
      <c r="M21" s="8">
        <f t="shared" si="2"/>
        <v>38988</v>
      </c>
    </row>
    <row r="22" spans="1:13" ht="15" customHeight="1" x14ac:dyDescent="0.3">
      <c r="A22" s="61">
        <v>16</v>
      </c>
      <c r="B22" s="19" t="s">
        <v>824</v>
      </c>
      <c r="C22" s="19" t="s">
        <v>825</v>
      </c>
      <c r="D22" s="5" t="s">
        <v>826</v>
      </c>
      <c r="E22" s="20">
        <v>1326651.3</v>
      </c>
      <c r="F22" s="16" t="s">
        <v>43</v>
      </c>
      <c r="G22" s="19" t="s">
        <v>802</v>
      </c>
      <c r="H22" s="8">
        <f t="shared" si="0"/>
        <v>15919815.600000001</v>
      </c>
      <c r="I22" s="8">
        <f t="shared" si="1"/>
        <v>47759446.800000004</v>
      </c>
      <c r="J22" s="8">
        <v>50000</v>
      </c>
      <c r="K22" s="8">
        <v>250000</v>
      </c>
      <c r="L22" s="8">
        <v>50000</v>
      </c>
      <c r="M22" s="8">
        <f t="shared" si="2"/>
        <v>286556.68080000003</v>
      </c>
    </row>
    <row r="23" spans="1:13" ht="15" customHeight="1" x14ac:dyDescent="0.3">
      <c r="A23" s="61">
        <v>17</v>
      </c>
      <c r="B23" s="16" t="s">
        <v>502</v>
      </c>
      <c r="C23" s="16" t="s">
        <v>827</v>
      </c>
      <c r="D23" s="5" t="s">
        <v>821</v>
      </c>
      <c r="E23" s="17">
        <v>457100</v>
      </c>
      <c r="F23" s="19" t="s">
        <v>43</v>
      </c>
      <c r="G23" s="16" t="s">
        <v>828</v>
      </c>
      <c r="H23" s="8">
        <f t="shared" si="0"/>
        <v>5485200</v>
      </c>
      <c r="I23" s="8">
        <f t="shared" si="1"/>
        <v>16455600</v>
      </c>
      <c r="J23" s="8">
        <v>50000</v>
      </c>
      <c r="K23" s="8">
        <v>250000</v>
      </c>
      <c r="L23" s="8">
        <v>50000</v>
      </c>
      <c r="M23" s="8">
        <f t="shared" si="2"/>
        <v>98733.6</v>
      </c>
    </row>
    <row r="24" spans="1:13" ht="15" customHeight="1" x14ac:dyDescent="0.3">
      <c r="A24" s="61">
        <v>18</v>
      </c>
      <c r="B24" s="19" t="s">
        <v>829</v>
      </c>
      <c r="C24" s="19" t="s">
        <v>493</v>
      </c>
      <c r="D24" s="5" t="s">
        <v>793</v>
      </c>
      <c r="E24" s="20">
        <v>186250</v>
      </c>
      <c r="F24" s="16" t="s">
        <v>43</v>
      </c>
      <c r="G24" s="21" t="s">
        <v>822</v>
      </c>
      <c r="H24" s="8">
        <f t="shared" si="0"/>
        <v>2235000</v>
      </c>
      <c r="I24" s="8">
        <f t="shared" si="1"/>
        <v>6705000</v>
      </c>
      <c r="J24" s="8">
        <v>50000</v>
      </c>
      <c r="K24" s="8">
        <v>250000</v>
      </c>
      <c r="L24" s="8">
        <v>50000</v>
      </c>
      <c r="M24" s="8">
        <f t="shared" si="2"/>
        <v>40230</v>
      </c>
    </row>
    <row r="25" spans="1:13" ht="15" customHeight="1" x14ac:dyDescent="0.3">
      <c r="A25" s="61">
        <v>19</v>
      </c>
      <c r="B25" s="16" t="s">
        <v>311</v>
      </c>
      <c r="C25" s="16" t="s">
        <v>830</v>
      </c>
      <c r="D25" s="5" t="s">
        <v>831</v>
      </c>
      <c r="E25" s="17">
        <v>577942.55000000005</v>
      </c>
      <c r="F25" s="19" t="s">
        <v>34</v>
      </c>
      <c r="G25" s="16" t="s">
        <v>802</v>
      </c>
      <c r="H25" s="8">
        <f t="shared" si="0"/>
        <v>6935310.6000000006</v>
      </c>
      <c r="I25" s="8">
        <f t="shared" si="1"/>
        <v>20805931.800000001</v>
      </c>
      <c r="J25" s="8">
        <v>50000</v>
      </c>
      <c r="K25" s="8">
        <v>250000</v>
      </c>
      <c r="L25" s="8">
        <v>50000</v>
      </c>
      <c r="M25" s="8">
        <f t="shared" si="2"/>
        <v>124835.59080000001</v>
      </c>
    </row>
    <row r="26" spans="1:13" ht="15" customHeight="1" x14ac:dyDescent="0.3">
      <c r="A26" s="61">
        <v>20</v>
      </c>
      <c r="B26" s="19" t="s">
        <v>832</v>
      </c>
      <c r="C26" s="19" t="s">
        <v>833</v>
      </c>
      <c r="D26" s="5" t="s">
        <v>834</v>
      </c>
      <c r="E26" s="20">
        <v>345092.5</v>
      </c>
      <c r="F26" s="16" t="s">
        <v>43</v>
      </c>
      <c r="G26" s="19" t="s">
        <v>802</v>
      </c>
      <c r="H26" s="8">
        <f t="shared" si="0"/>
        <v>4141110</v>
      </c>
      <c r="I26" s="8">
        <f t="shared" si="1"/>
        <v>12423330</v>
      </c>
      <c r="J26" s="8">
        <v>50000</v>
      </c>
      <c r="K26" s="8">
        <v>250000</v>
      </c>
      <c r="L26" s="8">
        <v>50000</v>
      </c>
      <c r="M26" s="8">
        <f t="shared" si="2"/>
        <v>74539.98</v>
      </c>
    </row>
    <row r="27" spans="1:13" ht="15" customHeight="1" x14ac:dyDescent="0.3">
      <c r="A27" s="61">
        <v>21</v>
      </c>
      <c r="B27" s="16" t="s">
        <v>716</v>
      </c>
      <c r="C27" s="16" t="s">
        <v>835</v>
      </c>
      <c r="D27" s="5" t="s">
        <v>107</v>
      </c>
      <c r="E27" s="17">
        <v>436876.13</v>
      </c>
      <c r="F27" s="19" t="s">
        <v>34</v>
      </c>
      <c r="G27" s="18" t="s">
        <v>828</v>
      </c>
      <c r="H27" s="8">
        <f t="shared" si="0"/>
        <v>5242513.5600000005</v>
      </c>
      <c r="I27" s="8">
        <f t="shared" si="1"/>
        <v>15727540.680000002</v>
      </c>
      <c r="J27" s="8">
        <v>50000</v>
      </c>
      <c r="K27" s="8">
        <v>250000</v>
      </c>
      <c r="L27" s="8">
        <v>50000</v>
      </c>
      <c r="M27" s="8">
        <f t="shared" si="2"/>
        <v>94365.244080000019</v>
      </c>
    </row>
    <row r="28" spans="1:13" ht="15" customHeight="1" x14ac:dyDescent="0.3">
      <c r="A28" s="61">
        <v>22</v>
      </c>
      <c r="B28" s="19" t="s">
        <v>836</v>
      </c>
      <c r="C28" s="19" t="s">
        <v>837</v>
      </c>
      <c r="D28" s="5" t="s">
        <v>838</v>
      </c>
      <c r="E28" s="20">
        <v>56250</v>
      </c>
      <c r="F28" s="16" t="s">
        <v>700</v>
      </c>
      <c r="G28" s="21" t="s">
        <v>805</v>
      </c>
      <c r="H28" s="8">
        <f t="shared" si="0"/>
        <v>675000</v>
      </c>
      <c r="I28" s="8">
        <f t="shared" si="1"/>
        <v>2025000</v>
      </c>
      <c r="J28" s="8">
        <v>50000</v>
      </c>
      <c r="K28" s="8">
        <v>250000</v>
      </c>
      <c r="L28" s="8">
        <v>50000</v>
      </c>
      <c r="M28" s="8">
        <f t="shared" si="2"/>
        <v>12150</v>
      </c>
    </row>
    <row r="29" spans="1:13" ht="15" customHeight="1" x14ac:dyDescent="0.3">
      <c r="A29" s="61">
        <v>23</v>
      </c>
      <c r="B29" s="16" t="s">
        <v>839</v>
      </c>
      <c r="C29" s="16" t="s">
        <v>840</v>
      </c>
      <c r="D29" s="5" t="s">
        <v>841</v>
      </c>
      <c r="E29" s="17">
        <v>279375</v>
      </c>
      <c r="F29" s="19" t="s">
        <v>700</v>
      </c>
      <c r="G29" s="16" t="s">
        <v>828</v>
      </c>
      <c r="H29" s="8">
        <f t="shared" si="0"/>
        <v>3352500</v>
      </c>
      <c r="I29" s="8">
        <f t="shared" si="1"/>
        <v>10057500</v>
      </c>
      <c r="J29" s="8">
        <v>50000</v>
      </c>
      <c r="K29" s="8">
        <v>250000</v>
      </c>
      <c r="L29" s="8">
        <v>50000</v>
      </c>
      <c r="M29" s="8">
        <f t="shared" si="2"/>
        <v>60345</v>
      </c>
    </row>
    <row r="30" spans="1:13" ht="15" customHeight="1" x14ac:dyDescent="0.3">
      <c r="A30" s="61">
        <v>24</v>
      </c>
      <c r="B30" s="19" t="s">
        <v>118</v>
      </c>
      <c r="C30" s="19" t="s">
        <v>842</v>
      </c>
      <c r="D30" s="5" t="s">
        <v>795</v>
      </c>
      <c r="E30" s="20">
        <v>170000</v>
      </c>
      <c r="F30" s="16" t="s">
        <v>34</v>
      </c>
      <c r="G30" s="19" t="s">
        <v>828</v>
      </c>
      <c r="H30" s="8">
        <f t="shared" si="0"/>
        <v>2040000</v>
      </c>
      <c r="I30" s="8">
        <f t="shared" si="1"/>
        <v>6120000</v>
      </c>
      <c r="J30" s="8">
        <v>50000</v>
      </c>
      <c r="K30" s="8">
        <v>250000</v>
      </c>
      <c r="L30" s="8">
        <v>50000</v>
      </c>
      <c r="M30" s="8">
        <f t="shared" si="2"/>
        <v>36720</v>
      </c>
    </row>
    <row r="31" spans="1:13" ht="15" customHeight="1" x14ac:dyDescent="0.3">
      <c r="A31" s="61">
        <v>25</v>
      </c>
      <c r="B31" s="16" t="s">
        <v>843</v>
      </c>
      <c r="C31" s="16" t="s">
        <v>844</v>
      </c>
      <c r="D31" s="5" t="s">
        <v>845</v>
      </c>
      <c r="E31" s="17">
        <v>1125000</v>
      </c>
      <c r="F31" s="19" t="s">
        <v>34</v>
      </c>
      <c r="G31" s="18" t="s">
        <v>796</v>
      </c>
      <c r="H31" s="8">
        <f t="shared" si="0"/>
        <v>13500000</v>
      </c>
      <c r="I31" s="8">
        <f t="shared" si="1"/>
        <v>40500000</v>
      </c>
      <c r="J31" s="8">
        <v>50000</v>
      </c>
      <c r="K31" s="8">
        <v>250000</v>
      </c>
      <c r="L31" s="8">
        <v>50000</v>
      </c>
      <c r="M31" s="8">
        <f t="shared" si="2"/>
        <v>243000</v>
      </c>
    </row>
    <row r="32" spans="1:13" ht="15" customHeight="1" x14ac:dyDescent="0.3">
      <c r="A32" s="61">
        <v>26</v>
      </c>
      <c r="B32" s="19" t="s">
        <v>663</v>
      </c>
      <c r="C32" s="19" t="s">
        <v>846</v>
      </c>
      <c r="D32" s="5" t="s">
        <v>793</v>
      </c>
      <c r="E32" s="20">
        <v>186250</v>
      </c>
      <c r="F32" s="16" t="s">
        <v>664</v>
      </c>
      <c r="G32" s="21" t="s">
        <v>828</v>
      </c>
      <c r="H32" s="8">
        <f t="shared" si="0"/>
        <v>2235000</v>
      </c>
      <c r="I32" s="8">
        <f t="shared" si="1"/>
        <v>6705000</v>
      </c>
      <c r="J32" s="8">
        <v>50000</v>
      </c>
      <c r="K32" s="8">
        <v>250000</v>
      </c>
      <c r="L32" s="8">
        <v>50000</v>
      </c>
      <c r="M32" s="8">
        <f t="shared" si="2"/>
        <v>40230</v>
      </c>
    </row>
    <row r="33" spans="1:13" ht="15" customHeight="1" x14ac:dyDescent="0.3">
      <c r="A33" s="61">
        <v>27</v>
      </c>
      <c r="B33" s="16" t="s">
        <v>568</v>
      </c>
      <c r="C33" s="16" t="s">
        <v>847</v>
      </c>
      <c r="D33" s="5" t="s">
        <v>107</v>
      </c>
      <c r="E33" s="17">
        <v>388951.46</v>
      </c>
      <c r="F33" s="19" t="s">
        <v>43</v>
      </c>
      <c r="G33" s="16" t="s">
        <v>796</v>
      </c>
      <c r="H33" s="8">
        <f t="shared" si="0"/>
        <v>4667417.5200000005</v>
      </c>
      <c r="I33" s="8">
        <f t="shared" si="1"/>
        <v>14002252.560000002</v>
      </c>
      <c r="J33" s="8">
        <v>50000</v>
      </c>
      <c r="K33" s="8">
        <v>250000</v>
      </c>
      <c r="L33" s="8">
        <v>50000</v>
      </c>
      <c r="M33" s="8">
        <f t="shared" si="2"/>
        <v>84013.515360000019</v>
      </c>
    </row>
    <row r="34" spans="1:13" ht="15" customHeight="1" x14ac:dyDescent="0.3">
      <c r="A34" s="61">
        <v>28</v>
      </c>
      <c r="B34" s="19" t="s">
        <v>628</v>
      </c>
      <c r="C34" s="19" t="s">
        <v>848</v>
      </c>
      <c r="D34" s="5" t="s">
        <v>849</v>
      </c>
      <c r="E34" s="20">
        <v>1229250</v>
      </c>
      <c r="F34" s="16" t="s">
        <v>34</v>
      </c>
      <c r="G34" s="21" t="s">
        <v>805</v>
      </c>
      <c r="H34" s="8">
        <f t="shared" si="0"/>
        <v>14751000</v>
      </c>
      <c r="I34" s="8">
        <f t="shared" si="1"/>
        <v>44253000</v>
      </c>
      <c r="J34" s="8">
        <v>50000</v>
      </c>
      <c r="K34" s="8">
        <v>250000</v>
      </c>
      <c r="L34" s="8">
        <v>50000</v>
      </c>
      <c r="M34" s="8">
        <f t="shared" si="2"/>
        <v>265518</v>
      </c>
    </row>
    <row r="35" spans="1:13" ht="15" customHeight="1" x14ac:dyDescent="0.3">
      <c r="A35" s="61">
        <v>29</v>
      </c>
      <c r="B35" s="16" t="s">
        <v>850</v>
      </c>
      <c r="C35" s="16" t="s">
        <v>851</v>
      </c>
      <c r="D35" s="5" t="s">
        <v>150</v>
      </c>
      <c r="E35" s="17">
        <v>543229.16</v>
      </c>
      <c r="F35" s="19" t="s">
        <v>664</v>
      </c>
      <c r="G35" s="18" t="s">
        <v>816</v>
      </c>
      <c r="H35" s="8">
        <f t="shared" si="0"/>
        <v>6518749.9199999999</v>
      </c>
      <c r="I35" s="8">
        <f t="shared" si="1"/>
        <v>19556249.759999998</v>
      </c>
      <c r="J35" s="8">
        <v>50000</v>
      </c>
      <c r="K35" s="8">
        <v>250000</v>
      </c>
      <c r="L35" s="8">
        <v>50000</v>
      </c>
      <c r="M35" s="8">
        <f t="shared" si="2"/>
        <v>117337.49855999999</v>
      </c>
    </row>
    <row r="36" spans="1:13" ht="15" customHeight="1" x14ac:dyDescent="0.3">
      <c r="A36" s="61">
        <v>30</v>
      </c>
      <c r="B36" s="19" t="s">
        <v>185</v>
      </c>
      <c r="C36" s="19" t="s">
        <v>852</v>
      </c>
      <c r="D36" s="5" t="s">
        <v>853</v>
      </c>
      <c r="E36" s="20">
        <v>204875</v>
      </c>
      <c r="F36" s="16" t="s">
        <v>34</v>
      </c>
      <c r="G36" s="19" t="s">
        <v>828</v>
      </c>
      <c r="H36" s="8">
        <f t="shared" si="0"/>
        <v>2458500</v>
      </c>
      <c r="I36" s="8">
        <f t="shared" si="1"/>
        <v>7375500</v>
      </c>
      <c r="J36" s="8">
        <v>50000</v>
      </c>
      <c r="K36" s="8">
        <v>250000</v>
      </c>
      <c r="L36" s="8">
        <v>50000</v>
      </c>
      <c r="M36" s="8">
        <f t="shared" si="2"/>
        <v>44253</v>
      </c>
    </row>
    <row r="37" spans="1:13" ht="15" customHeight="1" x14ac:dyDescent="0.3">
      <c r="A37" s="61">
        <v>31</v>
      </c>
      <c r="B37" s="16" t="s">
        <v>185</v>
      </c>
      <c r="C37" s="16" t="s">
        <v>854</v>
      </c>
      <c r="D37" s="5" t="s">
        <v>795</v>
      </c>
      <c r="E37" s="17">
        <v>170000</v>
      </c>
      <c r="F37" s="19" t="s">
        <v>43</v>
      </c>
      <c r="G37" s="18" t="s">
        <v>796</v>
      </c>
      <c r="H37" s="8">
        <f t="shared" si="0"/>
        <v>2040000</v>
      </c>
      <c r="I37" s="8">
        <f t="shared" si="1"/>
        <v>6120000</v>
      </c>
      <c r="J37" s="8">
        <v>50000</v>
      </c>
      <c r="K37" s="8">
        <v>250000</v>
      </c>
      <c r="L37" s="8">
        <v>50000</v>
      </c>
      <c r="M37" s="8">
        <f t="shared" si="2"/>
        <v>36720</v>
      </c>
    </row>
    <row r="38" spans="1:13" ht="15" customHeight="1" x14ac:dyDescent="0.3">
      <c r="A38" s="61">
        <v>32</v>
      </c>
      <c r="B38" s="19" t="s">
        <v>855</v>
      </c>
      <c r="C38" s="19" t="s">
        <v>856</v>
      </c>
      <c r="D38" s="5" t="s">
        <v>857</v>
      </c>
      <c r="E38" s="20">
        <v>1008220.92</v>
      </c>
      <c r="F38" s="16" t="s">
        <v>34</v>
      </c>
      <c r="G38" s="19" t="s">
        <v>796</v>
      </c>
      <c r="H38" s="8">
        <f t="shared" si="0"/>
        <v>12098651.040000001</v>
      </c>
      <c r="I38" s="8">
        <f t="shared" si="1"/>
        <v>36295953.120000005</v>
      </c>
      <c r="J38" s="8">
        <v>50000</v>
      </c>
      <c r="K38" s="8">
        <v>250000</v>
      </c>
      <c r="L38" s="8">
        <v>50000</v>
      </c>
      <c r="M38" s="8">
        <f t="shared" si="2"/>
        <v>217775.71872000003</v>
      </c>
    </row>
    <row r="39" spans="1:13" ht="15" customHeight="1" x14ac:dyDescent="0.3">
      <c r="A39" s="61">
        <v>33</v>
      </c>
      <c r="B39" s="16" t="s">
        <v>858</v>
      </c>
      <c r="C39" s="16" t="s">
        <v>379</v>
      </c>
      <c r="D39" s="5" t="s">
        <v>795</v>
      </c>
      <c r="E39" s="17">
        <v>170000</v>
      </c>
      <c r="F39" s="19" t="s">
        <v>43</v>
      </c>
      <c r="G39" s="18" t="s">
        <v>816</v>
      </c>
      <c r="H39" s="8">
        <f t="shared" si="0"/>
        <v>2040000</v>
      </c>
      <c r="I39" s="8">
        <f t="shared" si="1"/>
        <v>6120000</v>
      </c>
      <c r="J39" s="8">
        <v>50000</v>
      </c>
      <c r="K39" s="8">
        <v>250000</v>
      </c>
      <c r="L39" s="8">
        <v>50000</v>
      </c>
      <c r="M39" s="8">
        <f t="shared" si="2"/>
        <v>36720</v>
      </c>
    </row>
    <row r="40" spans="1:13" ht="15" customHeight="1" x14ac:dyDescent="0.3">
      <c r="A40" s="61">
        <v>34</v>
      </c>
      <c r="B40" s="19" t="s">
        <v>859</v>
      </c>
      <c r="C40" s="19" t="s">
        <v>860</v>
      </c>
      <c r="D40" s="5" t="s">
        <v>861</v>
      </c>
      <c r="E40" s="20">
        <v>40975</v>
      </c>
      <c r="F40" s="16" t="s">
        <v>34</v>
      </c>
      <c r="G40" s="19" t="s">
        <v>796</v>
      </c>
      <c r="H40" s="8">
        <f t="shared" si="0"/>
        <v>491700</v>
      </c>
      <c r="I40" s="8">
        <f t="shared" si="1"/>
        <v>1475100</v>
      </c>
      <c r="J40" s="8">
        <v>50000</v>
      </c>
      <c r="K40" s="8">
        <v>250000</v>
      </c>
      <c r="L40" s="8">
        <v>50000</v>
      </c>
      <c r="M40" s="8">
        <f t="shared" si="2"/>
        <v>8850.6</v>
      </c>
    </row>
    <row r="41" spans="1:13" ht="15" customHeight="1" x14ac:dyDescent="0.3">
      <c r="A41" s="61">
        <v>35</v>
      </c>
      <c r="B41" s="16" t="s">
        <v>659</v>
      </c>
      <c r="C41" s="16" t="s">
        <v>431</v>
      </c>
      <c r="D41" s="5" t="s">
        <v>795</v>
      </c>
      <c r="E41" s="17">
        <v>160000</v>
      </c>
      <c r="F41" s="19" t="s">
        <v>34</v>
      </c>
      <c r="G41" s="16" t="s">
        <v>796</v>
      </c>
      <c r="H41" s="8">
        <f t="shared" si="0"/>
        <v>1920000</v>
      </c>
      <c r="I41" s="8">
        <f t="shared" si="1"/>
        <v>5760000</v>
      </c>
      <c r="J41" s="8">
        <v>50000</v>
      </c>
      <c r="K41" s="8">
        <v>250000</v>
      </c>
      <c r="L41" s="8">
        <v>50000</v>
      </c>
      <c r="M41" s="8">
        <f t="shared" si="2"/>
        <v>34560</v>
      </c>
    </row>
    <row r="42" spans="1:13" ht="15" customHeight="1" x14ac:dyDescent="0.3">
      <c r="A42" s="61">
        <v>36</v>
      </c>
      <c r="B42" s="19" t="s">
        <v>465</v>
      </c>
      <c r="C42" s="19" t="s">
        <v>862</v>
      </c>
      <c r="D42" s="5" t="s">
        <v>863</v>
      </c>
      <c r="E42" s="20">
        <v>121062.5</v>
      </c>
      <c r="F42" s="16" t="s">
        <v>43</v>
      </c>
      <c r="G42" s="21" t="s">
        <v>796</v>
      </c>
      <c r="H42" s="8">
        <f t="shared" si="0"/>
        <v>1452750</v>
      </c>
      <c r="I42" s="8">
        <f t="shared" si="1"/>
        <v>4358250</v>
      </c>
      <c r="J42" s="8">
        <v>50000</v>
      </c>
      <c r="K42" s="8">
        <v>250000</v>
      </c>
      <c r="L42" s="8">
        <v>50000</v>
      </c>
      <c r="M42" s="8">
        <f t="shared" si="2"/>
        <v>26149.5</v>
      </c>
    </row>
    <row r="43" spans="1:13" ht="15" customHeight="1" x14ac:dyDescent="0.3">
      <c r="A43" s="61">
        <v>37</v>
      </c>
      <c r="B43" s="16" t="s">
        <v>864</v>
      </c>
      <c r="C43" s="16" t="s">
        <v>865</v>
      </c>
      <c r="D43" s="5" t="s">
        <v>866</v>
      </c>
      <c r="E43" s="17">
        <v>465625</v>
      </c>
      <c r="F43" s="19" t="s">
        <v>43</v>
      </c>
      <c r="G43" s="18" t="s">
        <v>796</v>
      </c>
      <c r="H43" s="8">
        <f t="shared" si="0"/>
        <v>5587500</v>
      </c>
      <c r="I43" s="8">
        <f t="shared" si="1"/>
        <v>16762500</v>
      </c>
      <c r="J43" s="8">
        <v>50000</v>
      </c>
      <c r="K43" s="8">
        <v>250000</v>
      </c>
      <c r="L43" s="8">
        <v>50000</v>
      </c>
      <c r="M43" s="8">
        <f t="shared" si="2"/>
        <v>100575</v>
      </c>
    </row>
    <row r="44" spans="1:13" ht="15" customHeight="1" x14ac:dyDescent="0.3">
      <c r="A44" s="61">
        <v>38</v>
      </c>
      <c r="B44" s="19" t="s">
        <v>365</v>
      </c>
      <c r="C44" s="19" t="s">
        <v>867</v>
      </c>
      <c r="D44" s="5" t="s">
        <v>868</v>
      </c>
      <c r="E44" s="20">
        <v>186250</v>
      </c>
      <c r="F44" s="16" t="s">
        <v>34</v>
      </c>
      <c r="G44" s="19" t="s">
        <v>816</v>
      </c>
      <c r="H44" s="8">
        <f t="shared" si="0"/>
        <v>2235000</v>
      </c>
      <c r="I44" s="8">
        <f t="shared" si="1"/>
        <v>6705000</v>
      </c>
      <c r="J44" s="8">
        <v>50000</v>
      </c>
      <c r="K44" s="8">
        <v>250000</v>
      </c>
      <c r="L44" s="8">
        <v>50000</v>
      </c>
      <c r="M44" s="8">
        <f t="shared" si="2"/>
        <v>40230</v>
      </c>
    </row>
    <row r="45" spans="1:13" ht="15" customHeight="1" x14ac:dyDescent="0.3">
      <c r="A45" s="61">
        <v>39</v>
      </c>
      <c r="B45" s="16" t="s">
        <v>869</v>
      </c>
      <c r="C45" s="16" t="s">
        <v>870</v>
      </c>
      <c r="D45" s="5" t="s">
        <v>871</v>
      </c>
      <c r="E45" s="17">
        <v>339676.25</v>
      </c>
      <c r="F45" s="19" t="s">
        <v>43</v>
      </c>
      <c r="G45" s="18" t="s">
        <v>796</v>
      </c>
      <c r="H45" s="8">
        <f t="shared" si="0"/>
        <v>4076115</v>
      </c>
      <c r="I45" s="8">
        <f t="shared" si="1"/>
        <v>12228345</v>
      </c>
      <c r="J45" s="8">
        <v>50000</v>
      </c>
      <c r="K45" s="8">
        <v>250000</v>
      </c>
      <c r="L45" s="8">
        <v>50000</v>
      </c>
      <c r="M45" s="8">
        <f t="shared" si="2"/>
        <v>73370.070000000007</v>
      </c>
    </row>
    <row r="46" spans="1:13" ht="15" customHeight="1" x14ac:dyDescent="0.3">
      <c r="A46" s="61">
        <v>40</v>
      </c>
      <c r="B46" s="19" t="s">
        <v>344</v>
      </c>
      <c r="C46" s="19" t="s">
        <v>872</v>
      </c>
      <c r="D46" s="5" t="s">
        <v>873</v>
      </c>
      <c r="E46" s="20">
        <v>95500</v>
      </c>
      <c r="F46" s="16" t="s">
        <v>700</v>
      </c>
      <c r="G46" s="21" t="s">
        <v>828</v>
      </c>
      <c r="H46" s="8">
        <f t="shared" si="0"/>
        <v>1146000</v>
      </c>
      <c r="I46" s="8">
        <f t="shared" si="1"/>
        <v>3438000</v>
      </c>
      <c r="J46" s="8">
        <v>50000</v>
      </c>
      <c r="K46" s="8">
        <v>250000</v>
      </c>
      <c r="L46" s="8">
        <v>50000</v>
      </c>
      <c r="M46" s="8">
        <f t="shared" si="2"/>
        <v>20628</v>
      </c>
    </row>
    <row r="47" spans="1:13" ht="15" customHeight="1" x14ac:dyDescent="0.3">
      <c r="A47" s="61">
        <v>41</v>
      </c>
      <c r="B47" s="16" t="s">
        <v>184</v>
      </c>
      <c r="C47" s="16" t="s">
        <v>874</v>
      </c>
      <c r="D47" s="5" t="s">
        <v>795</v>
      </c>
      <c r="E47" s="17">
        <v>170000</v>
      </c>
      <c r="F47" s="19" t="s">
        <v>43</v>
      </c>
      <c r="G47" s="18" t="s">
        <v>796</v>
      </c>
      <c r="H47" s="8">
        <f t="shared" si="0"/>
        <v>2040000</v>
      </c>
      <c r="I47" s="8">
        <f t="shared" si="1"/>
        <v>6120000</v>
      </c>
      <c r="J47" s="8">
        <v>50000</v>
      </c>
      <c r="K47" s="8">
        <v>250000</v>
      </c>
      <c r="L47" s="8">
        <v>50000</v>
      </c>
      <c r="M47" s="8">
        <f t="shared" si="2"/>
        <v>36720</v>
      </c>
    </row>
    <row r="48" spans="1:13" ht="15" customHeight="1" x14ac:dyDescent="0.3">
      <c r="A48" s="61">
        <v>42</v>
      </c>
      <c r="B48" s="19" t="s">
        <v>875</v>
      </c>
      <c r="C48" s="19" t="s">
        <v>753</v>
      </c>
      <c r="D48" s="5" t="s">
        <v>318</v>
      </c>
      <c r="E48" s="20">
        <v>339677.08</v>
      </c>
      <c r="F48" s="16" t="s">
        <v>43</v>
      </c>
      <c r="G48" s="21" t="s">
        <v>796</v>
      </c>
      <c r="H48" s="8">
        <f t="shared" si="0"/>
        <v>4076124.96</v>
      </c>
      <c r="I48" s="8">
        <f t="shared" si="1"/>
        <v>12228374.879999999</v>
      </c>
      <c r="J48" s="8">
        <v>50000</v>
      </c>
      <c r="K48" s="8">
        <v>250000</v>
      </c>
      <c r="L48" s="8">
        <v>50000</v>
      </c>
      <c r="M48" s="8">
        <f t="shared" si="2"/>
        <v>73370.249280000004</v>
      </c>
    </row>
    <row r="49" spans="1:13" ht="15" customHeight="1" x14ac:dyDescent="0.3">
      <c r="A49" s="61">
        <v>43</v>
      </c>
      <c r="B49" s="16" t="s">
        <v>227</v>
      </c>
      <c r="C49" s="16" t="s">
        <v>876</v>
      </c>
      <c r="D49" s="5" t="s">
        <v>242</v>
      </c>
      <c r="E49" s="17">
        <v>1383025.41</v>
      </c>
      <c r="F49" s="19" t="s">
        <v>700</v>
      </c>
      <c r="G49" s="18" t="s">
        <v>802</v>
      </c>
      <c r="H49" s="8">
        <f t="shared" si="0"/>
        <v>16596304.919999998</v>
      </c>
      <c r="I49" s="8">
        <f t="shared" si="1"/>
        <v>49788914.75999999</v>
      </c>
      <c r="J49" s="8">
        <v>50000</v>
      </c>
      <c r="K49" s="8">
        <v>250000</v>
      </c>
      <c r="L49" s="8">
        <v>50000</v>
      </c>
      <c r="M49" s="8">
        <f t="shared" si="2"/>
        <v>298733.48855999997</v>
      </c>
    </row>
    <row r="50" spans="1:13" ht="15" customHeight="1" x14ac:dyDescent="0.3">
      <c r="A50" s="61">
        <v>44</v>
      </c>
      <c r="B50" s="19" t="s">
        <v>877</v>
      </c>
      <c r="C50" s="19" t="s">
        <v>545</v>
      </c>
      <c r="D50" s="5" t="s">
        <v>107</v>
      </c>
      <c r="E50" s="20">
        <v>250000</v>
      </c>
      <c r="F50" s="16" t="s">
        <v>700</v>
      </c>
      <c r="G50" s="19" t="s">
        <v>878</v>
      </c>
      <c r="H50" s="8">
        <f t="shared" si="0"/>
        <v>3000000</v>
      </c>
      <c r="I50" s="8">
        <f t="shared" si="1"/>
        <v>9000000</v>
      </c>
      <c r="J50" s="8">
        <v>50000</v>
      </c>
      <c r="K50" s="8">
        <v>250000</v>
      </c>
      <c r="L50" s="8">
        <v>50000</v>
      </c>
      <c r="M50" s="8">
        <f t="shared" si="2"/>
        <v>54000</v>
      </c>
    </row>
    <row r="51" spans="1:13" ht="15" customHeight="1" x14ac:dyDescent="0.3">
      <c r="A51" s="61">
        <v>45</v>
      </c>
      <c r="B51" s="16" t="s">
        <v>879</v>
      </c>
      <c r="C51" s="16" t="s">
        <v>880</v>
      </c>
      <c r="D51" s="5" t="s">
        <v>795</v>
      </c>
      <c r="E51" s="17">
        <v>120068.75</v>
      </c>
      <c r="F51" s="19" t="s">
        <v>700</v>
      </c>
      <c r="G51" s="16" t="s">
        <v>828</v>
      </c>
      <c r="H51" s="8">
        <f t="shared" si="0"/>
        <v>1440825</v>
      </c>
      <c r="I51" s="8">
        <f t="shared" si="1"/>
        <v>4322475</v>
      </c>
      <c r="J51" s="8">
        <v>50000</v>
      </c>
      <c r="K51" s="8">
        <v>250000</v>
      </c>
      <c r="L51" s="8">
        <v>50000</v>
      </c>
      <c r="M51" s="8">
        <f t="shared" si="2"/>
        <v>25934.85</v>
      </c>
    </row>
    <row r="52" spans="1:13" ht="15" customHeight="1" x14ac:dyDescent="0.3">
      <c r="A52" s="61">
        <v>46</v>
      </c>
      <c r="B52" s="19" t="s">
        <v>581</v>
      </c>
      <c r="C52" s="19" t="s">
        <v>881</v>
      </c>
      <c r="D52" s="5" t="s">
        <v>266</v>
      </c>
      <c r="E52" s="20">
        <v>187500</v>
      </c>
      <c r="F52" s="16" t="s">
        <v>700</v>
      </c>
      <c r="G52" s="19" t="s">
        <v>796</v>
      </c>
      <c r="H52" s="8">
        <f t="shared" si="0"/>
        <v>2250000</v>
      </c>
      <c r="I52" s="8">
        <f t="shared" si="1"/>
        <v>6750000</v>
      </c>
      <c r="J52" s="8">
        <v>50000</v>
      </c>
      <c r="K52" s="8">
        <v>250000</v>
      </c>
      <c r="L52" s="8">
        <v>50000</v>
      </c>
      <c r="M52" s="8">
        <f t="shared" si="2"/>
        <v>40500</v>
      </c>
    </row>
    <row r="53" spans="1:13" ht="15" customHeight="1" x14ac:dyDescent="0.3">
      <c r="A53" s="61">
        <v>47</v>
      </c>
      <c r="B53" s="16" t="s">
        <v>882</v>
      </c>
      <c r="C53" s="16" t="s">
        <v>800</v>
      </c>
      <c r="D53" s="5" t="s">
        <v>266</v>
      </c>
      <c r="E53" s="17">
        <v>187500</v>
      </c>
      <c r="F53" s="19" t="s">
        <v>700</v>
      </c>
      <c r="G53" s="16" t="s">
        <v>802</v>
      </c>
      <c r="H53" s="8">
        <f t="shared" si="0"/>
        <v>2250000</v>
      </c>
      <c r="I53" s="8">
        <f t="shared" si="1"/>
        <v>6750000</v>
      </c>
      <c r="J53" s="8">
        <v>50000</v>
      </c>
      <c r="K53" s="8">
        <v>250000</v>
      </c>
      <c r="L53" s="8">
        <v>50000</v>
      </c>
      <c r="M53" s="8">
        <f t="shared" si="2"/>
        <v>40500</v>
      </c>
    </row>
    <row r="54" spans="1:13" ht="15" customHeight="1" x14ac:dyDescent="0.3">
      <c r="A54" s="61">
        <v>48</v>
      </c>
      <c r="B54" s="19" t="s">
        <v>883</v>
      </c>
      <c r="C54" s="19" t="s">
        <v>884</v>
      </c>
      <c r="D54" s="5" t="s">
        <v>885</v>
      </c>
      <c r="E54" s="20">
        <v>250000</v>
      </c>
      <c r="F54" s="16" t="s">
        <v>700</v>
      </c>
      <c r="G54" s="21" t="s">
        <v>802</v>
      </c>
      <c r="H54" s="8">
        <f t="shared" si="0"/>
        <v>3000000</v>
      </c>
      <c r="I54" s="8">
        <f t="shared" si="1"/>
        <v>9000000</v>
      </c>
      <c r="J54" s="8">
        <v>50000</v>
      </c>
      <c r="K54" s="8">
        <v>250000</v>
      </c>
      <c r="L54" s="8">
        <v>50000</v>
      </c>
      <c r="M54" s="8">
        <f t="shared" si="2"/>
        <v>54000</v>
      </c>
    </row>
    <row r="55" spans="1:13" ht="15" customHeight="1" x14ac:dyDescent="0.3">
      <c r="A55" s="61">
        <v>49</v>
      </c>
      <c r="B55" s="16" t="s">
        <v>886</v>
      </c>
      <c r="C55" s="16" t="s">
        <v>887</v>
      </c>
      <c r="D55" s="5" t="s">
        <v>885</v>
      </c>
      <c r="E55" s="17">
        <v>250000</v>
      </c>
      <c r="F55" s="19" t="s">
        <v>700</v>
      </c>
      <c r="G55" s="16" t="s">
        <v>828</v>
      </c>
      <c r="H55" s="8">
        <f t="shared" si="0"/>
        <v>3000000</v>
      </c>
      <c r="I55" s="8">
        <f t="shared" si="1"/>
        <v>9000000</v>
      </c>
      <c r="J55" s="8">
        <v>50000</v>
      </c>
      <c r="K55" s="8">
        <v>250000</v>
      </c>
      <c r="L55" s="8">
        <v>50000</v>
      </c>
      <c r="M55" s="8">
        <f t="shared" si="2"/>
        <v>54000</v>
      </c>
    </row>
    <row r="56" spans="1:13" ht="15" customHeight="1" x14ac:dyDescent="0.3">
      <c r="A56" s="61">
        <v>50</v>
      </c>
      <c r="B56" s="19" t="s">
        <v>888</v>
      </c>
      <c r="C56" s="19" t="s">
        <v>717</v>
      </c>
      <c r="D56" s="5" t="s">
        <v>107</v>
      </c>
      <c r="E56" s="20">
        <v>262500</v>
      </c>
      <c r="F56" s="16" t="s">
        <v>700</v>
      </c>
      <c r="G56" s="21" t="s">
        <v>828</v>
      </c>
      <c r="H56" s="8">
        <f t="shared" si="0"/>
        <v>3150000</v>
      </c>
      <c r="I56" s="8">
        <f t="shared" si="1"/>
        <v>9450000</v>
      </c>
      <c r="J56" s="8">
        <v>50000</v>
      </c>
      <c r="K56" s="8">
        <v>250000</v>
      </c>
      <c r="L56" s="8">
        <v>50000</v>
      </c>
      <c r="M56" s="8">
        <f t="shared" si="2"/>
        <v>56700</v>
      </c>
    </row>
    <row r="57" spans="1:13" ht="15" customHeight="1" x14ac:dyDescent="0.3">
      <c r="A57" s="61">
        <v>51</v>
      </c>
      <c r="B57" s="16" t="s">
        <v>889</v>
      </c>
      <c r="C57" s="16" t="s">
        <v>890</v>
      </c>
      <c r="D57" s="5" t="s">
        <v>885</v>
      </c>
      <c r="E57" s="17">
        <v>250000</v>
      </c>
      <c r="F57" s="19" t="s">
        <v>34</v>
      </c>
      <c r="G57" s="16" t="s">
        <v>805</v>
      </c>
      <c r="H57" s="8">
        <f t="shared" si="0"/>
        <v>3000000</v>
      </c>
      <c r="I57" s="8">
        <f t="shared" si="1"/>
        <v>9000000</v>
      </c>
      <c r="J57" s="8">
        <v>50000</v>
      </c>
      <c r="K57" s="8">
        <v>250000</v>
      </c>
      <c r="L57" s="8">
        <v>50000</v>
      </c>
      <c r="M57" s="8">
        <f t="shared" si="2"/>
        <v>54000</v>
      </c>
    </row>
    <row r="58" spans="1:13" ht="15" customHeight="1" x14ac:dyDescent="0.3">
      <c r="A58" s="61">
        <v>52</v>
      </c>
      <c r="B58" s="19" t="s">
        <v>891</v>
      </c>
      <c r="C58" s="19" t="s">
        <v>315</v>
      </c>
      <c r="D58" s="5" t="s">
        <v>892</v>
      </c>
      <c r="E58" s="20">
        <v>428375</v>
      </c>
      <c r="F58" s="16" t="s">
        <v>700</v>
      </c>
      <c r="G58" s="21" t="s">
        <v>828</v>
      </c>
      <c r="H58" s="8">
        <f t="shared" si="0"/>
        <v>5140500</v>
      </c>
      <c r="I58" s="8">
        <f t="shared" si="1"/>
        <v>15421500</v>
      </c>
      <c r="J58" s="8">
        <v>50000</v>
      </c>
      <c r="K58" s="8">
        <v>250000</v>
      </c>
      <c r="L58" s="8">
        <v>50000</v>
      </c>
      <c r="M58" s="8">
        <f t="shared" si="2"/>
        <v>92529</v>
      </c>
    </row>
    <row r="59" spans="1:13" ht="15" customHeight="1" x14ac:dyDescent="0.3">
      <c r="A59" s="61">
        <v>53</v>
      </c>
      <c r="B59" s="16" t="s">
        <v>893</v>
      </c>
      <c r="C59" s="16" t="s">
        <v>185</v>
      </c>
      <c r="D59" s="5" t="s">
        <v>894</v>
      </c>
      <c r="E59" s="17">
        <v>197250</v>
      </c>
      <c r="F59" s="19" t="s">
        <v>43</v>
      </c>
      <c r="G59" s="16" t="s">
        <v>816</v>
      </c>
      <c r="H59" s="8">
        <f t="shared" si="0"/>
        <v>2367000</v>
      </c>
      <c r="I59" s="8">
        <f t="shared" si="1"/>
        <v>7101000</v>
      </c>
      <c r="J59" s="8">
        <v>50000</v>
      </c>
      <c r="K59" s="8">
        <v>250000</v>
      </c>
      <c r="L59" s="8">
        <v>50000</v>
      </c>
      <c r="M59" s="8">
        <f t="shared" si="2"/>
        <v>42606</v>
      </c>
    </row>
    <row r="60" spans="1:13" ht="15" customHeight="1" x14ac:dyDescent="0.3">
      <c r="A60" s="61">
        <v>54</v>
      </c>
      <c r="B60" s="19" t="s">
        <v>895</v>
      </c>
      <c r="C60" s="19" t="s">
        <v>896</v>
      </c>
      <c r="D60" s="5" t="s">
        <v>873</v>
      </c>
      <c r="E60" s="20">
        <v>85500</v>
      </c>
      <c r="F60" s="16" t="s">
        <v>43</v>
      </c>
      <c r="G60" s="19" t="s">
        <v>796</v>
      </c>
      <c r="H60" s="8">
        <f t="shared" si="0"/>
        <v>1026000</v>
      </c>
      <c r="I60" s="8">
        <f t="shared" si="1"/>
        <v>3078000</v>
      </c>
      <c r="J60" s="8">
        <v>50000</v>
      </c>
      <c r="K60" s="8">
        <v>250000</v>
      </c>
      <c r="L60" s="8">
        <v>50000</v>
      </c>
      <c r="M60" s="8">
        <f t="shared" si="2"/>
        <v>18468</v>
      </c>
    </row>
    <row r="61" spans="1:13" ht="15" customHeight="1" x14ac:dyDescent="0.3">
      <c r="A61" s="61">
        <v>55</v>
      </c>
      <c r="B61" s="16" t="s">
        <v>897</v>
      </c>
      <c r="C61" s="16" t="s">
        <v>898</v>
      </c>
      <c r="D61" s="5" t="s">
        <v>899</v>
      </c>
      <c r="E61" s="17">
        <v>105000</v>
      </c>
      <c r="F61" s="19" t="s">
        <v>43</v>
      </c>
      <c r="G61" s="18" t="s">
        <v>796</v>
      </c>
      <c r="H61" s="8">
        <f t="shared" si="0"/>
        <v>1260000</v>
      </c>
      <c r="I61" s="8">
        <f t="shared" si="1"/>
        <v>3780000</v>
      </c>
      <c r="J61" s="8">
        <v>50000</v>
      </c>
      <c r="K61" s="8">
        <v>250000</v>
      </c>
      <c r="L61" s="8">
        <v>50000</v>
      </c>
      <c r="M61" s="8">
        <f t="shared" si="2"/>
        <v>22680</v>
      </c>
    </row>
    <row r="62" spans="1:13" ht="15" customHeight="1" x14ac:dyDescent="0.3">
      <c r="A62" s="61">
        <v>56</v>
      </c>
      <c r="B62" s="19" t="s">
        <v>202</v>
      </c>
      <c r="C62" s="19" t="s">
        <v>900</v>
      </c>
      <c r="D62" s="5" t="s">
        <v>885</v>
      </c>
      <c r="E62" s="20">
        <v>464035</v>
      </c>
      <c r="F62" s="16" t="s">
        <v>43</v>
      </c>
      <c r="G62" s="21" t="s">
        <v>901</v>
      </c>
      <c r="H62" s="8">
        <f t="shared" si="0"/>
        <v>5568420</v>
      </c>
      <c r="I62" s="8">
        <f t="shared" si="1"/>
        <v>16705260</v>
      </c>
      <c r="J62" s="8">
        <v>50000</v>
      </c>
      <c r="K62" s="8">
        <v>250000</v>
      </c>
      <c r="L62" s="8">
        <v>50000</v>
      </c>
      <c r="M62" s="8">
        <f t="shared" si="2"/>
        <v>100231.56</v>
      </c>
    </row>
    <row r="63" spans="1:13" ht="15" customHeight="1" x14ac:dyDescent="0.3">
      <c r="A63" s="61">
        <v>57</v>
      </c>
      <c r="B63" s="16" t="s">
        <v>286</v>
      </c>
      <c r="C63" s="16" t="s">
        <v>129</v>
      </c>
      <c r="D63" s="5" t="s">
        <v>208</v>
      </c>
      <c r="E63" s="17">
        <v>1127375</v>
      </c>
      <c r="F63" s="19" t="s">
        <v>34</v>
      </c>
      <c r="G63" s="18" t="s">
        <v>902</v>
      </c>
      <c r="H63" s="8">
        <f t="shared" si="0"/>
        <v>13528500</v>
      </c>
      <c r="I63" s="8">
        <f t="shared" si="1"/>
        <v>40585500</v>
      </c>
      <c r="J63" s="8">
        <v>50000</v>
      </c>
      <c r="K63" s="8">
        <v>250000</v>
      </c>
      <c r="L63" s="8">
        <v>50000</v>
      </c>
      <c r="M63" s="8">
        <f t="shared" si="2"/>
        <v>243513</v>
      </c>
    </row>
    <row r="64" spans="1:13" ht="15" customHeight="1" x14ac:dyDescent="0.3">
      <c r="A64" s="61">
        <v>58</v>
      </c>
      <c r="B64" s="19" t="s">
        <v>523</v>
      </c>
      <c r="C64" s="19" t="s">
        <v>182</v>
      </c>
      <c r="D64" s="5" t="s">
        <v>903</v>
      </c>
      <c r="E64" s="20">
        <v>188750</v>
      </c>
      <c r="F64" s="16" t="s">
        <v>34</v>
      </c>
      <c r="G64" s="19" t="s">
        <v>902</v>
      </c>
      <c r="H64" s="8">
        <f t="shared" si="0"/>
        <v>2265000</v>
      </c>
      <c r="I64" s="8">
        <f t="shared" si="1"/>
        <v>6795000</v>
      </c>
      <c r="J64" s="8">
        <v>50000</v>
      </c>
      <c r="K64" s="8">
        <v>250000</v>
      </c>
      <c r="L64" s="8">
        <v>50000</v>
      </c>
      <c r="M64" s="8">
        <f t="shared" si="2"/>
        <v>40770</v>
      </c>
    </row>
    <row r="65" spans="1:13" ht="15" customHeight="1" x14ac:dyDescent="0.3">
      <c r="A65" s="61">
        <v>59</v>
      </c>
      <c r="B65" s="16" t="s">
        <v>227</v>
      </c>
      <c r="C65" s="16" t="s">
        <v>271</v>
      </c>
      <c r="D65" s="5" t="s">
        <v>150</v>
      </c>
      <c r="E65" s="17">
        <v>846250.41</v>
      </c>
      <c r="F65" s="19" t="s">
        <v>34</v>
      </c>
      <c r="G65" s="18" t="s">
        <v>822</v>
      </c>
      <c r="H65" s="8">
        <f t="shared" si="0"/>
        <v>10155004.92</v>
      </c>
      <c r="I65" s="8">
        <f t="shared" si="1"/>
        <v>30465014.759999998</v>
      </c>
      <c r="J65" s="8">
        <v>50000</v>
      </c>
      <c r="K65" s="8">
        <v>250000</v>
      </c>
      <c r="L65" s="8">
        <v>50000</v>
      </c>
      <c r="M65" s="8">
        <f t="shared" si="2"/>
        <v>182790.08856</v>
      </c>
    </row>
    <row r="66" spans="1:13" ht="15" customHeight="1" x14ac:dyDescent="0.3">
      <c r="A66" s="61">
        <v>60</v>
      </c>
      <c r="B66" s="19" t="s">
        <v>535</v>
      </c>
      <c r="C66" s="19" t="s">
        <v>274</v>
      </c>
      <c r="D66" s="5" t="s">
        <v>904</v>
      </c>
      <c r="E66" s="20">
        <v>1127638.3400000001</v>
      </c>
      <c r="F66" s="16" t="s">
        <v>43</v>
      </c>
      <c r="G66" s="21" t="s">
        <v>828</v>
      </c>
      <c r="H66" s="8">
        <f t="shared" si="0"/>
        <v>13531660.080000002</v>
      </c>
      <c r="I66" s="8">
        <f t="shared" si="1"/>
        <v>40594980.24000001</v>
      </c>
      <c r="J66" s="8">
        <v>50000</v>
      </c>
      <c r="K66" s="8">
        <v>250000</v>
      </c>
      <c r="L66" s="8">
        <v>50000</v>
      </c>
      <c r="M66" s="8">
        <f t="shared" si="2"/>
        <v>243569.88144000006</v>
      </c>
    </row>
    <row r="67" spans="1:13" ht="15" customHeight="1" x14ac:dyDescent="0.3">
      <c r="A67" s="61">
        <v>61</v>
      </c>
      <c r="B67" s="16" t="s">
        <v>905</v>
      </c>
      <c r="C67" s="16" t="s">
        <v>445</v>
      </c>
      <c r="D67" s="5" t="s">
        <v>906</v>
      </c>
      <c r="E67" s="17">
        <v>199800</v>
      </c>
      <c r="F67" s="19" t="s">
        <v>700</v>
      </c>
      <c r="G67" s="18" t="s">
        <v>828</v>
      </c>
      <c r="H67" s="8">
        <f t="shared" si="0"/>
        <v>2397600</v>
      </c>
      <c r="I67" s="8">
        <f t="shared" si="1"/>
        <v>7192800</v>
      </c>
      <c r="J67" s="8">
        <v>50000</v>
      </c>
      <c r="K67" s="8">
        <v>250000</v>
      </c>
      <c r="L67" s="8">
        <v>50000</v>
      </c>
      <c r="M67" s="8">
        <f t="shared" si="2"/>
        <v>43156.800000000003</v>
      </c>
    </row>
    <row r="68" spans="1:13" ht="15" customHeight="1" x14ac:dyDescent="0.3">
      <c r="A68" s="61">
        <v>62</v>
      </c>
      <c r="B68" s="19" t="s">
        <v>541</v>
      </c>
      <c r="C68" s="19" t="s">
        <v>907</v>
      </c>
      <c r="D68" s="5" t="s">
        <v>908</v>
      </c>
      <c r="E68" s="20">
        <v>740511.56</v>
      </c>
      <c r="F68" s="16" t="s">
        <v>43</v>
      </c>
      <c r="G68" s="21" t="s">
        <v>796</v>
      </c>
      <c r="H68" s="8">
        <f t="shared" si="0"/>
        <v>8886138.7200000007</v>
      </c>
      <c r="I68" s="8">
        <f t="shared" si="1"/>
        <v>26658416.160000004</v>
      </c>
      <c r="J68" s="8">
        <v>50000</v>
      </c>
      <c r="K68" s="8">
        <v>250000</v>
      </c>
      <c r="L68" s="8">
        <v>50000</v>
      </c>
      <c r="M68" s="8">
        <f t="shared" si="2"/>
        <v>159950.49696000005</v>
      </c>
    </row>
    <row r="69" spans="1:13" ht="15" customHeight="1" x14ac:dyDescent="0.3">
      <c r="A69" s="61">
        <v>63</v>
      </c>
      <c r="B69" s="16" t="s">
        <v>677</v>
      </c>
      <c r="C69" s="16" t="s">
        <v>909</v>
      </c>
      <c r="D69" s="5" t="s">
        <v>142</v>
      </c>
      <c r="E69" s="17">
        <v>128229.17</v>
      </c>
      <c r="F69" s="19" t="s">
        <v>700</v>
      </c>
      <c r="G69" s="18" t="s">
        <v>816</v>
      </c>
      <c r="H69" s="8">
        <f t="shared" si="0"/>
        <v>1538750.04</v>
      </c>
      <c r="I69" s="8">
        <f t="shared" si="1"/>
        <v>4616250.12</v>
      </c>
      <c r="J69" s="8">
        <v>50000</v>
      </c>
      <c r="K69" s="8">
        <v>250000</v>
      </c>
      <c r="L69" s="8">
        <v>50000</v>
      </c>
      <c r="M69" s="8">
        <f t="shared" si="2"/>
        <v>27697.50072</v>
      </c>
    </row>
    <row r="70" spans="1:13" ht="15" customHeight="1" x14ac:dyDescent="0.3">
      <c r="A70" s="61">
        <v>64</v>
      </c>
      <c r="B70" s="19" t="s">
        <v>910</v>
      </c>
      <c r="C70" s="19" t="s">
        <v>349</v>
      </c>
      <c r="D70" s="5" t="s">
        <v>911</v>
      </c>
      <c r="E70" s="20">
        <v>677290.45</v>
      </c>
      <c r="F70" s="16" t="s">
        <v>43</v>
      </c>
      <c r="G70" s="21" t="s">
        <v>878</v>
      </c>
      <c r="H70" s="8">
        <f t="shared" si="0"/>
        <v>8127485.3999999994</v>
      </c>
      <c r="I70" s="8">
        <f t="shared" si="1"/>
        <v>24382456.199999999</v>
      </c>
      <c r="J70" s="8">
        <v>50000</v>
      </c>
      <c r="K70" s="8">
        <v>250000</v>
      </c>
      <c r="L70" s="8">
        <v>50000</v>
      </c>
      <c r="M70" s="8">
        <f t="shared" si="2"/>
        <v>146294.73719999997</v>
      </c>
    </row>
    <row r="71" spans="1:13" ht="15" customHeight="1" x14ac:dyDescent="0.3">
      <c r="A71" s="61">
        <v>65</v>
      </c>
      <c r="B71" s="16" t="s">
        <v>532</v>
      </c>
      <c r="C71" s="16" t="s">
        <v>912</v>
      </c>
      <c r="D71" s="5" t="s">
        <v>866</v>
      </c>
      <c r="E71" s="17">
        <v>620625</v>
      </c>
      <c r="F71" s="19" t="s">
        <v>34</v>
      </c>
      <c r="G71" s="18" t="s">
        <v>796</v>
      </c>
      <c r="H71" s="8">
        <f t="shared" si="0"/>
        <v>7447500</v>
      </c>
      <c r="I71" s="8">
        <f t="shared" si="1"/>
        <v>22342500</v>
      </c>
      <c r="J71" s="8">
        <v>50000</v>
      </c>
      <c r="K71" s="8">
        <v>250000</v>
      </c>
      <c r="L71" s="8">
        <v>50000</v>
      </c>
      <c r="M71" s="8">
        <f t="shared" si="2"/>
        <v>134055</v>
      </c>
    </row>
    <row r="72" spans="1:13" ht="15" customHeight="1" x14ac:dyDescent="0.3">
      <c r="A72" s="61">
        <v>66</v>
      </c>
      <c r="B72" s="19" t="s">
        <v>502</v>
      </c>
      <c r="C72" s="19" t="s">
        <v>913</v>
      </c>
      <c r="D72" s="5" t="s">
        <v>107</v>
      </c>
      <c r="E72" s="20">
        <v>261041.25</v>
      </c>
      <c r="F72" s="16" t="s">
        <v>700</v>
      </c>
      <c r="G72" s="21" t="s">
        <v>816</v>
      </c>
      <c r="H72" s="8">
        <f t="shared" ref="H72:H84" si="3">E72*12</f>
        <v>3132495</v>
      </c>
      <c r="I72" s="8">
        <f t="shared" ref="I72:I84" si="4">H72*3</f>
        <v>9397485</v>
      </c>
      <c r="J72" s="8">
        <v>50000</v>
      </c>
      <c r="K72" s="8">
        <v>250000</v>
      </c>
      <c r="L72" s="8">
        <v>50000</v>
      </c>
      <c r="M72" s="8">
        <f t="shared" ref="M72:M84" si="5">I72*6/1000</f>
        <v>56384.91</v>
      </c>
    </row>
    <row r="73" spans="1:13" ht="15" customHeight="1" x14ac:dyDescent="0.3">
      <c r="A73" s="61">
        <v>67</v>
      </c>
      <c r="B73" s="19" t="s">
        <v>914</v>
      </c>
      <c r="C73" s="19" t="s">
        <v>915</v>
      </c>
      <c r="D73" s="5" t="s">
        <v>916</v>
      </c>
      <c r="E73" s="20">
        <v>697222.33</v>
      </c>
      <c r="F73" s="16" t="s">
        <v>43</v>
      </c>
      <c r="G73" s="21" t="s">
        <v>816</v>
      </c>
      <c r="H73" s="8">
        <f t="shared" si="3"/>
        <v>8366667.959999999</v>
      </c>
      <c r="I73" s="8">
        <f t="shared" si="4"/>
        <v>25100003.879999995</v>
      </c>
      <c r="J73" s="8">
        <v>50000</v>
      </c>
      <c r="K73" s="8">
        <v>250000</v>
      </c>
      <c r="L73" s="8">
        <v>50000</v>
      </c>
      <c r="M73" s="8">
        <f t="shared" si="5"/>
        <v>150600.02327999996</v>
      </c>
    </row>
    <row r="74" spans="1:13" ht="15" customHeight="1" x14ac:dyDescent="0.3">
      <c r="A74" s="61">
        <v>68</v>
      </c>
      <c r="B74" s="16" t="s">
        <v>311</v>
      </c>
      <c r="C74" s="16" t="s">
        <v>917</v>
      </c>
      <c r="D74" s="5" t="s">
        <v>918</v>
      </c>
      <c r="E74" s="17">
        <v>177135.41</v>
      </c>
      <c r="F74" s="19" t="s">
        <v>43</v>
      </c>
      <c r="G74" s="18" t="s">
        <v>805</v>
      </c>
      <c r="H74" s="8">
        <f t="shared" si="3"/>
        <v>2125624.92</v>
      </c>
      <c r="I74" s="8">
        <f t="shared" si="4"/>
        <v>6376874.7599999998</v>
      </c>
      <c r="J74" s="8">
        <v>50000</v>
      </c>
      <c r="K74" s="8">
        <v>250000</v>
      </c>
      <c r="L74" s="8">
        <v>50000</v>
      </c>
      <c r="M74" s="8">
        <f t="shared" si="5"/>
        <v>38261.24856</v>
      </c>
    </row>
    <row r="75" spans="1:13" ht="15" customHeight="1" x14ac:dyDescent="0.3">
      <c r="A75" s="61">
        <v>69</v>
      </c>
      <c r="B75" s="19" t="s">
        <v>919</v>
      </c>
      <c r="C75" s="19" t="s">
        <v>920</v>
      </c>
      <c r="D75" s="5" t="s">
        <v>921</v>
      </c>
      <c r="E75" s="20">
        <v>162500</v>
      </c>
      <c r="F75" s="16" t="s">
        <v>43</v>
      </c>
      <c r="G75" s="21" t="s">
        <v>816</v>
      </c>
      <c r="H75" s="8">
        <f t="shared" si="3"/>
        <v>1950000</v>
      </c>
      <c r="I75" s="8">
        <f t="shared" si="4"/>
        <v>5850000</v>
      </c>
      <c r="J75" s="8">
        <v>50000</v>
      </c>
      <c r="K75" s="8">
        <v>250000</v>
      </c>
      <c r="L75" s="8">
        <v>50000</v>
      </c>
      <c r="M75" s="8">
        <f t="shared" si="5"/>
        <v>35100</v>
      </c>
    </row>
    <row r="76" spans="1:13" ht="15" customHeight="1" x14ac:dyDescent="0.3">
      <c r="A76" s="61">
        <v>70</v>
      </c>
      <c r="B76" s="16" t="s">
        <v>922</v>
      </c>
      <c r="C76" s="16" t="s">
        <v>445</v>
      </c>
      <c r="D76" s="5" t="s">
        <v>871</v>
      </c>
      <c r="E76" s="17">
        <v>222500</v>
      </c>
      <c r="F76" s="19" t="s">
        <v>43</v>
      </c>
      <c r="G76" s="18" t="s">
        <v>923</v>
      </c>
      <c r="H76" s="8">
        <f t="shared" si="3"/>
        <v>2670000</v>
      </c>
      <c r="I76" s="8">
        <f t="shared" si="4"/>
        <v>8010000</v>
      </c>
      <c r="J76" s="8">
        <v>50000</v>
      </c>
      <c r="K76" s="8">
        <v>250000</v>
      </c>
      <c r="L76" s="8">
        <v>50000</v>
      </c>
      <c r="M76" s="8">
        <f t="shared" si="5"/>
        <v>48060</v>
      </c>
    </row>
    <row r="77" spans="1:13" ht="15" customHeight="1" x14ac:dyDescent="0.3">
      <c r="A77" s="61">
        <v>71</v>
      </c>
      <c r="B77" s="19" t="s">
        <v>864</v>
      </c>
      <c r="C77" s="19" t="s">
        <v>924</v>
      </c>
      <c r="D77" s="5" t="s">
        <v>849</v>
      </c>
      <c r="E77" s="20">
        <v>762375.75</v>
      </c>
      <c r="F77" s="16" t="s">
        <v>700</v>
      </c>
      <c r="G77" s="19" t="s">
        <v>802</v>
      </c>
      <c r="H77" s="8">
        <f t="shared" si="3"/>
        <v>9148509</v>
      </c>
      <c r="I77" s="8">
        <f t="shared" si="4"/>
        <v>27445527</v>
      </c>
      <c r="J77" s="8">
        <v>50000</v>
      </c>
      <c r="K77" s="8">
        <v>250000</v>
      </c>
      <c r="L77" s="8">
        <v>50000</v>
      </c>
      <c r="M77" s="8">
        <f t="shared" si="5"/>
        <v>164673.16200000001</v>
      </c>
    </row>
    <row r="78" spans="1:13" ht="15" customHeight="1" x14ac:dyDescent="0.3">
      <c r="A78" s="61">
        <v>72</v>
      </c>
      <c r="B78" s="16" t="s">
        <v>530</v>
      </c>
      <c r="C78" s="16" t="s">
        <v>469</v>
      </c>
      <c r="D78" s="5" t="s">
        <v>107</v>
      </c>
      <c r="E78" s="17">
        <v>233750</v>
      </c>
      <c r="F78" s="19" t="s">
        <v>34</v>
      </c>
      <c r="G78" s="18" t="s">
        <v>805</v>
      </c>
      <c r="H78" s="8">
        <f t="shared" si="3"/>
        <v>2805000</v>
      </c>
      <c r="I78" s="8">
        <f t="shared" si="4"/>
        <v>8415000</v>
      </c>
      <c r="J78" s="8">
        <v>50000</v>
      </c>
      <c r="K78" s="8">
        <v>250000</v>
      </c>
      <c r="L78" s="8">
        <v>50000</v>
      </c>
      <c r="M78" s="8">
        <f t="shared" si="5"/>
        <v>50490</v>
      </c>
    </row>
    <row r="79" spans="1:13" ht="15" customHeight="1" x14ac:dyDescent="0.3">
      <c r="A79" s="61">
        <v>73</v>
      </c>
      <c r="B79" s="19" t="s">
        <v>925</v>
      </c>
      <c r="C79" s="19" t="s">
        <v>566</v>
      </c>
      <c r="D79" s="5" t="s">
        <v>926</v>
      </c>
      <c r="E79" s="20">
        <v>154409.14000000001</v>
      </c>
      <c r="F79" s="16" t="s">
        <v>43</v>
      </c>
      <c r="G79" s="19" t="s">
        <v>816</v>
      </c>
      <c r="H79" s="8">
        <f t="shared" si="3"/>
        <v>1852909.6800000002</v>
      </c>
      <c r="I79" s="8">
        <f t="shared" si="4"/>
        <v>5558729.040000001</v>
      </c>
      <c r="J79" s="8">
        <v>50000</v>
      </c>
      <c r="K79" s="8">
        <v>250000</v>
      </c>
      <c r="L79" s="8">
        <v>50000</v>
      </c>
      <c r="M79" s="8">
        <f t="shared" si="5"/>
        <v>33352.374240000005</v>
      </c>
    </row>
    <row r="80" spans="1:13" ht="15" customHeight="1" x14ac:dyDescent="0.3">
      <c r="A80" s="61">
        <v>74</v>
      </c>
      <c r="B80" s="16" t="s">
        <v>927</v>
      </c>
      <c r="C80" s="16" t="s">
        <v>928</v>
      </c>
      <c r="D80" s="5" t="s">
        <v>826</v>
      </c>
      <c r="E80" s="17">
        <v>1170697.79</v>
      </c>
      <c r="F80" s="19" t="s">
        <v>43</v>
      </c>
      <c r="G80" s="16" t="s">
        <v>805</v>
      </c>
      <c r="H80" s="8">
        <f t="shared" si="3"/>
        <v>14048373.48</v>
      </c>
      <c r="I80" s="8">
        <f t="shared" si="4"/>
        <v>42145120.439999998</v>
      </c>
      <c r="J80" s="8">
        <v>50000</v>
      </c>
      <c r="K80" s="8">
        <v>250000</v>
      </c>
      <c r="L80" s="8">
        <v>50000</v>
      </c>
      <c r="M80" s="8">
        <f t="shared" si="5"/>
        <v>252870.72263999999</v>
      </c>
    </row>
    <row r="81" spans="1:13" ht="15" customHeight="1" x14ac:dyDescent="0.3">
      <c r="A81" s="61">
        <v>75</v>
      </c>
      <c r="B81" s="19" t="s">
        <v>118</v>
      </c>
      <c r="C81" s="19" t="s">
        <v>929</v>
      </c>
      <c r="D81" s="5" t="s">
        <v>930</v>
      </c>
      <c r="E81" s="20">
        <v>1106250.1100000001</v>
      </c>
      <c r="F81" s="16" t="s">
        <v>43</v>
      </c>
      <c r="G81" s="19" t="s">
        <v>901</v>
      </c>
      <c r="H81" s="8">
        <f t="shared" si="3"/>
        <v>13275001.32</v>
      </c>
      <c r="I81" s="8">
        <f t="shared" si="4"/>
        <v>39825003.960000001</v>
      </c>
      <c r="J81" s="8">
        <v>50000</v>
      </c>
      <c r="K81" s="8">
        <v>250000</v>
      </c>
      <c r="L81" s="8">
        <v>50000</v>
      </c>
      <c r="M81" s="8">
        <f t="shared" si="5"/>
        <v>238950.02375999998</v>
      </c>
    </row>
    <row r="82" spans="1:13" ht="15" customHeight="1" x14ac:dyDescent="0.3">
      <c r="A82" s="61">
        <v>76</v>
      </c>
      <c r="B82" s="16" t="s">
        <v>931</v>
      </c>
      <c r="C82" s="16" t="s">
        <v>932</v>
      </c>
      <c r="D82" s="5" t="s">
        <v>933</v>
      </c>
      <c r="E82" s="17">
        <v>194639.58</v>
      </c>
      <c r="F82" s="19" t="s">
        <v>43</v>
      </c>
      <c r="G82" s="16" t="s">
        <v>816</v>
      </c>
      <c r="H82" s="8">
        <f t="shared" si="3"/>
        <v>2335674.96</v>
      </c>
      <c r="I82" s="8">
        <f t="shared" si="4"/>
        <v>7007024.8799999999</v>
      </c>
      <c r="J82" s="8">
        <v>50000</v>
      </c>
      <c r="K82" s="8">
        <v>250000</v>
      </c>
      <c r="L82" s="8">
        <v>50000</v>
      </c>
      <c r="M82" s="8">
        <f t="shared" si="5"/>
        <v>42042.149279999998</v>
      </c>
    </row>
    <row r="83" spans="1:13" ht="15" customHeight="1" x14ac:dyDescent="0.3">
      <c r="A83" s="61">
        <v>77</v>
      </c>
      <c r="B83" s="19" t="s">
        <v>934</v>
      </c>
      <c r="C83" s="19" t="s">
        <v>935</v>
      </c>
      <c r="D83" s="5" t="s">
        <v>936</v>
      </c>
      <c r="E83" s="20">
        <v>468703.7</v>
      </c>
      <c r="F83" s="16" t="s">
        <v>43</v>
      </c>
      <c r="G83" s="19" t="s">
        <v>828</v>
      </c>
      <c r="H83" s="8">
        <f t="shared" si="3"/>
        <v>5624444.4000000004</v>
      </c>
      <c r="I83" s="8">
        <f t="shared" si="4"/>
        <v>16873333.200000003</v>
      </c>
      <c r="J83" s="8">
        <v>50000</v>
      </c>
      <c r="K83" s="8">
        <v>250000</v>
      </c>
      <c r="L83" s="8">
        <v>50000</v>
      </c>
      <c r="M83" s="8">
        <f t="shared" si="5"/>
        <v>101239.99920000002</v>
      </c>
    </row>
    <row r="84" spans="1:13" ht="15" customHeight="1" x14ac:dyDescent="0.3">
      <c r="A84" s="62">
        <v>78</v>
      </c>
      <c r="B84" s="16" t="s">
        <v>937</v>
      </c>
      <c r="C84" s="16" t="s">
        <v>938</v>
      </c>
      <c r="D84" s="5" t="s">
        <v>802</v>
      </c>
      <c r="E84" s="17">
        <v>167819.79</v>
      </c>
      <c r="F84" s="19" t="s">
        <v>34</v>
      </c>
      <c r="G84" s="16" t="s">
        <v>902</v>
      </c>
      <c r="H84" s="8">
        <f t="shared" si="3"/>
        <v>2013837.48</v>
      </c>
      <c r="I84" s="8">
        <f t="shared" si="4"/>
        <v>6041512.4399999995</v>
      </c>
      <c r="J84" s="8">
        <v>50000</v>
      </c>
      <c r="K84" s="8">
        <v>250000</v>
      </c>
      <c r="L84" s="8">
        <v>50000</v>
      </c>
      <c r="M84" s="8">
        <f t="shared" si="5"/>
        <v>36249.074639999999</v>
      </c>
    </row>
    <row r="85" spans="1:13" ht="15" customHeight="1" x14ac:dyDescent="0.3">
      <c r="A85" s="61">
        <v>79</v>
      </c>
      <c r="B85" s="4" t="s">
        <v>752</v>
      </c>
      <c r="C85" s="4" t="s">
        <v>939</v>
      </c>
      <c r="D85" s="5" t="s">
        <v>107</v>
      </c>
      <c r="E85" s="10">
        <v>330347.90999999997</v>
      </c>
      <c r="F85" s="4" t="s">
        <v>34</v>
      </c>
      <c r="G85" s="4" t="s">
        <v>902</v>
      </c>
      <c r="H85" s="8">
        <f t="shared" ref="H85:H92" si="6">E85*12</f>
        <v>3964174.92</v>
      </c>
      <c r="I85" s="8">
        <f t="shared" ref="I85:I92" si="7">H85*3</f>
        <v>11892524.76</v>
      </c>
      <c r="J85" s="8">
        <v>50000</v>
      </c>
      <c r="K85" s="8">
        <v>250000</v>
      </c>
      <c r="L85" s="8">
        <v>50000</v>
      </c>
      <c r="M85" s="8">
        <f t="shared" ref="M85:M92" si="8">I85*6/1000</f>
        <v>71355.148560000001</v>
      </c>
    </row>
    <row r="86" spans="1:13" ht="15" customHeight="1" x14ac:dyDescent="0.3">
      <c r="A86" s="61">
        <v>80</v>
      </c>
      <c r="B86" s="4" t="s">
        <v>940</v>
      </c>
      <c r="C86" s="4" t="s">
        <v>941</v>
      </c>
      <c r="D86" s="5" t="s">
        <v>849</v>
      </c>
      <c r="E86" s="10">
        <v>677222.35</v>
      </c>
      <c r="F86" s="4" t="s">
        <v>43</v>
      </c>
      <c r="G86" s="4" t="s">
        <v>796</v>
      </c>
      <c r="H86" s="8">
        <f t="shared" si="6"/>
        <v>8126668.1999999993</v>
      </c>
      <c r="I86" s="8">
        <f t="shared" si="7"/>
        <v>24380004.599999998</v>
      </c>
      <c r="J86" s="8">
        <v>50000</v>
      </c>
      <c r="K86" s="8">
        <v>250000</v>
      </c>
      <c r="L86" s="8">
        <v>50000</v>
      </c>
      <c r="M86" s="8">
        <f t="shared" si="8"/>
        <v>146280.0276</v>
      </c>
    </row>
    <row r="87" spans="1:13" ht="15" customHeight="1" x14ac:dyDescent="0.3">
      <c r="A87" s="61">
        <v>81</v>
      </c>
      <c r="B87" s="4" t="s">
        <v>253</v>
      </c>
      <c r="C87" s="4" t="s">
        <v>268</v>
      </c>
      <c r="D87" s="5" t="s">
        <v>802</v>
      </c>
      <c r="E87" s="10">
        <v>371228</v>
      </c>
      <c r="F87" s="4" t="s">
        <v>700</v>
      </c>
      <c r="G87" s="4" t="s">
        <v>805</v>
      </c>
      <c r="H87" s="8">
        <f t="shared" si="6"/>
        <v>4454736</v>
      </c>
      <c r="I87" s="8">
        <f t="shared" si="7"/>
        <v>13364208</v>
      </c>
      <c r="J87" s="8">
        <v>50000</v>
      </c>
      <c r="K87" s="8">
        <v>250000</v>
      </c>
      <c r="L87" s="8">
        <v>50000</v>
      </c>
      <c r="M87" s="8">
        <f t="shared" si="8"/>
        <v>80185.248000000007</v>
      </c>
    </row>
    <row r="88" spans="1:13" ht="15" customHeight="1" x14ac:dyDescent="0.3">
      <c r="A88" s="61">
        <v>82</v>
      </c>
      <c r="B88" s="4" t="s">
        <v>195</v>
      </c>
      <c r="C88" s="4" t="s">
        <v>942</v>
      </c>
      <c r="D88" s="5" t="s">
        <v>135</v>
      </c>
      <c r="E88" s="10">
        <v>430570</v>
      </c>
      <c r="F88" s="4" t="s">
        <v>700</v>
      </c>
      <c r="G88" s="4" t="s">
        <v>816</v>
      </c>
      <c r="H88" s="8">
        <f t="shared" si="6"/>
        <v>5166840</v>
      </c>
      <c r="I88" s="8">
        <f t="shared" si="7"/>
        <v>15500520</v>
      </c>
      <c r="J88" s="8">
        <v>50000</v>
      </c>
      <c r="K88" s="8">
        <v>250000</v>
      </c>
      <c r="L88" s="8">
        <v>50000</v>
      </c>
      <c r="M88" s="8">
        <f t="shared" si="8"/>
        <v>93003.12</v>
      </c>
    </row>
    <row r="89" spans="1:13" ht="15" customHeight="1" x14ac:dyDescent="0.3">
      <c r="A89" s="61">
        <v>83</v>
      </c>
      <c r="B89" s="4" t="s">
        <v>943</v>
      </c>
      <c r="C89" s="4" t="s">
        <v>944</v>
      </c>
      <c r="D89" s="5" t="s">
        <v>945</v>
      </c>
      <c r="E89" s="10">
        <v>222500</v>
      </c>
      <c r="F89" s="4" t="s">
        <v>43</v>
      </c>
      <c r="G89" s="4" t="s">
        <v>902</v>
      </c>
      <c r="H89" s="8">
        <f t="shared" si="6"/>
        <v>2670000</v>
      </c>
      <c r="I89" s="8">
        <f t="shared" si="7"/>
        <v>8010000</v>
      </c>
      <c r="J89" s="8">
        <v>50000</v>
      </c>
      <c r="K89" s="8">
        <v>250000</v>
      </c>
      <c r="L89" s="8">
        <v>50000</v>
      </c>
      <c r="M89" s="8">
        <f t="shared" si="8"/>
        <v>48060</v>
      </c>
    </row>
    <row r="90" spans="1:13" ht="15" customHeight="1" x14ac:dyDescent="0.3">
      <c r="A90" s="61">
        <v>84</v>
      </c>
      <c r="B90" s="4" t="s">
        <v>397</v>
      </c>
      <c r="C90" s="4" t="s">
        <v>946</v>
      </c>
      <c r="D90" s="5" t="s">
        <v>849</v>
      </c>
      <c r="E90" s="10">
        <v>708608.93</v>
      </c>
      <c r="F90" s="4" t="s">
        <v>43</v>
      </c>
      <c r="G90" s="4" t="s">
        <v>816</v>
      </c>
      <c r="H90" s="8">
        <f t="shared" si="6"/>
        <v>8503307.1600000001</v>
      </c>
      <c r="I90" s="8">
        <f t="shared" si="7"/>
        <v>25509921.48</v>
      </c>
      <c r="J90" s="8">
        <v>50000</v>
      </c>
      <c r="K90" s="8">
        <v>250000</v>
      </c>
      <c r="L90" s="8">
        <v>50000</v>
      </c>
      <c r="M90" s="8">
        <f t="shared" si="8"/>
        <v>153059.52888</v>
      </c>
    </row>
    <row r="91" spans="1:13" ht="15" customHeight="1" x14ac:dyDescent="0.3">
      <c r="A91" s="61">
        <v>85</v>
      </c>
      <c r="B91" s="4" t="s">
        <v>947</v>
      </c>
      <c r="C91" s="4" t="s">
        <v>948</v>
      </c>
      <c r="D91" s="5" t="s">
        <v>871</v>
      </c>
      <c r="E91" s="10">
        <v>802358.33</v>
      </c>
      <c r="F91" s="4" t="s">
        <v>43</v>
      </c>
      <c r="G91" s="4" t="s">
        <v>805</v>
      </c>
      <c r="H91" s="8">
        <f t="shared" si="6"/>
        <v>9628299.959999999</v>
      </c>
      <c r="I91" s="8">
        <f t="shared" si="7"/>
        <v>28884899.879999995</v>
      </c>
      <c r="J91" s="8">
        <v>50000</v>
      </c>
      <c r="K91" s="8">
        <v>250000</v>
      </c>
      <c r="L91" s="8">
        <v>50000</v>
      </c>
      <c r="M91" s="8">
        <f t="shared" si="8"/>
        <v>173309.39927999998</v>
      </c>
    </row>
    <row r="92" spans="1:13" ht="15" customHeight="1" x14ac:dyDescent="0.3">
      <c r="A92" s="61">
        <v>86</v>
      </c>
      <c r="B92" s="4" t="s">
        <v>949</v>
      </c>
      <c r="C92" s="4" t="s">
        <v>950</v>
      </c>
      <c r="D92" s="5" t="s">
        <v>951</v>
      </c>
      <c r="E92" s="10">
        <v>1671208.36</v>
      </c>
      <c r="F92" s="4" t="s">
        <v>43</v>
      </c>
      <c r="G92" s="4" t="s">
        <v>816</v>
      </c>
      <c r="H92" s="8">
        <f t="shared" si="6"/>
        <v>20054500.32</v>
      </c>
      <c r="I92" s="8">
        <f t="shared" si="7"/>
        <v>60163500.960000001</v>
      </c>
      <c r="J92" s="8">
        <v>50000</v>
      </c>
      <c r="K92" s="8">
        <v>250000</v>
      </c>
      <c r="L92" s="8">
        <v>50000</v>
      </c>
      <c r="M92" s="8">
        <f t="shared" si="8"/>
        <v>360981.00575999997</v>
      </c>
    </row>
    <row r="93" spans="1:13" s="3" customFormat="1" ht="33" customHeight="1" x14ac:dyDescent="0.3">
      <c r="B93" s="65"/>
      <c r="C93" s="65"/>
      <c r="D93" s="65"/>
      <c r="E93" s="66"/>
      <c r="F93" s="65"/>
      <c r="G93" s="65"/>
      <c r="H93" s="67">
        <f t="shared" ref="H93:M93" si="9">SUM(H7:H92)</f>
        <v>462262946.40000004</v>
      </c>
      <c r="I93" s="67">
        <f t="shared" si="9"/>
        <v>1386788839.2000003</v>
      </c>
      <c r="J93" s="67">
        <f t="shared" si="9"/>
        <v>4300000</v>
      </c>
      <c r="K93" s="67">
        <f t="shared" si="9"/>
        <v>21500000</v>
      </c>
      <c r="L93" s="67">
        <f t="shared" si="9"/>
        <v>4300000</v>
      </c>
      <c r="M93" s="67">
        <f t="shared" si="9"/>
        <v>8320733.0351999998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1BCC-6318-40BC-B402-1030BF9DC503}">
  <sheetPr>
    <pageSetUpPr fitToPage="1"/>
  </sheetPr>
  <dimension ref="A1:S188"/>
  <sheetViews>
    <sheetView topLeftCell="I176" zoomScale="80" zoomScaleNormal="80" workbookViewId="0">
      <selection activeCell="Q1" sqref="Q1"/>
    </sheetView>
  </sheetViews>
  <sheetFormatPr defaultRowHeight="14.4" x14ac:dyDescent="0.3"/>
  <cols>
    <col min="1" max="1" width="11.21875" customWidth="1"/>
    <col min="2" max="2" width="19.21875" bestFit="1" customWidth="1"/>
    <col min="3" max="3" width="20.21875" bestFit="1" customWidth="1"/>
    <col min="4" max="4" width="22.5546875" customWidth="1"/>
    <col min="5" max="5" width="32.44140625" bestFit="1" customWidth="1"/>
    <col min="6" max="7" width="17.44140625" style="85" customWidth="1"/>
    <col min="8" max="8" width="18.77734375" style="85" customWidth="1"/>
    <col min="9" max="9" width="20" customWidth="1"/>
    <col min="10" max="10" width="16.44140625" bestFit="1" customWidth="1"/>
    <col min="11" max="11" width="17.77734375" bestFit="1" customWidth="1"/>
    <col min="12" max="12" width="17.77734375" customWidth="1"/>
    <col min="13" max="13" width="20.77734375" bestFit="1" customWidth="1"/>
    <col min="14" max="14" width="14.5546875" customWidth="1"/>
    <col min="15" max="15" width="16.21875" bestFit="1" customWidth="1"/>
    <col min="16" max="16" width="16.5546875" bestFit="1" customWidth="1"/>
    <col min="17" max="17" width="16.5546875" customWidth="1"/>
    <col min="18" max="18" width="15.21875" bestFit="1" customWidth="1"/>
    <col min="19" max="19" width="28.5546875" customWidth="1"/>
  </cols>
  <sheetData>
    <row r="1" spans="1:19" ht="43.8" thickBot="1" x14ac:dyDescent="0.35">
      <c r="A1" t="s">
        <v>12</v>
      </c>
      <c r="B1" t="s">
        <v>952</v>
      </c>
      <c r="C1" t="s">
        <v>953</v>
      </c>
      <c r="D1" t="s">
        <v>954</v>
      </c>
      <c r="E1" t="s">
        <v>955</v>
      </c>
      <c r="F1" s="85" t="s">
        <v>956</v>
      </c>
      <c r="G1" s="74" t="s">
        <v>17</v>
      </c>
      <c r="H1" s="74" t="s">
        <v>18</v>
      </c>
      <c r="I1" t="s">
        <v>957</v>
      </c>
      <c r="J1" t="s">
        <v>297</v>
      </c>
      <c r="K1" t="s">
        <v>25</v>
      </c>
      <c r="L1" t="s">
        <v>1562</v>
      </c>
      <c r="M1" t="s">
        <v>298</v>
      </c>
      <c r="N1" t="s">
        <v>1561</v>
      </c>
      <c r="O1" t="s">
        <v>27</v>
      </c>
      <c r="P1" t="s">
        <v>28</v>
      </c>
      <c r="Q1" s="148" t="s">
        <v>1563</v>
      </c>
      <c r="R1" t="s">
        <v>1564</v>
      </c>
      <c r="S1" t="s">
        <v>1368</v>
      </c>
    </row>
    <row r="2" spans="1:19" x14ac:dyDescent="0.3">
      <c r="A2" t="s">
        <v>959</v>
      </c>
      <c r="B2" t="s">
        <v>65</v>
      </c>
      <c r="C2" t="s">
        <v>303</v>
      </c>
      <c r="D2" t="s">
        <v>304</v>
      </c>
      <c r="E2" t="s">
        <v>43</v>
      </c>
      <c r="F2" s="86">
        <v>22920</v>
      </c>
      <c r="G2" s="86" t="s">
        <v>1186</v>
      </c>
      <c r="H2" s="134">
        <v>44986</v>
      </c>
      <c r="I2" s="70">
        <v>11550</v>
      </c>
      <c r="J2" s="70">
        <f>Table1[[#This Row],[DAY RATE]]*22*12</f>
        <v>3049200</v>
      </c>
      <c r="K2" s="70">
        <f>Table1[[#This Row],[Annual Salary]]*3</f>
        <v>9147600</v>
      </c>
      <c r="L2" s="70">
        <f>6/1000*Table1[[#This Row],[Sum Assured]]</f>
        <v>54885.599999999999</v>
      </c>
      <c r="M2" s="70">
        <v>50000</v>
      </c>
      <c r="N2" s="70">
        <f>0.09%*Table1[[#This Row],[Permanent Disability]]</f>
        <v>45</v>
      </c>
      <c r="O2" s="70">
        <v>250000</v>
      </c>
      <c r="P2" s="70">
        <v>50000</v>
      </c>
      <c r="Q2" s="70">
        <v>92.307692307692307</v>
      </c>
      <c r="R2" s="70">
        <f>Table1[[#This Row],[Death Premium]]+Table1[[#This Row],[PD Premium]]+Table1[[#This Row],[Riders'' premium (Burial expenses &amp; Spousal cover)]]</f>
        <v>55022.907692307694</v>
      </c>
      <c r="S2" s="70">
        <v>0</v>
      </c>
    </row>
    <row r="3" spans="1:19" x14ac:dyDescent="0.3">
      <c r="A3" t="s">
        <v>960</v>
      </c>
      <c r="B3" t="s">
        <v>309</v>
      </c>
      <c r="C3" t="s">
        <v>308</v>
      </c>
      <c r="D3" t="s">
        <v>310</v>
      </c>
      <c r="E3" t="s">
        <v>43</v>
      </c>
      <c r="F3" s="86">
        <v>25934</v>
      </c>
      <c r="G3" s="86" t="s">
        <v>1186</v>
      </c>
      <c r="H3" s="134">
        <v>39917</v>
      </c>
      <c r="I3" s="70">
        <v>8250</v>
      </c>
      <c r="J3" s="70">
        <f>Table1[[#This Row],[DAY RATE]]*22*12</f>
        <v>2178000</v>
      </c>
      <c r="K3" s="70">
        <f>Table1[[#This Row],[Annual Salary]]*3</f>
        <v>6534000</v>
      </c>
      <c r="L3" s="70">
        <f>6/1000*Table1[[#This Row],[Sum Assured]]</f>
        <v>39204</v>
      </c>
      <c r="M3" s="70">
        <v>50000</v>
      </c>
      <c r="N3" s="70">
        <f>0.09%*Table1[[#This Row],[Permanent Disability]]</f>
        <v>45</v>
      </c>
      <c r="O3" s="70">
        <v>250000</v>
      </c>
      <c r="P3" s="70">
        <v>50000</v>
      </c>
      <c r="Q3" s="70">
        <v>92.307692307692307</v>
      </c>
      <c r="R3" s="70">
        <f>Table1[[#This Row],[Death Premium]]+Table1[[#This Row],[PD Premium]]+Table1[[#This Row],[Riders'' premium (Burial expenses &amp; Spousal cover)]]</f>
        <v>39341.307692307695</v>
      </c>
      <c r="S3" s="70" t="s">
        <v>1405</v>
      </c>
    </row>
    <row r="4" spans="1:19" x14ac:dyDescent="0.3">
      <c r="A4" t="s">
        <v>961</v>
      </c>
      <c r="B4" t="s">
        <v>317</v>
      </c>
      <c r="C4" t="s">
        <v>301</v>
      </c>
      <c r="D4" t="s">
        <v>318</v>
      </c>
      <c r="E4" t="s">
        <v>43</v>
      </c>
      <c r="F4" s="86">
        <v>25934</v>
      </c>
      <c r="G4" s="86" t="s">
        <v>1186</v>
      </c>
      <c r="H4" s="134">
        <v>39995</v>
      </c>
      <c r="I4" s="70">
        <v>13200</v>
      </c>
      <c r="J4" s="70">
        <f>Table1[[#This Row],[DAY RATE]]*22*12</f>
        <v>3484800</v>
      </c>
      <c r="K4" s="70">
        <f>Table1[[#This Row],[Annual Salary]]*3</f>
        <v>10454400</v>
      </c>
      <c r="L4" s="70">
        <f>6/1000*Table1[[#This Row],[Sum Assured]]</f>
        <v>62726.400000000001</v>
      </c>
      <c r="M4" s="70">
        <v>50000</v>
      </c>
      <c r="N4" s="70">
        <f>0.09%*Table1[[#This Row],[Permanent Disability]]</f>
        <v>45</v>
      </c>
      <c r="O4" s="70">
        <v>250000</v>
      </c>
      <c r="P4" s="70">
        <v>50000</v>
      </c>
      <c r="Q4" s="70">
        <v>92.307692307692307</v>
      </c>
      <c r="R4" s="70">
        <f>Table1[[#This Row],[Death Premium]]+Table1[[#This Row],[PD Premium]]+Table1[[#This Row],[Riders'' premium (Burial expenses &amp; Spousal cover)]]</f>
        <v>62863.707692307697</v>
      </c>
      <c r="S4" s="70">
        <v>0</v>
      </c>
    </row>
    <row r="5" spans="1:19" x14ac:dyDescent="0.3">
      <c r="A5" t="s">
        <v>962</v>
      </c>
      <c r="B5" t="s">
        <v>320</v>
      </c>
      <c r="C5" t="s">
        <v>319</v>
      </c>
      <c r="D5" t="s">
        <v>310</v>
      </c>
      <c r="E5" t="s">
        <v>34</v>
      </c>
      <c r="F5" s="86">
        <v>25934</v>
      </c>
      <c r="G5" s="86" t="s">
        <v>1186</v>
      </c>
      <c r="H5" s="134">
        <v>44564</v>
      </c>
      <c r="I5" s="70">
        <v>8250</v>
      </c>
      <c r="J5" s="70">
        <f>Table1[[#This Row],[DAY RATE]]*22*12</f>
        <v>2178000</v>
      </c>
      <c r="K5" s="70">
        <f>Table1[[#This Row],[Annual Salary]]*3</f>
        <v>6534000</v>
      </c>
      <c r="L5" s="70">
        <f>6/1000*Table1[[#This Row],[Sum Assured]]</f>
        <v>39204</v>
      </c>
      <c r="M5" s="70">
        <v>50000</v>
      </c>
      <c r="N5" s="70">
        <f>0.09%*Table1[[#This Row],[Permanent Disability]]</f>
        <v>45</v>
      </c>
      <c r="O5" s="70">
        <v>250000</v>
      </c>
      <c r="P5" s="70">
        <v>50000</v>
      </c>
      <c r="Q5" s="70">
        <v>92.307692307692307</v>
      </c>
      <c r="R5" s="70">
        <f>Table1[[#This Row],[Death Premium]]+Table1[[#This Row],[PD Premium]]+Table1[[#This Row],[Riders'' premium (Burial expenses &amp; Spousal cover)]]</f>
        <v>39341.307692307695</v>
      </c>
      <c r="S5" s="70">
        <v>0</v>
      </c>
    </row>
    <row r="6" spans="1:19" x14ac:dyDescent="0.3">
      <c r="A6" t="s">
        <v>963</v>
      </c>
      <c r="B6" t="s">
        <v>322</v>
      </c>
      <c r="C6" t="s">
        <v>321</v>
      </c>
      <c r="D6" t="s">
        <v>323</v>
      </c>
      <c r="E6" t="s">
        <v>43</v>
      </c>
      <c r="F6" s="86">
        <v>25934</v>
      </c>
      <c r="G6" s="86" t="s">
        <v>1186</v>
      </c>
      <c r="H6" s="134">
        <v>40857</v>
      </c>
      <c r="I6" s="70">
        <v>14850</v>
      </c>
      <c r="J6" s="70">
        <f>Table1[[#This Row],[DAY RATE]]*22*12</f>
        <v>3920400</v>
      </c>
      <c r="K6" s="70">
        <f>Table1[[#This Row],[Annual Salary]]*3</f>
        <v>11761200</v>
      </c>
      <c r="L6" s="70">
        <f>6/1000*Table1[[#This Row],[Sum Assured]]</f>
        <v>70567.199999999997</v>
      </c>
      <c r="M6" s="70">
        <v>50000</v>
      </c>
      <c r="N6" s="70">
        <f>0.09%*Table1[[#This Row],[Permanent Disability]]</f>
        <v>45</v>
      </c>
      <c r="O6" s="70">
        <v>250000</v>
      </c>
      <c r="P6" s="70">
        <v>50000</v>
      </c>
      <c r="Q6" s="70">
        <v>92.307692307692307</v>
      </c>
      <c r="R6" s="70">
        <f>Table1[[#This Row],[Death Premium]]+Table1[[#This Row],[PD Premium]]+Table1[[#This Row],[Riders'' premium (Burial expenses &amp; Spousal cover)]]</f>
        <v>70704.507692307685</v>
      </c>
      <c r="S6" s="70">
        <v>0</v>
      </c>
    </row>
    <row r="7" spans="1:19" x14ac:dyDescent="0.3">
      <c r="A7" t="s">
        <v>964</v>
      </c>
      <c r="B7" t="s">
        <v>325</v>
      </c>
      <c r="C7" t="s">
        <v>324</v>
      </c>
      <c r="D7" t="s">
        <v>326</v>
      </c>
      <c r="E7" t="s">
        <v>34</v>
      </c>
      <c r="F7" s="86">
        <v>25934</v>
      </c>
      <c r="G7" s="86" t="s">
        <v>1186</v>
      </c>
      <c r="H7" s="134">
        <v>40427</v>
      </c>
      <c r="I7" s="70">
        <v>16500</v>
      </c>
      <c r="J7" s="70">
        <f>Table1[[#This Row],[DAY RATE]]*22*12</f>
        <v>4356000</v>
      </c>
      <c r="K7" s="70">
        <f>Table1[[#This Row],[Annual Salary]]*3</f>
        <v>13068000</v>
      </c>
      <c r="L7" s="70">
        <f>6/1000*Table1[[#This Row],[Sum Assured]]</f>
        <v>78408</v>
      </c>
      <c r="M7" s="70">
        <v>50000</v>
      </c>
      <c r="N7" s="70">
        <f>0.09%*Table1[[#This Row],[Permanent Disability]]</f>
        <v>45</v>
      </c>
      <c r="O7" s="70">
        <v>250000</v>
      </c>
      <c r="P7" s="70">
        <v>50000</v>
      </c>
      <c r="Q7" s="70">
        <v>92.307692307692307</v>
      </c>
      <c r="R7" s="70">
        <f>Table1[[#This Row],[Death Premium]]+Table1[[#This Row],[PD Premium]]+Table1[[#This Row],[Riders'' premium (Burial expenses &amp; Spousal cover)]]</f>
        <v>78545.307692307688</v>
      </c>
      <c r="S7" s="70" t="s">
        <v>1406</v>
      </c>
    </row>
    <row r="8" spans="1:19" x14ac:dyDescent="0.3">
      <c r="A8" t="s">
        <v>965</v>
      </c>
      <c r="B8" t="s">
        <v>328</v>
      </c>
      <c r="C8" t="s">
        <v>327</v>
      </c>
      <c r="D8" t="s">
        <v>329</v>
      </c>
      <c r="E8" t="s">
        <v>43</v>
      </c>
      <c r="F8" s="86">
        <v>25934</v>
      </c>
      <c r="G8" s="86" t="s">
        <v>1186</v>
      </c>
      <c r="H8" s="134">
        <v>44927</v>
      </c>
      <c r="I8" s="70">
        <v>9075</v>
      </c>
      <c r="J8" s="70">
        <f>Table1[[#This Row],[DAY RATE]]*22*12</f>
        <v>2395800</v>
      </c>
      <c r="K8" s="70">
        <f>Table1[[#This Row],[Annual Salary]]*3</f>
        <v>7187400</v>
      </c>
      <c r="L8" s="70">
        <f>6/1000*Table1[[#This Row],[Sum Assured]]</f>
        <v>43124.4</v>
      </c>
      <c r="M8" s="70">
        <v>50000</v>
      </c>
      <c r="N8" s="70">
        <f>0.09%*Table1[[#This Row],[Permanent Disability]]</f>
        <v>45</v>
      </c>
      <c r="O8" s="70">
        <v>250000</v>
      </c>
      <c r="P8" s="70">
        <v>50000</v>
      </c>
      <c r="Q8" s="70">
        <v>92.307692307692307</v>
      </c>
      <c r="R8" s="70">
        <f>Table1[[#This Row],[Death Premium]]+Table1[[#This Row],[PD Premium]]+Table1[[#This Row],[Riders'' premium (Burial expenses &amp; Spousal cover)]]</f>
        <v>43261.707692307697</v>
      </c>
      <c r="S8" s="70" t="s">
        <v>1407</v>
      </c>
    </row>
    <row r="9" spans="1:19" x14ac:dyDescent="0.3">
      <c r="A9" t="s">
        <v>966</v>
      </c>
      <c r="B9" t="s">
        <v>331</v>
      </c>
      <c r="C9" t="s">
        <v>330</v>
      </c>
      <c r="D9" t="s">
        <v>332</v>
      </c>
      <c r="E9" t="s">
        <v>43</v>
      </c>
      <c r="F9" s="86">
        <v>25934</v>
      </c>
      <c r="G9" s="86" t="s">
        <v>1186</v>
      </c>
      <c r="H9" s="134">
        <v>44927</v>
      </c>
      <c r="I9" s="70">
        <v>11550</v>
      </c>
      <c r="J9" s="70">
        <f>Table1[[#This Row],[DAY RATE]]*22*12</f>
        <v>3049200</v>
      </c>
      <c r="K9" s="70">
        <f>Table1[[#This Row],[Annual Salary]]*3</f>
        <v>9147600</v>
      </c>
      <c r="L9" s="70">
        <f>6/1000*Table1[[#This Row],[Sum Assured]]</f>
        <v>54885.599999999999</v>
      </c>
      <c r="M9" s="70">
        <v>50000</v>
      </c>
      <c r="N9" s="70">
        <f>0.09%*Table1[[#This Row],[Permanent Disability]]</f>
        <v>45</v>
      </c>
      <c r="O9" s="70">
        <v>250000</v>
      </c>
      <c r="P9" s="70">
        <v>50000</v>
      </c>
      <c r="Q9" s="70">
        <v>92.307692307692307</v>
      </c>
      <c r="R9" s="70">
        <f>Table1[[#This Row],[Death Premium]]+Table1[[#This Row],[PD Premium]]+Table1[[#This Row],[Riders'' premium (Burial expenses &amp; Spousal cover)]]</f>
        <v>55022.907692307694</v>
      </c>
      <c r="S9" s="70" t="s">
        <v>1408</v>
      </c>
    </row>
    <row r="10" spans="1:19" x14ac:dyDescent="0.3">
      <c r="A10" t="s">
        <v>967</v>
      </c>
      <c r="B10" t="s">
        <v>968</v>
      </c>
      <c r="C10" t="s">
        <v>666</v>
      </c>
      <c r="D10" t="s">
        <v>969</v>
      </c>
      <c r="E10" t="s">
        <v>34</v>
      </c>
      <c r="F10" s="86">
        <v>25934</v>
      </c>
      <c r="G10" s="86" t="s">
        <v>1186</v>
      </c>
      <c r="H10" s="134">
        <v>44927</v>
      </c>
      <c r="I10" s="70">
        <v>11550</v>
      </c>
      <c r="J10" s="70">
        <f>Table1[[#This Row],[DAY RATE]]*22*12</f>
        <v>3049200</v>
      </c>
      <c r="K10" s="70">
        <f>Table1[[#This Row],[Annual Salary]]*3</f>
        <v>9147600</v>
      </c>
      <c r="L10" s="70">
        <f>6/1000*Table1[[#This Row],[Sum Assured]]</f>
        <v>54885.599999999999</v>
      </c>
      <c r="M10" s="70">
        <v>50000</v>
      </c>
      <c r="N10" s="70">
        <f>0.09%*Table1[[#This Row],[Permanent Disability]]</f>
        <v>45</v>
      </c>
      <c r="O10" s="70">
        <v>250000</v>
      </c>
      <c r="P10" s="70">
        <v>50000</v>
      </c>
      <c r="Q10" s="70">
        <v>92.307692307692307</v>
      </c>
      <c r="R10" s="70">
        <f>Table1[[#This Row],[Death Premium]]+Table1[[#This Row],[PD Premium]]+Table1[[#This Row],[Riders'' premium (Burial expenses &amp; Spousal cover)]]</f>
        <v>55022.907692307694</v>
      </c>
      <c r="S10" s="70" t="s">
        <v>1409</v>
      </c>
    </row>
    <row r="11" spans="1:19" x14ac:dyDescent="0.3">
      <c r="A11" t="s">
        <v>970</v>
      </c>
      <c r="B11" t="s">
        <v>334</v>
      </c>
      <c r="C11" t="s">
        <v>333</v>
      </c>
      <c r="D11" t="s">
        <v>335</v>
      </c>
      <c r="E11" t="s">
        <v>43</v>
      </c>
      <c r="F11" s="86">
        <v>25934</v>
      </c>
      <c r="G11" s="86" t="s">
        <v>1186</v>
      </c>
      <c r="H11" s="134">
        <v>44927</v>
      </c>
      <c r="I11" s="70">
        <v>8250</v>
      </c>
      <c r="J11" s="70">
        <f>Table1[[#This Row],[DAY RATE]]*22*12</f>
        <v>2178000</v>
      </c>
      <c r="K11" s="70">
        <f>Table1[[#This Row],[Annual Salary]]*3</f>
        <v>6534000</v>
      </c>
      <c r="L11" s="70">
        <f>6/1000*Table1[[#This Row],[Sum Assured]]</f>
        <v>39204</v>
      </c>
      <c r="M11" s="70">
        <v>50000</v>
      </c>
      <c r="N11" s="70">
        <f>0.09%*Table1[[#This Row],[Permanent Disability]]</f>
        <v>45</v>
      </c>
      <c r="O11" s="70">
        <v>250000</v>
      </c>
      <c r="P11" s="70">
        <v>50000</v>
      </c>
      <c r="Q11" s="70">
        <v>92.307692307692307</v>
      </c>
      <c r="R11" s="70">
        <f>Table1[[#This Row],[Death Premium]]+Table1[[#This Row],[PD Premium]]+Table1[[#This Row],[Riders'' premium (Burial expenses &amp; Spousal cover)]]</f>
        <v>39341.307692307695</v>
      </c>
      <c r="S11" s="70" t="s">
        <v>1410</v>
      </c>
    </row>
    <row r="12" spans="1:19" x14ac:dyDescent="0.3">
      <c r="A12" t="s">
        <v>971</v>
      </c>
      <c r="B12" t="s">
        <v>339</v>
      </c>
      <c r="C12" t="s">
        <v>338</v>
      </c>
      <c r="D12" t="s">
        <v>340</v>
      </c>
      <c r="E12" t="s">
        <v>43</v>
      </c>
      <c r="F12" s="86">
        <v>25934</v>
      </c>
      <c r="G12" s="86" t="s">
        <v>1186</v>
      </c>
      <c r="H12" s="134">
        <v>41338</v>
      </c>
      <c r="I12" s="70">
        <v>21000</v>
      </c>
      <c r="J12" s="70">
        <f>Table1[[#This Row],[DAY RATE]]*22*12</f>
        <v>5544000</v>
      </c>
      <c r="K12" s="70">
        <f>Table1[[#This Row],[Annual Salary]]*3</f>
        <v>16632000</v>
      </c>
      <c r="L12" s="70">
        <f>6/1000*Table1[[#This Row],[Sum Assured]]</f>
        <v>99792</v>
      </c>
      <c r="M12" s="70">
        <v>50000</v>
      </c>
      <c r="N12" s="70">
        <f>0.09%*Table1[[#This Row],[Permanent Disability]]</f>
        <v>45</v>
      </c>
      <c r="O12" s="70">
        <v>250000</v>
      </c>
      <c r="P12" s="70">
        <v>50000</v>
      </c>
      <c r="Q12" s="70">
        <v>92.307692307692307</v>
      </c>
      <c r="R12" s="70">
        <f>Table1[[#This Row],[Death Premium]]+Table1[[#This Row],[PD Premium]]+Table1[[#This Row],[Riders'' premium (Burial expenses &amp; Spousal cover)]]</f>
        <v>99929.307692307688</v>
      </c>
      <c r="S12" s="70" t="s">
        <v>1411</v>
      </c>
    </row>
    <row r="13" spans="1:19" x14ac:dyDescent="0.3">
      <c r="A13" t="s">
        <v>972</v>
      </c>
      <c r="B13" t="s">
        <v>348</v>
      </c>
      <c r="C13" t="s">
        <v>347</v>
      </c>
      <c r="D13" t="s">
        <v>346</v>
      </c>
      <c r="E13" t="s">
        <v>34</v>
      </c>
      <c r="F13" s="86">
        <v>25934</v>
      </c>
      <c r="G13" s="86" t="s">
        <v>1186</v>
      </c>
      <c r="H13" s="134">
        <v>44564</v>
      </c>
      <c r="I13" s="70">
        <v>18150</v>
      </c>
      <c r="J13" s="70">
        <f>Table1[[#This Row],[DAY RATE]]*22*12</f>
        <v>4791600</v>
      </c>
      <c r="K13" s="70">
        <f>Table1[[#This Row],[Annual Salary]]*3</f>
        <v>14374800</v>
      </c>
      <c r="L13" s="70">
        <f>6/1000*Table1[[#This Row],[Sum Assured]]</f>
        <v>86248.8</v>
      </c>
      <c r="M13" s="70">
        <v>50000</v>
      </c>
      <c r="N13" s="70">
        <f>0.09%*Table1[[#This Row],[Permanent Disability]]</f>
        <v>45</v>
      </c>
      <c r="O13" s="70">
        <v>250000</v>
      </c>
      <c r="P13" s="70">
        <v>50000</v>
      </c>
      <c r="Q13" s="70">
        <v>92.307692307692307</v>
      </c>
      <c r="R13" s="70">
        <f>Table1[[#This Row],[Death Premium]]+Table1[[#This Row],[PD Premium]]+Table1[[#This Row],[Riders'' premium (Burial expenses &amp; Spousal cover)]]</f>
        <v>86386.107692307691</v>
      </c>
      <c r="S13" s="70" t="s">
        <v>1412</v>
      </c>
    </row>
    <row r="14" spans="1:19" x14ac:dyDescent="0.3">
      <c r="A14" t="s">
        <v>973</v>
      </c>
      <c r="B14" t="s">
        <v>330</v>
      </c>
      <c r="C14" t="s">
        <v>102</v>
      </c>
      <c r="D14" t="s">
        <v>354</v>
      </c>
      <c r="E14" t="s">
        <v>43</v>
      </c>
      <c r="F14" s="86">
        <v>25934</v>
      </c>
      <c r="G14" s="86" t="s">
        <v>1186</v>
      </c>
      <c r="H14" s="134">
        <v>41932</v>
      </c>
      <c r="I14" s="70">
        <v>8250</v>
      </c>
      <c r="J14" s="70">
        <f>Table1[[#This Row],[DAY RATE]]*22*12</f>
        <v>2178000</v>
      </c>
      <c r="K14" s="70">
        <f>Table1[[#This Row],[Annual Salary]]*3</f>
        <v>6534000</v>
      </c>
      <c r="L14" s="70">
        <f>6/1000*Table1[[#This Row],[Sum Assured]]</f>
        <v>39204</v>
      </c>
      <c r="M14" s="70">
        <v>50000</v>
      </c>
      <c r="N14" s="70">
        <f>0.09%*Table1[[#This Row],[Permanent Disability]]</f>
        <v>45</v>
      </c>
      <c r="O14" s="70">
        <v>250000</v>
      </c>
      <c r="P14" s="70">
        <v>50000</v>
      </c>
      <c r="Q14" s="70">
        <v>92.307692307692307</v>
      </c>
      <c r="R14" s="70">
        <f>Table1[[#This Row],[Death Premium]]+Table1[[#This Row],[PD Premium]]+Table1[[#This Row],[Riders'' premium (Burial expenses &amp; Spousal cover)]]</f>
        <v>39341.307692307695</v>
      </c>
      <c r="S14" s="70">
        <v>0</v>
      </c>
    </row>
    <row r="15" spans="1:19" x14ac:dyDescent="0.3">
      <c r="A15" t="s">
        <v>975</v>
      </c>
      <c r="B15" t="s">
        <v>355</v>
      </c>
      <c r="C15" t="s">
        <v>330</v>
      </c>
      <c r="D15" t="s">
        <v>313</v>
      </c>
      <c r="E15" t="s">
        <v>664</v>
      </c>
      <c r="F15" s="86">
        <v>28277</v>
      </c>
      <c r="G15" s="86" t="s">
        <v>1186</v>
      </c>
      <c r="H15" s="134">
        <v>42045</v>
      </c>
      <c r="I15" s="70">
        <v>12375</v>
      </c>
      <c r="J15" s="70">
        <f>Table1[[#This Row],[DAY RATE]]*22*12</f>
        <v>3267000</v>
      </c>
      <c r="K15" s="70">
        <f>Table1[[#This Row],[Annual Salary]]*3</f>
        <v>9801000</v>
      </c>
      <c r="L15" s="70">
        <f>6/1000*Table1[[#This Row],[Sum Assured]]</f>
        <v>58806</v>
      </c>
      <c r="M15" s="70">
        <v>50000</v>
      </c>
      <c r="N15" s="70">
        <f>0.09%*Table1[[#This Row],[Permanent Disability]]</f>
        <v>45</v>
      </c>
      <c r="O15" s="70">
        <v>250000</v>
      </c>
      <c r="P15" s="70">
        <v>50000</v>
      </c>
      <c r="Q15" s="70">
        <v>92.307692307692307</v>
      </c>
      <c r="R15" s="70">
        <f>Table1[[#This Row],[Death Premium]]+Table1[[#This Row],[PD Premium]]+Table1[[#This Row],[Riders'' premium (Burial expenses &amp; Spousal cover)]]</f>
        <v>58943.307692307695</v>
      </c>
      <c r="S15" s="70" t="s">
        <v>1413</v>
      </c>
    </row>
    <row r="16" spans="1:19" x14ac:dyDescent="0.3">
      <c r="A16" t="s">
        <v>976</v>
      </c>
      <c r="B16" t="s">
        <v>977</v>
      </c>
      <c r="C16" t="s">
        <v>397</v>
      </c>
      <c r="D16" t="s">
        <v>313</v>
      </c>
      <c r="E16" t="s">
        <v>34</v>
      </c>
      <c r="F16" s="86">
        <v>25934</v>
      </c>
      <c r="G16" s="86" t="s">
        <v>1186</v>
      </c>
      <c r="H16" s="134">
        <v>44564</v>
      </c>
      <c r="I16" s="70">
        <v>12375</v>
      </c>
      <c r="J16" s="70">
        <f>Table1[[#This Row],[DAY RATE]]*22*12</f>
        <v>3267000</v>
      </c>
      <c r="K16" s="70">
        <f>Table1[[#This Row],[Annual Salary]]*3</f>
        <v>9801000</v>
      </c>
      <c r="L16" s="70">
        <f>6/1000*Table1[[#This Row],[Sum Assured]]</f>
        <v>58806</v>
      </c>
      <c r="M16" s="70">
        <v>50000</v>
      </c>
      <c r="N16" s="70">
        <f>0.09%*Table1[[#This Row],[Permanent Disability]]</f>
        <v>45</v>
      </c>
      <c r="O16" s="70">
        <v>250000</v>
      </c>
      <c r="P16" s="70">
        <v>50000</v>
      </c>
      <c r="Q16" s="70">
        <v>92.307692307692307</v>
      </c>
      <c r="R16" s="70">
        <f>Table1[[#This Row],[Death Premium]]+Table1[[#This Row],[PD Premium]]+Table1[[#This Row],[Riders'' premium (Burial expenses &amp; Spousal cover)]]</f>
        <v>58943.307692307695</v>
      </c>
      <c r="S16" s="70" t="s">
        <v>1414</v>
      </c>
    </row>
    <row r="17" spans="1:19" x14ac:dyDescent="0.3">
      <c r="A17" t="s">
        <v>978</v>
      </c>
      <c r="B17" t="s">
        <v>361</v>
      </c>
      <c r="C17" t="s">
        <v>360</v>
      </c>
      <c r="D17" t="s">
        <v>506</v>
      </c>
      <c r="E17" t="s">
        <v>34</v>
      </c>
      <c r="F17" s="86">
        <v>25934</v>
      </c>
      <c r="G17" s="86" t="s">
        <v>1186</v>
      </c>
      <c r="H17" s="134">
        <v>44564</v>
      </c>
      <c r="I17" s="70">
        <v>13200</v>
      </c>
      <c r="J17" s="70">
        <f>Table1[[#This Row],[DAY RATE]]*22*12</f>
        <v>3484800</v>
      </c>
      <c r="K17" s="70">
        <f>Table1[[#This Row],[Annual Salary]]*3</f>
        <v>10454400</v>
      </c>
      <c r="L17" s="70">
        <f>6/1000*Table1[[#This Row],[Sum Assured]]</f>
        <v>62726.400000000001</v>
      </c>
      <c r="M17" s="70">
        <v>50000</v>
      </c>
      <c r="N17" s="70">
        <f>0.09%*Table1[[#This Row],[Permanent Disability]]</f>
        <v>45</v>
      </c>
      <c r="O17" s="70">
        <v>250000</v>
      </c>
      <c r="P17" s="70">
        <v>50000</v>
      </c>
      <c r="Q17" s="70">
        <v>92.307692307692307</v>
      </c>
      <c r="R17" s="70">
        <f>Table1[[#This Row],[Death Premium]]+Table1[[#This Row],[PD Premium]]+Table1[[#This Row],[Riders'' premium (Burial expenses &amp; Spousal cover)]]</f>
        <v>62863.707692307697</v>
      </c>
      <c r="S17" s="70">
        <v>0</v>
      </c>
    </row>
    <row r="18" spans="1:19" x14ac:dyDescent="0.3">
      <c r="A18" t="s">
        <v>979</v>
      </c>
      <c r="B18" t="s">
        <v>363</v>
      </c>
      <c r="C18" t="s">
        <v>362</v>
      </c>
      <c r="D18" t="s">
        <v>346</v>
      </c>
      <c r="E18" t="s">
        <v>34</v>
      </c>
      <c r="F18" s="86">
        <v>25934</v>
      </c>
      <c r="G18" s="86" t="s">
        <v>1186</v>
      </c>
      <c r="H18" s="134">
        <v>44564</v>
      </c>
      <c r="I18" s="70">
        <v>13200</v>
      </c>
      <c r="J18" s="70">
        <f>Table1[[#This Row],[DAY RATE]]*22*12</f>
        <v>3484800</v>
      </c>
      <c r="K18" s="70">
        <f>Table1[[#This Row],[Annual Salary]]*3</f>
        <v>10454400</v>
      </c>
      <c r="L18" s="70">
        <f>6/1000*Table1[[#This Row],[Sum Assured]]</f>
        <v>62726.400000000001</v>
      </c>
      <c r="M18" s="70">
        <v>50000</v>
      </c>
      <c r="N18" s="70">
        <f>0.09%*Table1[[#This Row],[Permanent Disability]]</f>
        <v>45</v>
      </c>
      <c r="O18" s="70">
        <v>250000</v>
      </c>
      <c r="P18" s="70">
        <v>50000</v>
      </c>
      <c r="Q18" s="70">
        <v>92.307692307692307</v>
      </c>
      <c r="R18" s="70">
        <f>Table1[[#This Row],[Death Premium]]+Table1[[#This Row],[PD Premium]]+Table1[[#This Row],[Riders'' premium (Burial expenses &amp; Spousal cover)]]</f>
        <v>62863.707692307697</v>
      </c>
      <c r="S18" s="70" t="s">
        <v>1415</v>
      </c>
    </row>
    <row r="19" spans="1:19" x14ac:dyDescent="0.3">
      <c r="A19" t="s">
        <v>980</v>
      </c>
      <c r="B19" t="s">
        <v>365</v>
      </c>
      <c r="C19" t="s">
        <v>364</v>
      </c>
      <c r="D19" t="s">
        <v>335</v>
      </c>
      <c r="E19" t="s">
        <v>43</v>
      </c>
      <c r="F19" s="86">
        <v>25934</v>
      </c>
      <c r="G19" s="86" t="s">
        <v>1186</v>
      </c>
      <c r="H19" s="134">
        <v>42625</v>
      </c>
      <c r="I19" s="70">
        <v>8250</v>
      </c>
      <c r="J19" s="70">
        <f>Table1[[#This Row],[DAY RATE]]*22*12</f>
        <v>2178000</v>
      </c>
      <c r="K19" s="70">
        <f>Table1[[#This Row],[Annual Salary]]*3</f>
        <v>6534000</v>
      </c>
      <c r="L19" s="70">
        <f>6/1000*Table1[[#This Row],[Sum Assured]]</f>
        <v>39204</v>
      </c>
      <c r="M19" s="70">
        <v>50000</v>
      </c>
      <c r="N19" s="70">
        <f>0.09%*Table1[[#This Row],[Permanent Disability]]</f>
        <v>45</v>
      </c>
      <c r="O19" s="70">
        <v>250000</v>
      </c>
      <c r="P19" s="70">
        <v>50000</v>
      </c>
      <c r="Q19" s="70">
        <v>92.307692307692307</v>
      </c>
      <c r="R19" s="70">
        <f>Table1[[#This Row],[Death Premium]]+Table1[[#This Row],[PD Premium]]+Table1[[#This Row],[Riders'' premium (Burial expenses &amp; Spousal cover)]]</f>
        <v>39341.307692307695</v>
      </c>
      <c r="S19" s="70">
        <v>0</v>
      </c>
    </row>
    <row r="20" spans="1:19" x14ac:dyDescent="0.3">
      <c r="A20" t="s">
        <v>981</v>
      </c>
      <c r="B20" t="s">
        <v>367</v>
      </c>
      <c r="C20" t="s">
        <v>366</v>
      </c>
      <c r="D20" t="s">
        <v>332</v>
      </c>
      <c r="E20" t="s">
        <v>34</v>
      </c>
      <c r="F20" s="86">
        <v>25934</v>
      </c>
      <c r="G20" s="86" t="s">
        <v>1186</v>
      </c>
      <c r="H20" s="134">
        <v>42956</v>
      </c>
      <c r="I20" s="70">
        <v>11550</v>
      </c>
      <c r="J20" s="70">
        <f>Table1[[#This Row],[DAY RATE]]*22*12</f>
        <v>3049200</v>
      </c>
      <c r="K20" s="70">
        <f>Table1[[#This Row],[Annual Salary]]*3</f>
        <v>9147600</v>
      </c>
      <c r="L20" s="70">
        <f>6/1000*Table1[[#This Row],[Sum Assured]]</f>
        <v>54885.599999999999</v>
      </c>
      <c r="M20" s="70">
        <v>50000</v>
      </c>
      <c r="N20" s="70">
        <f>0.09%*Table1[[#This Row],[Permanent Disability]]</f>
        <v>45</v>
      </c>
      <c r="O20" s="70">
        <v>250000</v>
      </c>
      <c r="P20" s="70">
        <v>50000</v>
      </c>
      <c r="Q20" s="70">
        <v>92.307692307692307</v>
      </c>
      <c r="R20" s="70">
        <f>Table1[[#This Row],[Death Premium]]+Table1[[#This Row],[PD Premium]]+Table1[[#This Row],[Riders'' premium (Burial expenses &amp; Spousal cover)]]</f>
        <v>55022.907692307694</v>
      </c>
      <c r="S20" s="70" t="s">
        <v>1416</v>
      </c>
    </row>
    <row r="21" spans="1:19" x14ac:dyDescent="0.3">
      <c r="A21" t="s">
        <v>982</v>
      </c>
      <c r="B21" t="s">
        <v>185</v>
      </c>
      <c r="C21" t="s">
        <v>368</v>
      </c>
      <c r="D21" t="s">
        <v>340</v>
      </c>
      <c r="E21" t="s">
        <v>43</v>
      </c>
      <c r="F21" s="86">
        <v>25934</v>
      </c>
      <c r="G21" s="86" t="s">
        <v>1186</v>
      </c>
      <c r="H21" s="134">
        <v>43013</v>
      </c>
      <c r="I21" s="70">
        <v>21000</v>
      </c>
      <c r="J21" s="70">
        <f>Table1[[#This Row],[DAY RATE]]*22*12</f>
        <v>5544000</v>
      </c>
      <c r="K21" s="70">
        <f>Table1[[#This Row],[Annual Salary]]*3</f>
        <v>16632000</v>
      </c>
      <c r="L21" s="70">
        <f>6/1000*Table1[[#This Row],[Sum Assured]]</f>
        <v>99792</v>
      </c>
      <c r="M21" s="70">
        <v>50000</v>
      </c>
      <c r="N21" s="70">
        <f>0.09%*Table1[[#This Row],[Permanent Disability]]</f>
        <v>45</v>
      </c>
      <c r="O21" s="70">
        <v>250000</v>
      </c>
      <c r="P21" s="70">
        <v>50000</v>
      </c>
      <c r="Q21" s="70">
        <v>92.307692307692307</v>
      </c>
      <c r="R21" s="70">
        <f>Table1[[#This Row],[Death Premium]]+Table1[[#This Row],[PD Premium]]+Table1[[#This Row],[Riders'' premium (Burial expenses &amp; Spousal cover)]]</f>
        <v>99929.307692307688</v>
      </c>
      <c r="S21" s="70" t="s">
        <v>1417</v>
      </c>
    </row>
    <row r="22" spans="1:19" x14ac:dyDescent="0.3">
      <c r="A22" t="s">
        <v>983</v>
      </c>
      <c r="B22" t="s">
        <v>984</v>
      </c>
      <c r="C22" t="s">
        <v>644</v>
      </c>
      <c r="D22" t="s">
        <v>47</v>
      </c>
      <c r="E22" t="s">
        <v>34</v>
      </c>
      <c r="F22" s="86">
        <v>25934</v>
      </c>
      <c r="G22" s="86" t="s">
        <v>1186</v>
      </c>
      <c r="H22" s="134">
        <v>44564</v>
      </c>
      <c r="I22" s="70">
        <v>9075</v>
      </c>
      <c r="J22" s="70">
        <f>Table1[[#This Row],[DAY RATE]]*22*12</f>
        <v>2395800</v>
      </c>
      <c r="K22" s="70">
        <f>Table1[[#This Row],[Annual Salary]]*3</f>
        <v>7187400</v>
      </c>
      <c r="L22" s="70">
        <f>6/1000*Table1[[#This Row],[Sum Assured]]</f>
        <v>43124.4</v>
      </c>
      <c r="M22" s="70">
        <v>50000</v>
      </c>
      <c r="N22" s="70">
        <f>0.09%*Table1[[#This Row],[Permanent Disability]]</f>
        <v>45</v>
      </c>
      <c r="O22" s="70">
        <v>250000</v>
      </c>
      <c r="P22" s="70">
        <v>50000</v>
      </c>
      <c r="Q22" s="70">
        <v>92.307692307692307</v>
      </c>
      <c r="R22" s="70">
        <f>Table1[[#This Row],[Death Premium]]+Table1[[#This Row],[PD Premium]]+Table1[[#This Row],[Riders'' premium (Burial expenses &amp; Spousal cover)]]</f>
        <v>43261.707692307697</v>
      </c>
      <c r="S22" s="70" t="s">
        <v>1418</v>
      </c>
    </row>
    <row r="23" spans="1:19" x14ac:dyDescent="0.3">
      <c r="A23" t="s">
        <v>985</v>
      </c>
      <c r="B23" t="s">
        <v>986</v>
      </c>
      <c r="C23" t="s">
        <v>485</v>
      </c>
      <c r="D23" t="s">
        <v>47</v>
      </c>
      <c r="E23" t="s">
        <v>34</v>
      </c>
      <c r="F23" s="86">
        <v>25934</v>
      </c>
      <c r="G23" s="86" t="s">
        <v>1186</v>
      </c>
      <c r="H23" s="134">
        <v>44564</v>
      </c>
      <c r="I23" s="70">
        <v>9075</v>
      </c>
      <c r="J23" s="70">
        <f>Table1[[#This Row],[DAY RATE]]*22*12</f>
        <v>2395800</v>
      </c>
      <c r="K23" s="70">
        <f>Table1[[#This Row],[Annual Salary]]*3</f>
        <v>7187400</v>
      </c>
      <c r="L23" s="70">
        <f>6/1000*Table1[[#This Row],[Sum Assured]]</f>
        <v>43124.4</v>
      </c>
      <c r="M23" s="70">
        <v>50000</v>
      </c>
      <c r="N23" s="70">
        <f>0.09%*Table1[[#This Row],[Permanent Disability]]</f>
        <v>45</v>
      </c>
      <c r="O23" s="70">
        <v>250000</v>
      </c>
      <c r="P23" s="70">
        <v>50000</v>
      </c>
      <c r="Q23" s="70">
        <v>92.307692307692307</v>
      </c>
      <c r="R23" s="70">
        <f>Table1[[#This Row],[Death Premium]]+Table1[[#This Row],[PD Premium]]+Table1[[#This Row],[Riders'' premium (Burial expenses &amp; Spousal cover)]]</f>
        <v>43261.707692307697</v>
      </c>
      <c r="S23" s="70" t="s">
        <v>1419</v>
      </c>
    </row>
    <row r="24" spans="1:19" x14ac:dyDescent="0.3">
      <c r="A24" t="s">
        <v>987</v>
      </c>
      <c r="B24" t="s">
        <v>376</v>
      </c>
      <c r="C24" t="s">
        <v>375</v>
      </c>
      <c r="D24" t="s">
        <v>377</v>
      </c>
      <c r="E24" t="s">
        <v>43</v>
      </c>
      <c r="F24" s="86">
        <v>30079</v>
      </c>
      <c r="G24" s="86" t="s">
        <v>1186</v>
      </c>
      <c r="H24" s="134">
        <v>45017</v>
      </c>
      <c r="I24" s="70">
        <v>21000</v>
      </c>
      <c r="J24" s="70">
        <f>Table1[[#This Row],[DAY RATE]]*22*12</f>
        <v>5544000</v>
      </c>
      <c r="K24" s="70">
        <f>Table1[[#This Row],[Annual Salary]]*3</f>
        <v>16632000</v>
      </c>
      <c r="L24" s="70">
        <f>6/1000*Table1[[#This Row],[Sum Assured]]</f>
        <v>99792</v>
      </c>
      <c r="M24" s="70">
        <v>50000</v>
      </c>
      <c r="N24" s="70">
        <f>0.09%*Table1[[#This Row],[Permanent Disability]]</f>
        <v>45</v>
      </c>
      <c r="O24" s="70">
        <v>250000</v>
      </c>
      <c r="P24" s="70">
        <v>50000</v>
      </c>
      <c r="Q24" s="70">
        <v>92.307692307692307</v>
      </c>
      <c r="R24" s="70">
        <f>Table1[[#This Row],[Death Premium]]+Table1[[#This Row],[PD Premium]]+Table1[[#This Row],[Riders'' premium (Burial expenses &amp; Spousal cover)]]</f>
        <v>99929.307692307688</v>
      </c>
      <c r="S24" s="70">
        <v>0</v>
      </c>
    </row>
    <row r="25" spans="1:19" x14ac:dyDescent="0.3">
      <c r="A25" t="s">
        <v>988</v>
      </c>
      <c r="B25" t="s">
        <v>459</v>
      </c>
      <c r="C25" t="s">
        <v>458</v>
      </c>
      <c r="D25" t="s">
        <v>332</v>
      </c>
      <c r="E25" t="s">
        <v>43</v>
      </c>
      <c r="F25" s="86">
        <v>25934</v>
      </c>
      <c r="G25" s="86" t="s">
        <v>1186</v>
      </c>
      <c r="H25" s="134">
        <v>44621</v>
      </c>
      <c r="I25" s="70">
        <v>11550</v>
      </c>
      <c r="J25" s="70">
        <f>Table1[[#This Row],[DAY RATE]]*22*12</f>
        <v>3049200</v>
      </c>
      <c r="K25" s="70">
        <f>Table1[[#This Row],[Annual Salary]]*3</f>
        <v>9147600</v>
      </c>
      <c r="L25" s="70">
        <f>6/1000*Table1[[#This Row],[Sum Assured]]</f>
        <v>54885.599999999999</v>
      </c>
      <c r="M25" s="70">
        <v>50000</v>
      </c>
      <c r="N25" s="70">
        <f>0.09%*Table1[[#This Row],[Permanent Disability]]</f>
        <v>45</v>
      </c>
      <c r="O25" s="70">
        <v>250000</v>
      </c>
      <c r="P25" s="70">
        <v>50000</v>
      </c>
      <c r="Q25" s="70">
        <v>92.307692307692307</v>
      </c>
      <c r="R25" s="70">
        <f>Table1[[#This Row],[Death Premium]]+Table1[[#This Row],[PD Premium]]+Table1[[#This Row],[Riders'' premium (Burial expenses &amp; Spousal cover)]]</f>
        <v>55022.907692307694</v>
      </c>
      <c r="S25" s="70" t="s">
        <v>1420</v>
      </c>
    </row>
    <row r="26" spans="1:19" x14ac:dyDescent="0.3">
      <c r="A26" t="s">
        <v>989</v>
      </c>
      <c r="B26" t="s">
        <v>168</v>
      </c>
      <c r="C26" t="s">
        <v>407</v>
      </c>
      <c r="D26" t="s">
        <v>329</v>
      </c>
      <c r="E26" t="s">
        <v>43</v>
      </c>
      <c r="F26" s="86">
        <v>25934</v>
      </c>
      <c r="G26" s="86" t="s">
        <v>1186</v>
      </c>
      <c r="H26" s="134">
        <v>44564</v>
      </c>
      <c r="I26" s="70">
        <v>9075</v>
      </c>
      <c r="J26" s="70">
        <f>Table1[[#This Row],[DAY RATE]]*22*12</f>
        <v>2395800</v>
      </c>
      <c r="K26" s="70">
        <f>Table1[[#This Row],[Annual Salary]]*3</f>
        <v>7187400</v>
      </c>
      <c r="L26" s="70">
        <f>6/1000*Table1[[#This Row],[Sum Assured]]</f>
        <v>43124.4</v>
      </c>
      <c r="M26" s="70">
        <v>50000</v>
      </c>
      <c r="N26" s="70">
        <f>0.09%*Table1[[#This Row],[Permanent Disability]]</f>
        <v>45</v>
      </c>
      <c r="O26" s="70">
        <v>250000</v>
      </c>
      <c r="P26" s="70">
        <v>50000</v>
      </c>
      <c r="Q26" s="70">
        <v>92.307692307692307</v>
      </c>
      <c r="R26" s="70">
        <f>Table1[[#This Row],[Death Premium]]+Table1[[#This Row],[PD Premium]]+Table1[[#This Row],[Riders'' premium (Burial expenses &amp; Spousal cover)]]</f>
        <v>43261.707692307697</v>
      </c>
      <c r="S26" s="70" t="s">
        <v>1421</v>
      </c>
    </row>
    <row r="27" spans="1:19" x14ac:dyDescent="0.3">
      <c r="A27" t="s">
        <v>990</v>
      </c>
      <c r="B27" t="s">
        <v>991</v>
      </c>
      <c r="C27" t="s">
        <v>992</v>
      </c>
      <c r="D27" t="s">
        <v>969</v>
      </c>
      <c r="E27" t="s">
        <v>34</v>
      </c>
      <c r="F27" s="86">
        <v>25934</v>
      </c>
      <c r="G27" s="86" t="s">
        <v>1186</v>
      </c>
      <c r="H27" s="134">
        <v>44564</v>
      </c>
      <c r="I27" s="70">
        <v>9075</v>
      </c>
      <c r="J27" s="70">
        <f>Table1[[#This Row],[DAY RATE]]*22*12</f>
        <v>2395800</v>
      </c>
      <c r="K27" s="70">
        <f>Table1[[#This Row],[Annual Salary]]*3</f>
        <v>7187400</v>
      </c>
      <c r="L27" s="70">
        <f>6/1000*Table1[[#This Row],[Sum Assured]]</f>
        <v>43124.4</v>
      </c>
      <c r="M27" s="70">
        <v>50000</v>
      </c>
      <c r="N27" s="70">
        <f>0.09%*Table1[[#This Row],[Permanent Disability]]</f>
        <v>45</v>
      </c>
      <c r="O27" s="70">
        <v>250000</v>
      </c>
      <c r="P27" s="70">
        <v>50000</v>
      </c>
      <c r="Q27" s="70">
        <v>92.307692307692307</v>
      </c>
      <c r="R27" s="70">
        <f>Table1[[#This Row],[Death Premium]]+Table1[[#This Row],[PD Premium]]+Table1[[#This Row],[Riders'' premium (Burial expenses &amp; Spousal cover)]]</f>
        <v>43261.707692307697</v>
      </c>
      <c r="S27" s="70" t="s">
        <v>1422</v>
      </c>
    </row>
    <row r="28" spans="1:19" x14ac:dyDescent="0.3">
      <c r="A28" t="s">
        <v>993</v>
      </c>
      <c r="B28" t="s">
        <v>470</v>
      </c>
      <c r="C28" t="s">
        <v>164</v>
      </c>
      <c r="D28" t="s">
        <v>408</v>
      </c>
      <c r="E28" t="s">
        <v>34</v>
      </c>
      <c r="F28" s="86">
        <v>25934</v>
      </c>
      <c r="G28" s="86" t="s">
        <v>1186</v>
      </c>
      <c r="H28" s="134">
        <v>43846</v>
      </c>
      <c r="I28" s="70">
        <v>8250</v>
      </c>
      <c r="J28" s="70">
        <f>Table1[[#This Row],[DAY RATE]]*22*12</f>
        <v>2178000</v>
      </c>
      <c r="K28" s="70">
        <f>Table1[[#This Row],[Annual Salary]]*3</f>
        <v>6534000</v>
      </c>
      <c r="L28" s="70">
        <f>6/1000*Table1[[#This Row],[Sum Assured]]</f>
        <v>39204</v>
      </c>
      <c r="M28" s="70">
        <v>50000</v>
      </c>
      <c r="N28" s="70">
        <f>0.09%*Table1[[#This Row],[Permanent Disability]]</f>
        <v>45</v>
      </c>
      <c r="O28" s="70">
        <v>250000</v>
      </c>
      <c r="P28" s="70">
        <v>50000</v>
      </c>
      <c r="Q28" s="70">
        <v>92.307692307692307</v>
      </c>
      <c r="R28" s="70">
        <f>Table1[[#This Row],[Death Premium]]+Table1[[#This Row],[PD Premium]]+Table1[[#This Row],[Riders'' premium (Burial expenses &amp; Spousal cover)]]</f>
        <v>39341.307692307695</v>
      </c>
      <c r="S28" s="70" t="s">
        <v>1423</v>
      </c>
    </row>
    <row r="29" spans="1:19" x14ac:dyDescent="0.3">
      <c r="A29" t="s">
        <v>994</v>
      </c>
      <c r="B29" t="s">
        <v>471</v>
      </c>
      <c r="C29" t="s">
        <v>317</v>
      </c>
      <c r="D29" t="s">
        <v>408</v>
      </c>
      <c r="E29" t="s">
        <v>34</v>
      </c>
      <c r="F29" s="86">
        <v>25934</v>
      </c>
      <c r="G29" s="86" t="s">
        <v>1186</v>
      </c>
      <c r="H29" s="134">
        <v>43846</v>
      </c>
      <c r="I29" s="70">
        <v>8250</v>
      </c>
      <c r="J29" s="70">
        <f>Table1[[#This Row],[DAY RATE]]*22*12</f>
        <v>2178000</v>
      </c>
      <c r="K29" s="70">
        <f>Table1[[#This Row],[Annual Salary]]*3</f>
        <v>6534000</v>
      </c>
      <c r="L29" s="70">
        <f>6/1000*Table1[[#This Row],[Sum Assured]]</f>
        <v>39204</v>
      </c>
      <c r="M29" s="70">
        <v>50000</v>
      </c>
      <c r="N29" s="70">
        <f>0.09%*Table1[[#This Row],[Permanent Disability]]</f>
        <v>45</v>
      </c>
      <c r="O29" s="70">
        <v>250000</v>
      </c>
      <c r="P29" s="70">
        <v>50000</v>
      </c>
      <c r="Q29" s="70">
        <v>92.307692307692307</v>
      </c>
      <c r="R29" s="70">
        <f>Table1[[#This Row],[Death Premium]]+Table1[[#This Row],[PD Premium]]+Table1[[#This Row],[Riders'' premium (Burial expenses &amp; Spousal cover)]]</f>
        <v>39341.307692307695</v>
      </c>
      <c r="S29" s="70">
        <v>0</v>
      </c>
    </row>
    <row r="30" spans="1:19" x14ac:dyDescent="0.3">
      <c r="A30" t="s">
        <v>995</v>
      </c>
      <c r="B30" t="s">
        <v>473</v>
      </c>
      <c r="C30" t="s">
        <v>472</v>
      </c>
      <c r="D30" t="s">
        <v>424</v>
      </c>
      <c r="E30" t="s">
        <v>43</v>
      </c>
      <c r="F30" s="86">
        <v>27154</v>
      </c>
      <c r="G30" s="86" t="s">
        <v>1186</v>
      </c>
      <c r="H30" s="134">
        <v>43907</v>
      </c>
      <c r="I30" s="70">
        <v>8250</v>
      </c>
      <c r="J30" s="70">
        <f>Table1[[#This Row],[DAY RATE]]*22*12</f>
        <v>2178000</v>
      </c>
      <c r="K30" s="70">
        <f>Table1[[#This Row],[Annual Salary]]*3</f>
        <v>6534000</v>
      </c>
      <c r="L30" s="70">
        <f>6/1000*Table1[[#This Row],[Sum Assured]]</f>
        <v>39204</v>
      </c>
      <c r="M30" s="70">
        <v>50000</v>
      </c>
      <c r="N30" s="70">
        <f>0.09%*Table1[[#This Row],[Permanent Disability]]</f>
        <v>45</v>
      </c>
      <c r="O30" s="70">
        <v>250000</v>
      </c>
      <c r="P30" s="70">
        <v>50000</v>
      </c>
      <c r="Q30" s="70">
        <v>92.307692307692307</v>
      </c>
      <c r="R30" s="70">
        <f>Table1[[#This Row],[Death Premium]]+Table1[[#This Row],[PD Premium]]+Table1[[#This Row],[Riders'' premium (Burial expenses &amp; Spousal cover)]]</f>
        <v>39341.307692307695</v>
      </c>
      <c r="S30" s="70">
        <v>0</v>
      </c>
    </row>
    <row r="31" spans="1:19" x14ac:dyDescent="0.3">
      <c r="A31" t="s">
        <v>996</v>
      </c>
      <c r="B31" t="s">
        <v>165</v>
      </c>
      <c r="C31" t="s">
        <v>319</v>
      </c>
      <c r="D31" t="s">
        <v>359</v>
      </c>
      <c r="E31" t="s">
        <v>34</v>
      </c>
      <c r="F31" s="86">
        <v>25934</v>
      </c>
      <c r="G31" s="86" t="s">
        <v>1186</v>
      </c>
      <c r="H31" s="134">
        <v>44564</v>
      </c>
      <c r="I31" s="70">
        <v>11550</v>
      </c>
      <c r="J31" s="70">
        <f>Table1[[#This Row],[DAY RATE]]*22*12</f>
        <v>3049200</v>
      </c>
      <c r="K31" s="70">
        <f>Table1[[#This Row],[Annual Salary]]*3</f>
        <v>9147600</v>
      </c>
      <c r="L31" s="70">
        <f>6/1000*Table1[[#This Row],[Sum Assured]]</f>
        <v>54885.599999999999</v>
      </c>
      <c r="M31" s="70">
        <v>50000</v>
      </c>
      <c r="N31" s="70">
        <f>0.09%*Table1[[#This Row],[Permanent Disability]]</f>
        <v>45</v>
      </c>
      <c r="O31" s="70">
        <v>250000</v>
      </c>
      <c r="P31" s="70">
        <v>50000</v>
      </c>
      <c r="Q31" s="70">
        <v>92.307692307692307</v>
      </c>
      <c r="R31" s="70">
        <f>Table1[[#This Row],[Death Premium]]+Table1[[#This Row],[PD Premium]]+Table1[[#This Row],[Riders'' premium (Burial expenses &amp; Spousal cover)]]</f>
        <v>55022.907692307694</v>
      </c>
      <c r="S31" s="70" t="s">
        <v>1424</v>
      </c>
    </row>
    <row r="32" spans="1:19" x14ac:dyDescent="0.3">
      <c r="A32" t="s">
        <v>997</v>
      </c>
      <c r="B32" t="s">
        <v>479</v>
      </c>
      <c r="C32" t="s">
        <v>425</v>
      </c>
      <c r="D32" t="s">
        <v>435</v>
      </c>
      <c r="E32" t="s">
        <v>43</v>
      </c>
      <c r="F32" s="86">
        <v>25934</v>
      </c>
      <c r="G32" s="86" t="s">
        <v>1186</v>
      </c>
      <c r="H32" s="134">
        <v>44172</v>
      </c>
      <c r="I32" s="70">
        <v>8250</v>
      </c>
      <c r="J32" s="70">
        <f>Table1[[#This Row],[DAY RATE]]*22*12</f>
        <v>2178000</v>
      </c>
      <c r="K32" s="70">
        <f>Table1[[#This Row],[Annual Salary]]*3</f>
        <v>6534000</v>
      </c>
      <c r="L32" s="70">
        <f>6/1000*Table1[[#This Row],[Sum Assured]]</f>
        <v>39204</v>
      </c>
      <c r="M32" s="70">
        <v>50000</v>
      </c>
      <c r="N32" s="70">
        <f>0.09%*Table1[[#This Row],[Permanent Disability]]</f>
        <v>45</v>
      </c>
      <c r="O32" s="70">
        <v>250000</v>
      </c>
      <c r="P32" s="70">
        <v>50000</v>
      </c>
      <c r="Q32" s="70">
        <v>92.307692307692307</v>
      </c>
      <c r="R32" s="70">
        <f>Table1[[#This Row],[Death Premium]]+Table1[[#This Row],[PD Premium]]+Table1[[#This Row],[Riders'' premium (Burial expenses &amp; Spousal cover)]]</f>
        <v>39341.307692307695</v>
      </c>
      <c r="S32" s="70" t="s">
        <v>1425</v>
      </c>
    </row>
    <row r="33" spans="1:19" x14ac:dyDescent="0.3">
      <c r="A33" t="s">
        <v>998</v>
      </c>
      <c r="B33" t="s">
        <v>999</v>
      </c>
      <c r="C33" t="s">
        <v>78</v>
      </c>
      <c r="D33" t="s">
        <v>354</v>
      </c>
      <c r="E33" t="s">
        <v>34</v>
      </c>
      <c r="F33" s="86">
        <v>25934</v>
      </c>
      <c r="G33" s="86" t="s">
        <v>1186</v>
      </c>
      <c r="H33" s="134">
        <v>44172</v>
      </c>
      <c r="I33" s="70">
        <v>8250</v>
      </c>
      <c r="J33" s="70">
        <f>Table1[[#This Row],[DAY RATE]]*22*12</f>
        <v>2178000</v>
      </c>
      <c r="K33" s="70">
        <f>Table1[[#This Row],[Annual Salary]]*3</f>
        <v>6534000</v>
      </c>
      <c r="L33" s="70">
        <f>6/1000*Table1[[#This Row],[Sum Assured]]</f>
        <v>39204</v>
      </c>
      <c r="M33" s="70">
        <v>50000</v>
      </c>
      <c r="N33" s="70">
        <f>0.09%*Table1[[#This Row],[Permanent Disability]]</f>
        <v>45</v>
      </c>
      <c r="O33" s="70">
        <v>250000</v>
      </c>
      <c r="P33" s="70">
        <v>50000</v>
      </c>
      <c r="Q33" s="70">
        <v>92.307692307692307</v>
      </c>
      <c r="R33" s="70">
        <f>Table1[[#This Row],[Death Premium]]+Table1[[#This Row],[PD Premium]]+Table1[[#This Row],[Riders'' premium (Burial expenses &amp; Spousal cover)]]</f>
        <v>39341.307692307695</v>
      </c>
      <c r="S33" s="70" t="s">
        <v>1426</v>
      </c>
    </row>
    <row r="34" spans="1:19" x14ac:dyDescent="0.3">
      <c r="A34" t="s">
        <v>1000</v>
      </c>
      <c r="B34" t="s">
        <v>480</v>
      </c>
      <c r="C34" t="s">
        <v>383</v>
      </c>
      <c r="D34" t="s">
        <v>310</v>
      </c>
      <c r="E34" t="s">
        <v>43</v>
      </c>
      <c r="F34" s="86">
        <v>25934</v>
      </c>
      <c r="G34" s="86" t="s">
        <v>1186</v>
      </c>
      <c r="H34" s="134">
        <v>44564</v>
      </c>
      <c r="I34" s="70">
        <v>8250</v>
      </c>
      <c r="J34" s="70">
        <f>Table1[[#This Row],[DAY RATE]]*22*12</f>
        <v>2178000</v>
      </c>
      <c r="K34" s="70">
        <f>Table1[[#This Row],[Annual Salary]]*3</f>
        <v>6534000</v>
      </c>
      <c r="L34" s="70">
        <f>6/1000*Table1[[#This Row],[Sum Assured]]</f>
        <v>39204</v>
      </c>
      <c r="M34" s="70">
        <v>50000</v>
      </c>
      <c r="N34" s="70">
        <f>0.09%*Table1[[#This Row],[Permanent Disability]]</f>
        <v>45</v>
      </c>
      <c r="O34" s="70">
        <v>250000</v>
      </c>
      <c r="P34" s="70">
        <v>50000</v>
      </c>
      <c r="Q34" s="70">
        <v>92.307692307692307</v>
      </c>
      <c r="R34" s="70">
        <f>Table1[[#This Row],[Death Premium]]+Table1[[#This Row],[PD Premium]]+Table1[[#This Row],[Riders'' premium (Burial expenses &amp; Spousal cover)]]</f>
        <v>39341.307692307695</v>
      </c>
      <c r="S34" s="70" t="s">
        <v>1427</v>
      </c>
    </row>
    <row r="35" spans="1:19" x14ac:dyDescent="0.3">
      <c r="A35" t="s">
        <v>1001</v>
      </c>
      <c r="B35" t="s">
        <v>482</v>
      </c>
      <c r="C35" t="s">
        <v>481</v>
      </c>
      <c r="D35" t="s">
        <v>332</v>
      </c>
      <c r="E35" t="s">
        <v>43</v>
      </c>
      <c r="F35" s="86">
        <v>25934</v>
      </c>
      <c r="G35" s="86" t="s">
        <v>1186</v>
      </c>
      <c r="H35" s="134">
        <v>44384</v>
      </c>
      <c r="I35" s="70">
        <v>11550</v>
      </c>
      <c r="J35" s="70">
        <f>Table1[[#This Row],[DAY RATE]]*22*12</f>
        <v>3049200</v>
      </c>
      <c r="K35" s="70">
        <f>Table1[[#This Row],[Annual Salary]]*3</f>
        <v>9147600</v>
      </c>
      <c r="L35" s="70">
        <f>6/1000*Table1[[#This Row],[Sum Assured]]</f>
        <v>54885.599999999999</v>
      </c>
      <c r="M35" s="70">
        <v>50000</v>
      </c>
      <c r="N35" s="70">
        <f>0.09%*Table1[[#This Row],[Permanent Disability]]</f>
        <v>45</v>
      </c>
      <c r="O35" s="70">
        <v>250000</v>
      </c>
      <c r="P35" s="70">
        <v>50000</v>
      </c>
      <c r="Q35" s="70">
        <v>92.307692307692307</v>
      </c>
      <c r="R35" s="70">
        <f>Table1[[#This Row],[Death Premium]]+Table1[[#This Row],[PD Premium]]+Table1[[#This Row],[Riders'' premium (Burial expenses &amp; Spousal cover)]]</f>
        <v>55022.907692307694</v>
      </c>
      <c r="S35" s="70" t="s">
        <v>1428</v>
      </c>
    </row>
    <row r="36" spans="1:19" x14ac:dyDescent="0.3">
      <c r="A36" t="s">
        <v>1002</v>
      </c>
      <c r="B36" t="s">
        <v>518</v>
      </c>
      <c r="C36" t="s">
        <v>447</v>
      </c>
      <c r="D36" t="s">
        <v>424</v>
      </c>
      <c r="E36" t="s">
        <v>34</v>
      </c>
      <c r="F36" s="86">
        <v>25044</v>
      </c>
      <c r="G36" s="86" t="s">
        <v>1186</v>
      </c>
      <c r="H36" s="134">
        <v>44564</v>
      </c>
      <c r="I36" s="70">
        <v>8250</v>
      </c>
      <c r="J36" s="70">
        <f>Table1[[#This Row],[DAY RATE]]*22*12</f>
        <v>2178000</v>
      </c>
      <c r="K36" s="70">
        <f>Table1[[#This Row],[Annual Salary]]*3</f>
        <v>6534000</v>
      </c>
      <c r="L36" s="70">
        <f>6/1000*Table1[[#This Row],[Sum Assured]]</f>
        <v>39204</v>
      </c>
      <c r="M36" s="70">
        <v>50000</v>
      </c>
      <c r="N36" s="70">
        <f>0.09%*Table1[[#This Row],[Permanent Disability]]</f>
        <v>45</v>
      </c>
      <c r="O36" s="70">
        <v>250000</v>
      </c>
      <c r="P36" s="70">
        <v>50000</v>
      </c>
      <c r="Q36" s="70">
        <v>92.307692307692307</v>
      </c>
      <c r="R36" s="70">
        <f>Table1[[#This Row],[Death Premium]]+Table1[[#This Row],[PD Premium]]+Table1[[#This Row],[Riders'' premium (Burial expenses &amp; Spousal cover)]]</f>
        <v>39341.307692307695</v>
      </c>
      <c r="S36" s="70" t="s">
        <v>1429</v>
      </c>
    </row>
    <row r="37" spans="1:19" x14ac:dyDescent="0.3">
      <c r="A37" t="s">
        <v>1004</v>
      </c>
      <c r="B37" t="s">
        <v>529</v>
      </c>
      <c r="C37" t="s">
        <v>528</v>
      </c>
      <c r="D37" t="s">
        <v>506</v>
      </c>
      <c r="E37" t="s">
        <v>34</v>
      </c>
      <c r="F37" s="86">
        <v>25934</v>
      </c>
      <c r="G37" s="86" t="s">
        <v>1186</v>
      </c>
      <c r="H37" s="134">
        <v>44564</v>
      </c>
      <c r="I37" s="70">
        <v>9750</v>
      </c>
      <c r="J37" s="70">
        <f>Table1[[#This Row],[DAY RATE]]*22*12</f>
        <v>2574000</v>
      </c>
      <c r="K37" s="70">
        <f>Table1[[#This Row],[Annual Salary]]*3</f>
        <v>7722000</v>
      </c>
      <c r="L37" s="70">
        <f>6/1000*Table1[[#This Row],[Sum Assured]]</f>
        <v>46332</v>
      </c>
      <c r="M37" s="70">
        <v>50000</v>
      </c>
      <c r="N37" s="70">
        <f>0.09%*Table1[[#This Row],[Permanent Disability]]</f>
        <v>45</v>
      </c>
      <c r="O37" s="70">
        <v>250000</v>
      </c>
      <c r="P37" s="70">
        <v>50000</v>
      </c>
      <c r="Q37" s="70">
        <v>92.307692307692307</v>
      </c>
      <c r="R37" s="70">
        <f>Table1[[#This Row],[Death Premium]]+Table1[[#This Row],[PD Premium]]+Table1[[#This Row],[Riders'' premium (Burial expenses &amp; Spousal cover)]]</f>
        <v>46469.307692307695</v>
      </c>
      <c r="S37" s="70" t="s">
        <v>1430</v>
      </c>
    </row>
    <row r="38" spans="1:19" x14ac:dyDescent="0.3">
      <c r="A38" t="s">
        <v>1005</v>
      </c>
      <c r="B38" t="s">
        <v>1006</v>
      </c>
      <c r="C38" t="s">
        <v>165</v>
      </c>
      <c r="D38" t="s">
        <v>47</v>
      </c>
      <c r="E38" t="s">
        <v>34</v>
      </c>
      <c r="F38" s="86">
        <v>25934</v>
      </c>
      <c r="G38" s="86" t="s">
        <v>1186</v>
      </c>
      <c r="H38" s="134">
        <v>44855</v>
      </c>
      <c r="I38" s="70">
        <v>9075</v>
      </c>
      <c r="J38" s="70">
        <f>Table1[[#This Row],[DAY RATE]]*22*12</f>
        <v>2395800</v>
      </c>
      <c r="K38" s="70">
        <f>Table1[[#This Row],[Annual Salary]]*3</f>
        <v>7187400</v>
      </c>
      <c r="L38" s="70">
        <f>6/1000*Table1[[#This Row],[Sum Assured]]</f>
        <v>43124.4</v>
      </c>
      <c r="M38" s="70">
        <v>50000</v>
      </c>
      <c r="N38" s="70">
        <f>0.09%*Table1[[#This Row],[Permanent Disability]]</f>
        <v>45</v>
      </c>
      <c r="O38" s="70">
        <v>250000</v>
      </c>
      <c r="P38" s="70">
        <v>50000</v>
      </c>
      <c r="Q38" s="70">
        <v>92.307692307692307</v>
      </c>
      <c r="R38" s="70">
        <f>Table1[[#This Row],[Death Premium]]+Table1[[#This Row],[PD Premium]]+Table1[[#This Row],[Riders'' premium (Burial expenses &amp; Spousal cover)]]</f>
        <v>43261.707692307697</v>
      </c>
      <c r="S38" s="70">
        <v>0</v>
      </c>
    </row>
    <row r="39" spans="1:19" x14ac:dyDescent="0.3">
      <c r="A39" t="s">
        <v>1007</v>
      </c>
      <c r="B39" t="s">
        <v>560</v>
      </c>
      <c r="C39" t="s">
        <v>559</v>
      </c>
      <c r="D39" t="s">
        <v>359</v>
      </c>
      <c r="E39" t="s">
        <v>34</v>
      </c>
      <c r="F39" s="86">
        <v>25934</v>
      </c>
      <c r="G39" s="86" t="s">
        <v>1186</v>
      </c>
      <c r="H39" s="134">
        <v>44855</v>
      </c>
      <c r="I39" s="70">
        <v>11550</v>
      </c>
      <c r="J39" s="70">
        <f>Table1[[#This Row],[DAY RATE]]*22*12</f>
        <v>3049200</v>
      </c>
      <c r="K39" s="70">
        <f>Table1[[#This Row],[Annual Salary]]*3</f>
        <v>9147600</v>
      </c>
      <c r="L39" s="70">
        <f>6/1000*Table1[[#This Row],[Sum Assured]]</f>
        <v>54885.599999999999</v>
      </c>
      <c r="M39" s="70">
        <v>50000</v>
      </c>
      <c r="N39" s="70">
        <f>0.09%*Table1[[#This Row],[Permanent Disability]]</f>
        <v>45</v>
      </c>
      <c r="O39" s="70">
        <v>250000</v>
      </c>
      <c r="P39" s="70">
        <v>50000</v>
      </c>
      <c r="Q39" s="70">
        <v>92.307692307692307</v>
      </c>
      <c r="R39" s="70">
        <f>Table1[[#This Row],[Death Premium]]+Table1[[#This Row],[PD Premium]]+Table1[[#This Row],[Riders'' premium (Burial expenses &amp; Spousal cover)]]</f>
        <v>55022.907692307694</v>
      </c>
      <c r="S39" s="70" t="s">
        <v>1431</v>
      </c>
    </row>
    <row r="40" spans="1:19" x14ac:dyDescent="0.3">
      <c r="A40" t="s">
        <v>1008</v>
      </c>
      <c r="B40" t="s">
        <v>344</v>
      </c>
      <c r="C40" t="s">
        <v>592</v>
      </c>
      <c r="D40" t="s">
        <v>388</v>
      </c>
      <c r="E40" t="s">
        <v>43</v>
      </c>
      <c r="F40" s="86">
        <v>25934</v>
      </c>
      <c r="G40" s="86" t="s">
        <v>1186</v>
      </c>
      <c r="H40" s="134">
        <v>44927</v>
      </c>
      <c r="I40" s="70">
        <v>11550</v>
      </c>
      <c r="J40" s="70">
        <f>Table1[[#This Row],[DAY RATE]]*22*12</f>
        <v>3049200</v>
      </c>
      <c r="K40" s="70">
        <f>Table1[[#This Row],[Annual Salary]]*3</f>
        <v>9147600</v>
      </c>
      <c r="L40" s="70">
        <f>6/1000*Table1[[#This Row],[Sum Assured]]</f>
        <v>54885.599999999999</v>
      </c>
      <c r="M40" s="70">
        <v>50000</v>
      </c>
      <c r="N40" s="70">
        <f>0.09%*Table1[[#This Row],[Permanent Disability]]</f>
        <v>45</v>
      </c>
      <c r="O40" s="70">
        <v>250000</v>
      </c>
      <c r="P40" s="70">
        <v>50000</v>
      </c>
      <c r="Q40" s="70">
        <v>92.307692307692307</v>
      </c>
      <c r="R40" s="70">
        <f>Table1[[#This Row],[Death Premium]]+Table1[[#This Row],[PD Premium]]+Table1[[#This Row],[Riders'' premium (Burial expenses &amp; Spousal cover)]]</f>
        <v>55022.907692307694</v>
      </c>
      <c r="S40" s="70">
        <v>0</v>
      </c>
    </row>
    <row r="41" spans="1:19" x14ac:dyDescent="0.3">
      <c r="A41" t="s">
        <v>1009</v>
      </c>
      <c r="B41" t="s">
        <v>447</v>
      </c>
      <c r="C41" t="s">
        <v>593</v>
      </c>
      <c r="D41" t="s">
        <v>388</v>
      </c>
      <c r="E41" t="s">
        <v>43</v>
      </c>
      <c r="F41" s="86">
        <v>35027</v>
      </c>
      <c r="G41" s="86" t="s">
        <v>1186</v>
      </c>
      <c r="H41" s="134">
        <v>44927</v>
      </c>
      <c r="I41" s="70">
        <v>9075</v>
      </c>
      <c r="J41" s="70">
        <f>Table1[[#This Row],[DAY RATE]]*22*12</f>
        <v>2395800</v>
      </c>
      <c r="K41" s="70">
        <f>Table1[[#This Row],[Annual Salary]]*3</f>
        <v>7187400</v>
      </c>
      <c r="L41" s="70">
        <f>6/1000*Table1[[#This Row],[Sum Assured]]</f>
        <v>43124.4</v>
      </c>
      <c r="M41" s="70">
        <v>50000</v>
      </c>
      <c r="N41" s="70">
        <f>0.09%*Table1[[#This Row],[Permanent Disability]]</f>
        <v>45</v>
      </c>
      <c r="O41" s="70">
        <v>250000</v>
      </c>
      <c r="P41" s="70">
        <v>50000</v>
      </c>
      <c r="Q41" s="70">
        <v>92.307692307692307</v>
      </c>
      <c r="R41" s="70">
        <f>Table1[[#This Row],[Death Premium]]+Table1[[#This Row],[PD Premium]]+Table1[[#This Row],[Riders'' premium (Burial expenses &amp; Spousal cover)]]</f>
        <v>43261.707692307697</v>
      </c>
      <c r="S41" s="70" t="s">
        <v>1432</v>
      </c>
    </row>
    <row r="42" spans="1:19" x14ac:dyDescent="0.3">
      <c r="A42" t="s">
        <v>1010</v>
      </c>
      <c r="B42" t="s">
        <v>603</v>
      </c>
      <c r="C42" t="s">
        <v>602</v>
      </c>
      <c r="D42" t="s">
        <v>329</v>
      </c>
      <c r="E42" t="s">
        <v>43</v>
      </c>
      <c r="F42" s="86">
        <v>25934</v>
      </c>
      <c r="G42" s="86" t="s">
        <v>1186</v>
      </c>
      <c r="H42" s="134">
        <v>44927</v>
      </c>
      <c r="I42" s="70">
        <v>9075</v>
      </c>
      <c r="J42" s="70">
        <f>Table1[[#This Row],[DAY RATE]]*22*12</f>
        <v>2395800</v>
      </c>
      <c r="K42" s="70">
        <f>Table1[[#This Row],[Annual Salary]]*3</f>
        <v>7187400</v>
      </c>
      <c r="L42" s="70">
        <f>6/1000*Table1[[#This Row],[Sum Assured]]</f>
        <v>43124.4</v>
      </c>
      <c r="M42" s="70">
        <v>50000</v>
      </c>
      <c r="N42" s="70">
        <f>0.09%*Table1[[#This Row],[Permanent Disability]]</f>
        <v>45</v>
      </c>
      <c r="O42" s="70">
        <v>250000</v>
      </c>
      <c r="P42" s="70">
        <v>50000</v>
      </c>
      <c r="Q42" s="70">
        <v>92.307692307692307</v>
      </c>
      <c r="R42" s="70">
        <f>Table1[[#This Row],[Death Premium]]+Table1[[#This Row],[PD Premium]]+Table1[[#This Row],[Riders'' premium (Burial expenses &amp; Spousal cover)]]</f>
        <v>43261.707692307697</v>
      </c>
      <c r="S42" s="70" t="s">
        <v>1433</v>
      </c>
    </row>
    <row r="43" spans="1:19" x14ac:dyDescent="0.3">
      <c r="A43" t="s">
        <v>1011</v>
      </c>
      <c r="B43" t="s">
        <v>499</v>
      </c>
      <c r="C43" t="s">
        <v>608</v>
      </c>
      <c r="D43" t="s">
        <v>346</v>
      </c>
      <c r="E43" t="s">
        <v>43</v>
      </c>
      <c r="F43" s="86">
        <v>25934</v>
      </c>
      <c r="G43" s="86" t="s">
        <v>1186</v>
      </c>
      <c r="H43" s="134">
        <v>44927</v>
      </c>
      <c r="I43" s="70">
        <v>13200</v>
      </c>
      <c r="J43" s="70">
        <f>Table1[[#This Row],[DAY RATE]]*22*12</f>
        <v>3484800</v>
      </c>
      <c r="K43" s="70">
        <f>Table1[[#This Row],[Annual Salary]]*3</f>
        <v>10454400</v>
      </c>
      <c r="L43" s="70">
        <f>6/1000*Table1[[#This Row],[Sum Assured]]</f>
        <v>62726.400000000001</v>
      </c>
      <c r="M43" s="70">
        <v>50000</v>
      </c>
      <c r="N43" s="70">
        <f>0.09%*Table1[[#This Row],[Permanent Disability]]</f>
        <v>45</v>
      </c>
      <c r="O43" s="70">
        <v>250000</v>
      </c>
      <c r="P43" s="70">
        <v>50000</v>
      </c>
      <c r="Q43" s="70">
        <v>92.307692307692307</v>
      </c>
      <c r="R43" s="70">
        <f>Table1[[#This Row],[Death Premium]]+Table1[[#This Row],[PD Premium]]+Table1[[#This Row],[Riders'' premium (Burial expenses &amp; Spousal cover)]]</f>
        <v>62863.707692307697</v>
      </c>
      <c r="S43" s="70" t="s">
        <v>1434</v>
      </c>
    </row>
    <row r="44" spans="1:19" x14ac:dyDescent="0.3">
      <c r="A44" t="s">
        <v>1012</v>
      </c>
      <c r="B44" t="s">
        <v>656</v>
      </c>
      <c r="C44" t="s">
        <v>1013</v>
      </c>
      <c r="D44" t="s">
        <v>346</v>
      </c>
      <c r="E44" t="s">
        <v>34</v>
      </c>
      <c r="F44" s="86">
        <v>25934</v>
      </c>
      <c r="G44" s="86" t="s">
        <v>1186</v>
      </c>
      <c r="H44" s="134">
        <v>44927</v>
      </c>
      <c r="I44" s="70">
        <v>13200</v>
      </c>
      <c r="J44" s="70">
        <f>Table1[[#This Row],[DAY RATE]]*22*12</f>
        <v>3484800</v>
      </c>
      <c r="K44" s="70">
        <f>Table1[[#This Row],[Annual Salary]]*3</f>
        <v>10454400</v>
      </c>
      <c r="L44" s="70">
        <f>6/1000*Table1[[#This Row],[Sum Assured]]</f>
        <v>62726.400000000001</v>
      </c>
      <c r="M44" s="70">
        <v>50000</v>
      </c>
      <c r="N44" s="70">
        <f>0.09%*Table1[[#This Row],[Permanent Disability]]</f>
        <v>45</v>
      </c>
      <c r="O44" s="70">
        <v>250000</v>
      </c>
      <c r="P44" s="70">
        <v>50000</v>
      </c>
      <c r="Q44" s="70">
        <v>92.307692307692307</v>
      </c>
      <c r="R44" s="70">
        <f>Table1[[#This Row],[Death Premium]]+Table1[[#This Row],[PD Premium]]+Table1[[#This Row],[Riders'' premium (Burial expenses &amp; Spousal cover)]]</f>
        <v>62863.707692307697</v>
      </c>
      <c r="S44" s="70" t="s">
        <v>1435</v>
      </c>
    </row>
    <row r="45" spans="1:19" x14ac:dyDescent="0.3">
      <c r="A45" t="s">
        <v>1014</v>
      </c>
      <c r="B45" t="s">
        <v>611</v>
      </c>
      <c r="C45" t="s">
        <v>400</v>
      </c>
      <c r="D45" t="s">
        <v>396</v>
      </c>
      <c r="E45" t="s">
        <v>43</v>
      </c>
      <c r="F45" s="86">
        <v>25934</v>
      </c>
      <c r="G45" s="86" t="s">
        <v>1186</v>
      </c>
      <c r="H45" s="134">
        <v>44927</v>
      </c>
      <c r="I45" s="70">
        <v>8250</v>
      </c>
      <c r="J45" s="70">
        <f>Table1[[#This Row],[DAY RATE]]*22*12</f>
        <v>2178000</v>
      </c>
      <c r="K45" s="70">
        <f>Table1[[#This Row],[Annual Salary]]*3</f>
        <v>6534000</v>
      </c>
      <c r="L45" s="70">
        <f>6/1000*Table1[[#This Row],[Sum Assured]]</f>
        <v>39204</v>
      </c>
      <c r="M45" s="70">
        <v>50000</v>
      </c>
      <c r="N45" s="70">
        <f>0.09%*Table1[[#This Row],[Permanent Disability]]</f>
        <v>45</v>
      </c>
      <c r="O45" s="70">
        <v>250000</v>
      </c>
      <c r="P45" s="70">
        <v>50000</v>
      </c>
      <c r="Q45" s="70">
        <v>92.307692307692307</v>
      </c>
      <c r="R45" s="70">
        <f>Table1[[#This Row],[Death Premium]]+Table1[[#This Row],[PD Premium]]+Table1[[#This Row],[Riders'' premium (Burial expenses &amp; Spousal cover)]]</f>
        <v>39341.307692307695</v>
      </c>
      <c r="S45" s="70" t="s">
        <v>1436</v>
      </c>
    </row>
    <row r="46" spans="1:19" x14ac:dyDescent="0.3">
      <c r="A46" t="s">
        <v>1015</v>
      </c>
      <c r="B46" t="s">
        <v>368</v>
      </c>
      <c r="C46" t="s">
        <v>614</v>
      </c>
      <c r="D46" t="s">
        <v>424</v>
      </c>
      <c r="E46" t="s">
        <v>43</v>
      </c>
      <c r="F46" s="86">
        <v>29368</v>
      </c>
      <c r="G46" s="86" t="s">
        <v>1186</v>
      </c>
      <c r="H46" s="134">
        <v>44927</v>
      </c>
      <c r="I46" s="70">
        <v>8250</v>
      </c>
      <c r="J46" s="70">
        <f>Table1[[#This Row],[DAY RATE]]*22*12</f>
        <v>2178000</v>
      </c>
      <c r="K46" s="70">
        <f>Table1[[#This Row],[Annual Salary]]*3</f>
        <v>6534000</v>
      </c>
      <c r="L46" s="70">
        <f>6/1000*Table1[[#This Row],[Sum Assured]]</f>
        <v>39204</v>
      </c>
      <c r="M46" s="70">
        <v>50000</v>
      </c>
      <c r="N46" s="70">
        <f>0.09%*Table1[[#This Row],[Permanent Disability]]</f>
        <v>45</v>
      </c>
      <c r="O46" s="70">
        <v>250000</v>
      </c>
      <c r="P46" s="70">
        <v>50000</v>
      </c>
      <c r="Q46" s="70">
        <v>92.307692307692307</v>
      </c>
      <c r="R46" s="70">
        <f>Table1[[#This Row],[Death Premium]]+Table1[[#This Row],[PD Premium]]+Table1[[#This Row],[Riders'' premium (Burial expenses &amp; Spousal cover)]]</f>
        <v>39341.307692307695</v>
      </c>
      <c r="S46" s="70">
        <v>0</v>
      </c>
    </row>
    <row r="47" spans="1:19" x14ac:dyDescent="0.3">
      <c r="A47" t="s">
        <v>1016</v>
      </c>
      <c r="B47" t="s">
        <v>336</v>
      </c>
      <c r="C47" t="s">
        <v>561</v>
      </c>
      <c r="D47" t="s">
        <v>310</v>
      </c>
      <c r="E47" t="s">
        <v>43</v>
      </c>
      <c r="F47" s="86">
        <v>25934</v>
      </c>
      <c r="G47" s="86" t="s">
        <v>1186</v>
      </c>
      <c r="H47" s="134">
        <v>44927</v>
      </c>
      <c r="I47" s="70">
        <v>8250</v>
      </c>
      <c r="J47" s="70">
        <f>Table1[[#This Row],[DAY RATE]]*22*12</f>
        <v>2178000</v>
      </c>
      <c r="K47" s="70">
        <f>Table1[[#This Row],[Annual Salary]]*3</f>
        <v>6534000</v>
      </c>
      <c r="L47" s="70">
        <f>6/1000*Table1[[#This Row],[Sum Assured]]</f>
        <v>39204</v>
      </c>
      <c r="M47" s="70">
        <v>50000</v>
      </c>
      <c r="N47" s="70">
        <f>0.09%*Table1[[#This Row],[Permanent Disability]]</f>
        <v>45</v>
      </c>
      <c r="O47" s="70">
        <v>250000</v>
      </c>
      <c r="P47" s="70">
        <v>50000</v>
      </c>
      <c r="Q47" s="70">
        <v>92.307692307692307</v>
      </c>
      <c r="R47" s="70">
        <f>Table1[[#This Row],[Death Premium]]+Table1[[#This Row],[PD Premium]]+Table1[[#This Row],[Riders'' premium (Burial expenses &amp; Spousal cover)]]</f>
        <v>39341.307692307695</v>
      </c>
      <c r="S47" s="70" t="s">
        <v>1437</v>
      </c>
    </row>
    <row r="48" spans="1:19" x14ac:dyDescent="0.3">
      <c r="A48" t="s">
        <v>1017</v>
      </c>
      <c r="B48" t="s">
        <v>627</v>
      </c>
      <c r="C48" t="s">
        <v>626</v>
      </c>
      <c r="D48" t="s">
        <v>302</v>
      </c>
      <c r="E48" t="s">
        <v>43</v>
      </c>
      <c r="F48" s="86">
        <v>25934</v>
      </c>
      <c r="G48" s="86" t="s">
        <v>1186</v>
      </c>
      <c r="H48" s="134">
        <v>44927</v>
      </c>
      <c r="I48" s="70">
        <v>13200</v>
      </c>
      <c r="J48" s="70">
        <f>Table1[[#This Row],[DAY RATE]]*22*12</f>
        <v>3484800</v>
      </c>
      <c r="K48" s="70">
        <f>Table1[[#This Row],[Annual Salary]]*3</f>
        <v>10454400</v>
      </c>
      <c r="L48" s="70">
        <f>6/1000*Table1[[#This Row],[Sum Assured]]</f>
        <v>62726.400000000001</v>
      </c>
      <c r="M48" s="70">
        <v>50000</v>
      </c>
      <c r="N48" s="70">
        <f>0.09%*Table1[[#This Row],[Permanent Disability]]</f>
        <v>45</v>
      </c>
      <c r="O48" s="70">
        <v>250000</v>
      </c>
      <c r="P48" s="70">
        <v>50000</v>
      </c>
      <c r="Q48" s="70">
        <v>92.307692307692307</v>
      </c>
      <c r="R48" s="70">
        <f>Table1[[#This Row],[Death Premium]]+Table1[[#This Row],[PD Premium]]+Table1[[#This Row],[Riders'' premium (Burial expenses &amp; Spousal cover)]]</f>
        <v>62863.707692307697</v>
      </c>
      <c r="S48" s="70">
        <v>0</v>
      </c>
    </row>
    <row r="49" spans="1:19" x14ac:dyDescent="0.3">
      <c r="A49" t="s">
        <v>1018</v>
      </c>
      <c r="B49" t="s">
        <v>630</v>
      </c>
      <c r="C49" t="s">
        <v>629</v>
      </c>
      <c r="D49" t="s">
        <v>329</v>
      </c>
      <c r="E49" t="s">
        <v>43</v>
      </c>
      <c r="F49" s="86">
        <v>28642</v>
      </c>
      <c r="G49" s="86" t="s">
        <v>1186</v>
      </c>
      <c r="H49" s="134">
        <v>44927</v>
      </c>
      <c r="I49" s="70">
        <v>9075</v>
      </c>
      <c r="J49" s="70">
        <f>Table1[[#This Row],[DAY RATE]]*22*12</f>
        <v>2395800</v>
      </c>
      <c r="K49" s="70">
        <f>Table1[[#This Row],[Annual Salary]]*3</f>
        <v>7187400</v>
      </c>
      <c r="L49" s="70">
        <f>6/1000*Table1[[#This Row],[Sum Assured]]</f>
        <v>43124.4</v>
      </c>
      <c r="M49" s="70">
        <v>50000</v>
      </c>
      <c r="N49" s="70">
        <f>0.09%*Table1[[#This Row],[Permanent Disability]]</f>
        <v>45</v>
      </c>
      <c r="O49" s="70">
        <v>250000</v>
      </c>
      <c r="P49" s="70">
        <v>50000</v>
      </c>
      <c r="Q49" s="70">
        <v>92.307692307692307</v>
      </c>
      <c r="R49" s="70">
        <f>Table1[[#This Row],[Death Premium]]+Table1[[#This Row],[PD Premium]]+Table1[[#This Row],[Riders'' premium (Burial expenses &amp; Spousal cover)]]</f>
        <v>43261.707692307697</v>
      </c>
      <c r="S49" s="70">
        <v>0</v>
      </c>
    </row>
    <row r="50" spans="1:19" x14ac:dyDescent="0.3">
      <c r="A50" t="s">
        <v>1019</v>
      </c>
      <c r="B50" t="s">
        <v>634</v>
      </c>
      <c r="C50" t="s">
        <v>633</v>
      </c>
      <c r="D50" t="s">
        <v>484</v>
      </c>
      <c r="E50" t="s">
        <v>43</v>
      </c>
      <c r="F50" s="86">
        <v>25934</v>
      </c>
      <c r="G50" s="86" t="s">
        <v>1186</v>
      </c>
      <c r="H50" s="134">
        <v>44927</v>
      </c>
      <c r="I50" s="70">
        <v>8812.5</v>
      </c>
      <c r="J50" s="70">
        <f>Table1[[#This Row],[DAY RATE]]*22*12</f>
        <v>2326500</v>
      </c>
      <c r="K50" s="70">
        <f>Table1[[#This Row],[Annual Salary]]*3</f>
        <v>6979500</v>
      </c>
      <c r="L50" s="70">
        <f>6/1000*Table1[[#This Row],[Sum Assured]]</f>
        <v>41877</v>
      </c>
      <c r="M50" s="70">
        <v>50000</v>
      </c>
      <c r="N50" s="70">
        <f>0.09%*Table1[[#This Row],[Permanent Disability]]</f>
        <v>45</v>
      </c>
      <c r="O50" s="70">
        <v>250000</v>
      </c>
      <c r="P50" s="70">
        <v>50000</v>
      </c>
      <c r="Q50" s="70">
        <v>92.307692307692307</v>
      </c>
      <c r="R50" s="70">
        <f>Table1[[#This Row],[Death Premium]]+Table1[[#This Row],[PD Premium]]+Table1[[#This Row],[Riders'' premium (Burial expenses &amp; Spousal cover)]]</f>
        <v>42014.307692307695</v>
      </c>
      <c r="S50" s="70" t="s">
        <v>1438</v>
      </c>
    </row>
    <row r="51" spans="1:19" x14ac:dyDescent="0.3">
      <c r="A51" t="s">
        <v>1020</v>
      </c>
      <c r="B51" t="s">
        <v>164</v>
      </c>
      <c r="C51" t="s">
        <v>311</v>
      </c>
      <c r="D51" t="s">
        <v>484</v>
      </c>
      <c r="E51" t="s">
        <v>43</v>
      </c>
      <c r="F51" s="86">
        <v>25934</v>
      </c>
      <c r="G51" s="86" t="s">
        <v>1186</v>
      </c>
      <c r="H51" s="134">
        <v>44927</v>
      </c>
      <c r="I51" s="70">
        <v>8812.5</v>
      </c>
      <c r="J51" s="70">
        <f>Table1[[#This Row],[DAY RATE]]*22*12</f>
        <v>2326500</v>
      </c>
      <c r="K51" s="70">
        <f>Table1[[#This Row],[Annual Salary]]*3</f>
        <v>6979500</v>
      </c>
      <c r="L51" s="70">
        <f>6/1000*Table1[[#This Row],[Sum Assured]]</f>
        <v>41877</v>
      </c>
      <c r="M51" s="70">
        <v>50000</v>
      </c>
      <c r="N51" s="70">
        <f>0.09%*Table1[[#This Row],[Permanent Disability]]</f>
        <v>45</v>
      </c>
      <c r="O51" s="70">
        <v>250000</v>
      </c>
      <c r="P51" s="70">
        <v>50000</v>
      </c>
      <c r="Q51" s="70">
        <v>92.307692307692307</v>
      </c>
      <c r="R51" s="70">
        <f>Table1[[#This Row],[Death Premium]]+Table1[[#This Row],[PD Premium]]+Table1[[#This Row],[Riders'' premium (Burial expenses &amp; Spousal cover)]]</f>
        <v>42014.307692307695</v>
      </c>
      <c r="S51" s="70" t="s">
        <v>1439</v>
      </c>
    </row>
    <row r="52" spans="1:19" x14ac:dyDescent="0.3">
      <c r="A52" t="s">
        <v>1021</v>
      </c>
      <c r="B52" t="s">
        <v>164</v>
      </c>
      <c r="C52" t="s">
        <v>635</v>
      </c>
      <c r="D52" t="s">
        <v>310</v>
      </c>
      <c r="E52" t="s">
        <v>43</v>
      </c>
      <c r="F52" s="86">
        <v>25934</v>
      </c>
      <c r="G52" s="86" t="s">
        <v>1186</v>
      </c>
      <c r="H52" s="134">
        <v>44927</v>
      </c>
      <c r="I52" s="70">
        <v>8250</v>
      </c>
      <c r="J52" s="70">
        <f>Table1[[#This Row],[DAY RATE]]*22*12</f>
        <v>2178000</v>
      </c>
      <c r="K52" s="70">
        <f>Table1[[#This Row],[Annual Salary]]*3</f>
        <v>6534000</v>
      </c>
      <c r="L52" s="70">
        <f>6/1000*Table1[[#This Row],[Sum Assured]]</f>
        <v>39204</v>
      </c>
      <c r="M52" s="70">
        <v>50000</v>
      </c>
      <c r="N52" s="70">
        <f>0.09%*Table1[[#This Row],[Permanent Disability]]</f>
        <v>45</v>
      </c>
      <c r="O52" s="70">
        <v>250000</v>
      </c>
      <c r="P52" s="70">
        <v>50000</v>
      </c>
      <c r="Q52" s="70">
        <v>92.307692307692307</v>
      </c>
      <c r="R52" s="70">
        <f>Table1[[#This Row],[Death Premium]]+Table1[[#This Row],[PD Premium]]+Table1[[#This Row],[Riders'' premium (Burial expenses &amp; Spousal cover)]]</f>
        <v>39341.307692307695</v>
      </c>
      <c r="S52" s="70">
        <v>0</v>
      </c>
    </row>
    <row r="53" spans="1:19" x14ac:dyDescent="0.3">
      <c r="A53" t="s">
        <v>1022</v>
      </c>
      <c r="B53" t="s">
        <v>522</v>
      </c>
      <c r="C53" t="s">
        <v>690</v>
      </c>
      <c r="D53" t="s">
        <v>310</v>
      </c>
      <c r="E53" t="s">
        <v>664</v>
      </c>
      <c r="F53" s="86">
        <v>25934</v>
      </c>
      <c r="G53" s="86" t="s">
        <v>1186</v>
      </c>
      <c r="H53" s="134">
        <v>44927</v>
      </c>
      <c r="I53" s="70">
        <v>8250</v>
      </c>
      <c r="J53" s="70">
        <f>Table1[[#This Row],[DAY RATE]]*22*12</f>
        <v>2178000</v>
      </c>
      <c r="K53" s="70">
        <f>Table1[[#This Row],[Annual Salary]]*3</f>
        <v>6534000</v>
      </c>
      <c r="L53" s="70">
        <f>6/1000*Table1[[#This Row],[Sum Assured]]</f>
        <v>39204</v>
      </c>
      <c r="M53" s="70">
        <v>50000</v>
      </c>
      <c r="N53" s="70">
        <f>0.09%*Table1[[#This Row],[Permanent Disability]]</f>
        <v>45</v>
      </c>
      <c r="O53" s="70">
        <v>250000</v>
      </c>
      <c r="P53" s="70">
        <v>50000</v>
      </c>
      <c r="Q53" s="70">
        <v>92.307692307692307</v>
      </c>
      <c r="R53" s="70">
        <f>Table1[[#This Row],[Death Premium]]+Table1[[#This Row],[PD Premium]]+Table1[[#This Row],[Riders'' premium (Burial expenses &amp; Spousal cover)]]</f>
        <v>39341.307692307695</v>
      </c>
      <c r="S53" s="70" t="s">
        <v>1440</v>
      </c>
    </row>
    <row r="54" spans="1:19" x14ac:dyDescent="0.3">
      <c r="A54" t="s">
        <v>1025</v>
      </c>
      <c r="B54" t="s">
        <v>183</v>
      </c>
      <c r="C54" t="s">
        <v>184</v>
      </c>
      <c r="D54" t="s">
        <v>329</v>
      </c>
      <c r="E54" t="s">
        <v>43</v>
      </c>
      <c r="F54" s="86">
        <v>31990</v>
      </c>
      <c r="G54" s="86" t="s">
        <v>1186</v>
      </c>
      <c r="H54" s="134">
        <v>45078</v>
      </c>
      <c r="I54" s="70">
        <v>9075</v>
      </c>
      <c r="J54" s="70">
        <f>Table1[[#This Row],[DAY RATE]]*22*12</f>
        <v>2395800</v>
      </c>
      <c r="K54" s="70">
        <f>Table1[[#This Row],[Annual Salary]]*3</f>
        <v>7187400</v>
      </c>
      <c r="L54" s="70">
        <f>6/1000*Table1[[#This Row],[Sum Assured]]</f>
        <v>43124.4</v>
      </c>
      <c r="M54" s="70">
        <v>50000</v>
      </c>
      <c r="N54" s="70">
        <f>0.09%*Table1[[#This Row],[Permanent Disability]]</f>
        <v>45</v>
      </c>
      <c r="O54" s="70">
        <v>250000</v>
      </c>
      <c r="P54" s="70">
        <v>50000</v>
      </c>
      <c r="Q54" s="70">
        <v>92.307692307692307</v>
      </c>
      <c r="R54" s="70">
        <f>Table1[[#This Row],[Death Premium]]+Table1[[#This Row],[PD Premium]]+Table1[[#This Row],[Riders'' premium (Burial expenses &amp; Spousal cover)]]</f>
        <v>43261.707692307697</v>
      </c>
      <c r="S54" s="70" t="s">
        <v>1441</v>
      </c>
    </row>
    <row r="55" spans="1:19" x14ac:dyDescent="0.3">
      <c r="A55" t="s">
        <v>1026</v>
      </c>
      <c r="B55" t="s">
        <v>592</v>
      </c>
      <c r="C55" t="s">
        <v>658</v>
      </c>
      <c r="D55" t="s">
        <v>424</v>
      </c>
      <c r="E55" t="s">
        <v>43</v>
      </c>
      <c r="F55" s="86">
        <v>26173</v>
      </c>
      <c r="G55" s="86" t="s">
        <v>1186</v>
      </c>
      <c r="H55" s="134">
        <v>45078</v>
      </c>
      <c r="I55" s="70">
        <v>8250</v>
      </c>
      <c r="J55" s="70">
        <f>Table1[[#This Row],[DAY RATE]]*22*12</f>
        <v>2178000</v>
      </c>
      <c r="K55" s="70">
        <f>Table1[[#This Row],[Annual Salary]]*3</f>
        <v>6534000</v>
      </c>
      <c r="L55" s="70">
        <f>6/1000*Table1[[#This Row],[Sum Assured]]</f>
        <v>39204</v>
      </c>
      <c r="M55" s="70">
        <v>50000</v>
      </c>
      <c r="N55" s="70">
        <f>0.09%*Table1[[#This Row],[Permanent Disability]]</f>
        <v>45</v>
      </c>
      <c r="O55" s="70">
        <v>250000</v>
      </c>
      <c r="P55" s="70">
        <v>50000</v>
      </c>
      <c r="Q55" s="70">
        <v>92.307692307692307</v>
      </c>
      <c r="R55" s="70">
        <f>Table1[[#This Row],[Death Premium]]+Table1[[#This Row],[PD Premium]]+Table1[[#This Row],[Riders'' premium (Burial expenses &amp; Spousal cover)]]</f>
        <v>39341.307692307695</v>
      </c>
      <c r="S55" s="70">
        <v>0</v>
      </c>
    </row>
    <row r="56" spans="1:19" x14ac:dyDescent="0.3">
      <c r="A56" t="s">
        <v>1027</v>
      </c>
      <c r="B56" t="s">
        <v>447</v>
      </c>
      <c r="C56" t="s">
        <v>1023</v>
      </c>
      <c r="D56" t="s">
        <v>557</v>
      </c>
      <c r="E56" t="s">
        <v>34</v>
      </c>
      <c r="F56" s="86">
        <v>27030</v>
      </c>
      <c r="G56" s="86" t="s">
        <v>1186</v>
      </c>
      <c r="H56" s="134">
        <v>45261</v>
      </c>
      <c r="I56" s="70">
        <v>13200</v>
      </c>
      <c r="J56" s="70">
        <f>Table1[[#This Row],[DAY RATE]]*22*12</f>
        <v>3484800</v>
      </c>
      <c r="K56" s="70">
        <f>Table1[[#This Row],[Annual Salary]]*3</f>
        <v>10454400</v>
      </c>
      <c r="L56" s="70">
        <f>6/1000*Table1[[#This Row],[Sum Assured]]</f>
        <v>62726.400000000001</v>
      </c>
      <c r="M56" s="70">
        <v>50000</v>
      </c>
      <c r="N56" s="70">
        <f>0.09%*Table1[[#This Row],[Permanent Disability]]</f>
        <v>45</v>
      </c>
      <c r="O56" s="70">
        <v>250000</v>
      </c>
      <c r="P56" s="70">
        <v>50000</v>
      </c>
      <c r="Q56" s="70">
        <v>92.307692307692307</v>
      </c>
      <c r="R56" s="70">
        <f>Table1[[#This Row],[Death Premium]]+Table1[[#This Row],[PD Premium]]+Table1[[#This Row],[Riders'' premium (Burial expenses &amp; Spousal cover)]]</f>
        <v>62863.707692307697</v>
      </c>
      <c r="S56" s="70" t="s">
        <v>1442</v>
      </c>
    </row>
    <row r="57" spans="1:19" x14ac:dyDescent="0.3">
      <c r="A57" t="s">
        <v>1028</v>
      </c>
      <c r="B57" t="s">
        <v>1029</v>
      </c>
      <c r="C57" t="s">
        <v>583</v>
      </c>
      <c r="D57" t="s">
        <v>484</v>
      </c>
      <c r="E57" t="s">
        <v>43</v>
      </c>
      <c r="F57" s="86">
        <v>34043</v>
      </c>
      <c r="G57" s="86" t="s">
        <v>1186</v>
      </c>
      <c r="H57" s="134">
        <v>45444</v>
      </c>
      <c r="I57" s="70">
        <v>6600</v>
      </c>
      <c r="J57" s="70">
        <f>Table1[[#This Row],[DAY RATE]]*22*12</f>
        <v>1742400</v>
      </c>
      <c r="K57" s="70">
        <f>Table1[[#This Row],[Annual Salary]]*3</f>
        <v>5227200</v>
      </c>
      <c r="L57" s="70">
        <f>6/1000*Table1[[#This Row],[Sum Assured]]</f>
        <v>31363.200000000001</v>
      </c>
      <c r="M57" s="70">
        <v>50000</v>
      </c>
      <c r="N57" s="70">
        <f>0.09%*Table1[[#This Row],[Permanent Disability]]</f>
        <v>45</v>
      </c>
      <c r="O57" s="70">
        <v>250000</v>
      </c>
      <c r="P57" s="70">
        <v>50000</v>
      </c>
      <c r="Q57" s="70">
        <v>92.307692307692307</v>
      </c>
      <c r="R57" s="70">
        <f>Table1[[#This Row],[Death Premium]]+Table1[[#This Row],[PD Premium]]+Table1[[#This Row],[Riders'' premium (Burial expenses &amp; Spousal cover)]]</f>
        <v>31500.507692307692</v>
      </c>
      <c r="S57" s="70" t="s">
        <v>1443</v>
      </c>
    </row>
    <row r="58" spans="1:19" x14ac:dyDescent="0.3">
      <c r="A58" t="s">
        <v>1030</v>
      </c>
      <c r="B58" t="s">
        <v>1031</v>
      </c>
      <c r="C58" t="s">
        <v>352</v>
      </c>
      <c r="D58" t="s">
        <v>648</v>
      </c>
      <c r="E58" t="s">
        <v>43</v>
      </c>
      <c r="F58" s="86">
        <v>30059</v>
      </c>
      <c r="G58" s="86" t="s">
        <v>1186</v>
      </c>
      <c r="H58" s="134">
        <v>45444</v>
      </c>
      <c r="I58" s="70">
        <v>9075</v>
      </c>
      <c r="J58" s="70">
        <f>Table1[[#This Row],[DAY RATE]]*22*12</f>
        <v>2395800</v>
      </c>
      <c r="K58" s="70">
        <f>Table1[[#This Row],[Annual Salary]]*3</f>
        <v>7187400</v>
      </c>
      <c r="L58" s="70">
        <f>6/1000*Table1[[#This Row],[Sum Assured]]</f>
        <v>43124.4</v>
      </c>
      <c r="M58" s="70">
        <v>50000</v>
      </c>
      <c r="N58" s="70">
        <f>0.09%*Table1[[#This Row],[Permanent Disability]]</f>
        <v>45</v>
      </c>
      <c r="O58" s="70">
        <v>250000</v>
      </c>
      <c r="P58" s="70">
        <v>50000</v>
      </c>
      <c r="Q58" s="70">
        <v>92.307692307692307</v>
      </c>
      <c r="R58" s="70">
        <f>Table1[[#This Row],[Death Premium]]+Table1[[#This Row],[PD Premium]]+Table1[[#This Row],[Riders'' premium (Burial expenses &amp; Spousal cover)]]</f>
        <v>43261.707692307697</v>
      </c>
      <c r="S58" s="70" t="s">
        <v>1444</v>
      </c>
    </row>
    <row r="59" spans="1:19" x14ac:dyDescent="0.3">
      <c r="A59" t="s">
        <v>1032</v>
      </c>
      <c r="B59" t="s">
        <v>374</v>
      </c>
      <c r="C59" t="s">
        <v>373</v>
      </c>
      <c r="D59" t="s">
        <v>354</v>
      </c>
      <c r="E59" t="s">
        <v>34</v>
      </c>
      <c r="F59" s="86">
        <v>30076</v>
      </c>
      <c r="G59" s="86" t="s">
        <v>1186</v>
      </c>
      <c r="H59" s="134">
        <v>45017</v>
      </c>
      <c r="I59" s="70">
        <v>8250</v>
      </c>
      <c r="J59" s="70">
        <f>Table1[[#This Row],[DAY RATE]]*22*12</f>
        <v>2178000</v>
      </c>
      <c r="K59" s="70">
        <f>Table1[[#This Row],[Annual Salary]]*3</f>
        <v>6534000</v>
      </c>
      <c r="L59" s="70">
        <f>6/1000*Table1[[#This Row],[Sum Assured]]</f>
        <v>39204</v>
      </c>
      <c r="M59" s="70">
        <v>50000</v>
      </c>
      <c r="N59" s="70">
        <f>0.09%*Table1[[#This Row],[Permanent Disability]]</f>
        <v>45</v>
      </c>
      <c r="O59" s="70">
        <v>250000</v>
      </c>
      <c r="P59" s="70">
        <v>50000</v>
      </c>
      <c r="Q59" s="70">
        <v>92.307692307692307</v>
      </c>
      <c r="R59" s="70">
        <f>Table1[[#This Row],[Death Premium]]+Table1[[#This Row],[PD Premium]]+Table1[[#This Row],[Riders'' premium (Burial expenses &amp; Spousal cover)]]</f>
        <v>39341.307692307695</v>
      </c>
      <c r="S59" s="70" t="s">
        <v>1445</v>
      </c>
    </row>
    <row r="60" spans="1:19" x14ac:dyDescent="0.3">
      <c r="A60" t="s">
        <v>1033</v>
      </c>
      <c r="B60" t="s">
        <v>1034</v>
      </c>
      <c r="C60" t="s">
        <v>1035</v>
      </c>
      <c r="D60" t="s">
        <v>359</v>
      </c>
      <c r="E60" t="s">
        <v>34</v>
      </c>
      <c r="F60" s="86">
        <v>25934</v>
      </c>
      <c r="G60" s="86" t="s">
        <v>1186</v>
      </c>
      <c r="H60" s="134">
        <v>44927</v>
      </c>
      <c r="I60" s="70">
        <v>11550</v>
      </c>
      <c r="J60" s="70">
        <f>Table1[[#This Row],[DAY RATE]]*22*12</f>
        <v>3049200</v>
      </c>
      <c r="K60" s="70">
        <f>Table1[[#This Row],[Annual Salary]]*3</f>
        <v>9147600</v>
      </c>
      <c r="L60" s="70">
        <f>6/1000*Table1[[#This Row],[Sum Assured]]</f>
        <v>54885.599999999999</v>
      </c>
      <c r="M60" s="70">
        <v>50000</v>
      </c>
      <c r="N60" s="70">
        <f>0.09%*Table1[[#This Row],[Permanent Disability]]</f>
        <v>45</v>
      </c>
      <c r="O60" s="70">
        <v>250000</v>
      </c>
      <c r="P60" s="70">
        <v>50000</v>
      </c>
      <c r="Q60" s="70">
        <v>92.307692307692307</v>
      </c>
      <c r="R60" s="70">
        <f>Table1[[#This Row],[Death Premium]]+Table1[[#This Row],[PD Premium]]+Table1[[#This Row],[Riders'' premium (Burial expenses &amp; Spousal cover)]]</f>
        <v>55022.907692307694</v>
      </c>
      <c r="S60" s="70" t="s">
        <v>1446</v>
      </c>
    </row>
    <row r="61" spans="1:19" x14ac:dyDescent="0.3">
      <c r="A61" t="s">
        <v>1036</v>
      </c>
      <c r="B61" t="s">
        <v>382</v>
      </c>
      <c r="C61" t="s">
        <v>381</v>
      </c>
      <c r="D61" t="s">
        <v>346</v>
      </c>
      <c r="E61" t="s">
        <v>34</v>
      </c>
      <c r="F61" s="86">
        <v>30076</v>
      </c>
      <c r="G61" s="86" t="s">
        <v>1186</v>
      </c>
      <c r="H61" s="134">
        <v>45017</v>
      </c>
      <c r="I61" s="70">
        <v>13200</v>
      </c>
      <c r="J61" s="70">
        <f>Table1[[#This Row],[DAY RATE]]*22*12</f>
        <v>3484800</v>
      </c>
      <c r="K61" s="70">
        <f>Table1[[#This Row],[Annual Salary]]*3</f>
        <v>10454400</v>
      </c>
      <c r="L61" s="70">
        <f>6/1000*Table1[[#This Row],[Sum Assured]]</f>
        <v>62726.400000000001</v>
      </c>
      <c r="M61" s="70">
        <v>50000</v>
      </c>
      <c r="N61" s="70">
        <f>0.09%*Table1[[#This Row],[Permanent Disability]]</f>
        <v>45</v>
      </c>
      <c r="O61" s="70">
        <v>250000</v>
      </c>
      <c r="P61" s="70">
        <v>50000</v>
      </c>
      <c r="Q61" s="70">
        <v>92.307692307692307</v>
      </c>
      <c r="R61" s="70">
        <f>Table1[[#This Row],[Death Premium]]+Table1[[#This Row],[PD Premium]]+Table1[[#This Row],[Riders'' premium (Burial expenses &amp; Spousal cover)]]</f>
        <v>62863.707692307697</v>
      </c>
      <c r="S61" s="70" t="s">
        <v>1447</v>
      </c>
    </row>
    <row r="62" spans="1:19" x14ac:dyDescent="0.3">
      <c r="A62" t="s">
        <v>1037</v>
      </c>
      <c r="B62" t="s">
        <v>1038</v>
      </c>
      <c r="C62" t="s">
        <v>1039</v>
      </c>
      <c r="D62" t="s">
        <v>557</v>
      </c>
      <c r="E62" t="s">
        <v>34</v>
      </c>
      <c r="F62" s="86">
        <v>25934</v>
      </c>
      <c r="G62" s="86" t="s">
        <v>1186</v>
      </c>
      <c r="H62" s="134">
        <v>45108</v>
      </c>
      <c r="I62" s="70">
        <v>11550</v>
      </c>
      <c r="J62" s="70">
        <f>Table1[[#This Row],[DAY RATE]]*22*12</f>
        <v>3049200</v>
      </c>
      <c r="K62" s="70">
        <f>Table1[[#This Row],[Annual Salary]]*3</f>
        <v>9147600</v>
      </c>
      <c r="L62" s="70">
        <f>6/1000*Table1[[#This Row],[Sum Assured]]</f>
        <v>54885.599999999999</v>
      </c>
      <c r="M62" s="70">
        <v>50000</v>
      </c>
      <c r="N62" s="70">
        <f>0.09%*Table1[[#This Row],[Permanent Disability]]</f>
        <v>45</v>
      </c>
      <c r="O62" s="70">
        <v>250000</v>
      </c>
      <c r="P62" s="70">
        <v>50000</v>
      </c>
      <c r="Q62" s="70">
        <v>92.307692307692307</v>
      </c>
      <c r="R62" s="70">
        <f>Table1[[#This Row],[Death Premium]]+Table1[[#This Row],[PD Premium]]+Table1[[#This Row],[Riders'' premium (Burial expenses &amp; Spousal cover)]]</f>
        <v>55022.907692307694</v>
      </c>
      <c r="S62" s="70" t="s">
        <v>1448</v>
      </c>
    </row>
    <row r="63" spans="1:19" x14ac:dyDescent="0.3">
      <c r="A63" t="s">
        <v>1040</v>
      </c>
      <c r="B63" t="s">
        <v>428</v>
      </c>
      <c r="C63" t="s">
        <v>427</v>
      </c>
      <c r="D63" t="s">
        <v>429</v>
      </c>
      <c r="E63" t="s">
        <v>34</v>
      </c>
      <c r="F63" s="86">
        <v>25934</v>
      </c>
      <c r="G63" s="86" t="s">
        <v>1186</v>
      </c>
      <c r="H63" s="134">
        <v>43507</v>
      </c>
      <c r="I63" s="70">
        <v>8250</v>
      </c>
      <c r="J63" s="70">
        <f>Table1[[#This Row],[DAY RATE]]*22*12</f>
        <v>2178000</v>
      </c>
      <c r="K63" s="70">
        <f>Table1[[#This Row],[Annual Salary]]*3</f>
        <v>6534000</v>
      </c>
      <c r="L63" s="70">
        <f>6/1000*Table1[[#This Row],[Sum Assured]]</f>
        <v>39204</v>
      </c>
      <c r="M63" s="70">
        <v>50000</v>
      </c>
      <c r="N63" s="70">
        <f>0.09%*Table1[[#This Row],[Permanent Disability]]</f>
        <v>45</v>
      </c>
      <c r="O63" s="70">
        <v>250000</v>
      </c>
      <c r="P63" s="70">
        <v>50000</v>
      </c>
      <c r="Q63" s="70">
        <v>92.307692307692307</v>
      </c>
      <c r="R63" s="70">
        <f>Table1[[#This Row],[Death Premium]]+Table1[[#This Row],[PD Premium]]+Table1[[#This Row],[Riders'' premium (Burial expenses &amp; Spousal cover)]]</f>
        <v>39341.307692307695</v>
      </c>
      <c r="S63" s="70" t="s">
        <v>1449</v>
      </c>
    </row>
    <row r="64" spans="1:19" x14ac:dyDescent="0.3">
      <c r="A64" t="s">
        <v>1041</v>
      </c>
      <c r="B64" t="s">
        <v>527</v>
      </c>
      <c r="C64" t="s">
        <v>526</v>
      </c>
      <c r="D64" t="s">
        <v>506</v>
      </c>
      <c r="E64" t="s">
        <v>34</v>
      </c>
      <c r="F64" s="86">
        <v>25934</v>
      </c>
      <c r="G64" s="86" t="s">
        <v>1186</v>
      </c>
      <c r="H64" s="134">
        <v>44564</v>
      </c>
      <c r="I64" s="70">
        <v>9750</v>
      </c>
      <c r="J64" s="70">
        <f>Table1[[#This Row],[DAY RATE]]*22*12</f>
        <v>2574000</v>
      </c>
      <c r="K64" s="70">
        <f>Table1[[#This Row],[Annual Salary]]*3</f>
        <v>7722000</v>
      </c>
      <c r="L64" s="70">
        <f>6/1000*Table1[[#This Row],[Sum Assured]]</f>
        <v>46332</v>
      </c>
      <c r="M64" s="70">
        <v>50000</v>
      </c>
      <c r="N64" s="70">
        <f>0.09%*Table1[[#This Row],[Permanent Disability]]</f>
        <v>45</v>
      </c>
      <c r="O64" s="70">
        <v>250000</v>
      </c>
      <c r="P64" s="70">
        <v>50000</v>
      </c>
      <c r="Q64" s="70">
        <v>92.307692307692307</v>
      </c>
      <c r="R64" s="70">
        <f>Table1[[#This Row],[Death Premium]]+Table1[[#This Row],[PD Premium]]+Table1[[#This Row],[Riders'' premium (Burial expenses &amp; Spousal cover)]]</f>
        <v>46469.307692307695</v>
      </c>
      <c r="S64" s="70" t="s">
        <v>1450</v>
      </c>
    </row>
    <row r="65" spans="1:19" x14ac:dyDescent="0.3">
      <c r="A65" t="s">
        <v>1042</v>
      </c>
      <c r="B65" t="s">
        <v>531</v>
      </c>
      <c r="C65" t="s">
        <v>530</v>
      </c>
      <c r="D65" t="s">
        <v>506</v>
      </c>
      <c r="E65" t="s">
        <v>34</v>
      </c>
      <c r="F65" s="86">
        <v>25934</v>
      </c>
      <c r="G65" s="86" t="s">
        <v>1186</v>
      </c>
      <c r="H65" s="134">
        <v>44564</v>
      </c>
      <c r="I65" s="70">
        <v>9750</v>
      </c>
      <c r="J65" s="70">
        <f>Table1[[#This Row],[DAY RATE]]*22*12</f>
        <v>2574000</v>
      </c>
      <c r="K65" s="70">
        <f>Table1[[#This Row],[Annual Salary]]*3</f>
        <v>7722000</v>
      </c>
      <c r="L65" s="70">
        <f>6/1000*Table1[[#This Row],[Sum Assured]]</f>
        <v>46332</v>
      </c>
      <c r="M65" s="70">
        <v>50000</v>
      </c>
      <c r="N65" s="70">
        <f>0.09%*Table1[[#This Row],[Permanent Disability]]</f>
        <v>45</v>
      </c>
      <c r="O65" s="70">
        <v>250000</v>
      </c>
      <c r="P65" s="70">
        <v>50000</v>
      </c>
      <c r="Q65" s="70">
        <v>92.307692307692307</v>
      </c>
      <c r="R65" s="70">
        <f>Table1[[#This Row],[Death Premium]]+Table1[[#This Row],[PD Premium]]+Table1[[#This Row],[Riders'' premium (Burial expenses &amp; Spousal cover)]]</f>
        <v>46469.307692307695</v>
      </c>
      <c r="S65" s="70" t="s">
        <v>1451</v>
      </c>
    </row>
    <row r="66" spans="1:19" x14ac:dyDescent="0.3">
      <c r="A66" t="s">
        <v>1043</v>
      </c>
      <c r="B66" t="s">
        <v>534</v>
      </c>
      <c r="C66" t="s">
        <v>98</v>
      </c>
      <c r="D66" t="s">
        <v>506</v>
      </c>
      <c r="E66" t="s">
        <v>34</v>
      </c>
      <c r="F66" s="86">
        <v>25934</v>
      </c>
      <c r="G66" s="86" t="s">
        <v>1186</v>
      </c>
      <c r="H66" s="134">
        <v>44564</v>
      </c>
      <c r="I66" s="70">
        <v>9750</v>
      </c>
      <c r="J66" s="70">
        <f>Table1[[#This Row],[DAY RATE]]*22*12</f>
        <v>2574000</v>
      </c>
      <c r="K66" s="70">
        <f>Table1[[#This Row],[Annual Salary]]*3</f>
        <v>7722000</v>
      </c>
      <c r="L66" s="70">
        <f>6/1000*Table1[[#This Row],[Sum Assured]]</f>
        <v>46332</v>
      </c>
      <c r="M66" s="70">
        <v>50000</v>
      </c>
      <c r="N66" s="70">
        <f>0.09%*Table1[[#This Row],[Permanent Disability]]</f>
        <v>45</v>
      </c>
      <c r="O66" s="70">
        <v>250000</v>
      </c>
      <c r="P66" s="70">
        <v>50000</v>
      </c>
      <c r="Q66" s="70">
        <v>92.307692307692307</v>
      </c>
      <c r="R66" s="70">
        <f>Table1[[#This Row],[Death Premium]]+Table1[[#This Row],[PD Premium]]+Table1[[#This Row],[Riders'' premium (Burial expenses &amp; Spousal cover)]]</f>
        <v>46469.307692307695</v>
      </c>
      <c r="S66" s="70" t="s">
        <v>1452</v>
      </c>
    </row>
    <row r="67" spans="1:19" x14ac:dyDescent="0.3">
      <c r="A67" t="s">
        <v>1044</v>
      </c>
      <c r="B67" t="s">
        <v>344</v>
      </c>
      <c r="C67" t="s">
        <v>526</v>
      </c>
      <c r="D67" t="s">
        <v>506</v>
      </c>
      <c r="E67" t="s">
        <v>34</v>
      </c>
      <c r="F67" s="86">
        <v>25934</v>
      </c>
      <c r="G67" s="86" t="s">
        <v>1186</v>
      </c>
      <c r="H67" s="134">
        <v>44564</v>
      </c>
      <c r="I67" s="70">
        <v>9750</v>
      </c>
      <c r="J67" s="70">
        <f>Table1[[#This Row],[DAY RATE]]*22*12</f>
        <v>2574000</v>
      </c>
      <c r="K67" s="70">
        <f>Table1[[#This Row],[Annual Salary]]*3</f>
        <v>7722000</v>
      </c>
      <c r="L67" s="70">
        <f>6/1000*Table1[[#This Row],[Sum Assured]]</f>
        <v>46332</v>
      </c>
      <c r="M67" s="70">
        <v>50000</v>
      </c>
      <c r="N67" s="70">
        <f>0.09%*Table1[[#This Row],[Permanent Disability]]</f>
        <v>45</v>
      </c>
      <c r="O67" s="70">
        <v>250000</v>
      </c>
      <c r="P67" s="70">
        <v>50000</v>
      </c>
      <c r="Q67" s="70">
        <v>92.307692307692307</v>
      </c>
      <c r="R67" s="70">
        <f>Table1[[#This Row],[Death Premium]]+Table1[[#This Row],[PD Premium]]+Table1[[#This Row],[Riders'' premium (Burial expenses &amp; Spousal cover)]]</f>
        <v>46469.307692307695</v>
      </c>
      <c r="S67" s="70" t="s">
        <v>1453</v>
      </c>
    </row>
    <row r="68" spans="1:19" x14ac:dyDescent="0.3">
      <c r="A68" t="s">
        <v>1045</v>
      </c>
      <c r="B68" t="s">
        <v>138</v>
      </c>
      <c r="C68" t="s">
        <v>485</v>
      </c>
      <c r="D68" t="s">
        <v>495</v>
      </c>
      <c r="E68" t="s">
        <v>34</v>
      </c>
      <c r="F68" s="86">
        <v>25934</v>
      </c>
      <c r="G68" s="86" t="s">
        <v>1186</v>
      </c>
      <c r="H68" s="134">
        <v>44927</v>
      </c>
      <c r="I68" s="70">
        <v>7500</v>
      </c>
      <c r="J68" s="70">
        <f>Table1[[#This Row],[DAY RATE]]*22*12</f>
        <v>1980000</v>
      </c>
      <c r="K68" s="70">
        <f>Table1[[#This Row],[Annual Salary]]*3</f>
        <v>5940000</v>
      </c>
      <c r="L68" s="70">
        <f>6/1000*Table1[[#This Row],[Sum Assured]]</f>
        <v>35640</v>
      </c>
      <c r="M68" s="70">
        <v>50000</v>
      </c>
      <c r="N68" s="70">
        <f>0.09%*Table1[[#This Row],[Permanent Disability]]</f>
        <v>45</v>
      </c>
      <c r="O68" s="70">
        <v>250000</v>
      </c>
      <c r="P68" s="70">
        <v>50000</v>
      </c>
      <c r="Q68" s="70">
        <v>92.307692307692307</v>
      </c>
      <c r="R68" s="70">
        <f>Table1[[#This Row],[Death Premium]]+Table1[[#This Row],[PD Premium]]+Table1[[#This Row],[Riders'' premium (Burial expenses &amp; Spousal cover)]]</f>
        <v>35777.307692307695</v>
      </c>
      <c r="S68" s="70">
        <v>0</v>
      </c>
    </row>
    <row r="69" spans="1:19" x14ac:dyDescent="0.3">
      <c r="A69" t="s">
        <v>1046</v>
      </c>
      <c r="B69" t="s">
        <v>573</v>
      </c>
      <c r="C69" t="s">
        <v>572</v>
      </c>
      <c r="D69" t="s">
        <v>495</v>
      </c>
      <c r="E69" t="s">
        <v>34</v>
      </c>
      <c r="F69" s="86">
        <v>25934</v>
      </c>
      <c r="G69" s="86" t="s">
        <v>1186</v>
      </c>
      <c r="H69" s="134">
        <v>44927</v>
      </c>
      <c r="I69" s="70">
        <v>7500</v>
      </c>
      <c r="J69" s="70">
        <f>Table1[[#This Row],[DAY RATE]]*22*12</f>
        <v>1980000</v>
      </c>
      <c r="K69" s="70">
        <f>Table1[[#This Row],[Annual Salary]]*3</f>
        <v>5940000</v>
      </c>
      <c r="L69" s="70">
        <f>6/1000*Table1[[#This Row],[Sum Assured]]</f>
        <v>35640</v>
      </c>
      <c r="M69" s="70">
        <v>50000</v>
      </c>
      <c r="N69" s="70">
        <f>0.09%*Table1[[#This Row],[Permanent Disability]]</f>
        <v>45</v>
      </c>
      <c r="O69" s="70">
        <v>250000</v>
      </c>
      <c r="P69" s="70">
        <v>50000</v>
      </c>
      <c r="Q69" s="70">
        <v>92.307692307692307</v>
      </c>
      <c r="R69" s="70">
        <f>Table1[[#This Row],[Death Premium]]+Table1[[#This Row],[PD Premium]]+Table1[[#This Row],[Riders'' premium (Burial expenses &amp; Spousal cover)]]</f>
        <v>35777.307692307695</v>
      </c>
      <c r="S69" s="70" t="s">
        <v>1454</v>
      </c>
    </row>
    <row r="70" spans="1:19" x14ac:dyDescent="0.3">
      <c r="A70" t="s">
        <v>1047</v>
      </c>
      <c r="B70" t="s">
        <v>530</v>
      </c>
      <c r="C70" t="s">
        <v>581</v>
      </c>
      <c r="D70" t="s">
        <v>582</v>
      </c>
      <c r="E70" t="s">
        <v>34</v>
      </c>
      <c r="F70" s="86">
        <v>25934</v>
      </c>
      <c r="G70" s="86" t="s">
        <v>1186</v>
      </c>
      <c r="H70" s="134">
        <v>44927</v>
      </c>
      <c r="I70" s="70">
        <v>7500</v>
      </c>
      <c r="J70" s="70">
        <f>Table1[[#This Row],[DAY RATE]]*22*12</f>
        <v>1980000</v>
      </c>
      <c r="K70" s="70">
        <f>Table1[[#This Row],[Annual Salary]]*3</f>
        <v>5940000</v>
      </c>
      <c r="L70" s="70">
        <f>6/1000*Table1[[#This Row],[Sum Assured]]</f>
        <v>35640</v>
      </c>
      <c r="M70" s="70">
        <v>50000</v>
      </c>
      <c r="N70" s="70">
        <f>0.09%*Table1[[#This Row],[Permanent Disability]]</f>
        <v>45</v>
      </c>
      <c r="O70" s="70">
        <v>250000</v>
      </c>
      <c r="P70" s="70">
        <v>50000</v>
      </c>
      <c r="Q70" s="70">
        <v>92.307692307692307</v>
      </c>
      <c r="R70" s="70">
        <f>Table1[[#This Row],[Death Premium]]+Table1[[#This Row],[PD Premium]]+Table1[[#This Row],[Riders'' premium (Burial expenses &amp; Spousal cover)]]</f>
        <v>35777.307692307695</v>
      </c>
      <c r="S70" s="70">
        <v>0</v>
      </c>
    </row>
    <row r="71" spans="1:19" x14ac:dyDescent="0.3">
      <c r="A71" t="s">
        <v>1048</v>
      </c>
      <c r="B71" t="s">
        <v>149</v>
      </c>
      <c r="C71" t="s">
        <v>668</v>
      </c>
      <c r="D71" t="s">
        <v>335</v>
      </c>
      <c r="E71" t="s">
        <v>34</v>
      </c>
      <c r="F71" s="86">
        <v>25934</v>
      </c>
      <c r="G71" s="86" t="s">
        <v>1186</v>
      </c>
      <c r="H71" s="134">
        <v>44927</v>
      </c>
      <c r="I71" s="70">
        <v>8250</v>
      </c>
      <c r="J71" s="70">
        <f>Table1[[#This Row],[DAY RATE]]*22*12</f>
        <v>2178000</v>
      </c>
      <c r="K71" s="70">
        <f>Table1[[#This Row],[Annual Salary]]*3</f>
        <v>6534000</v>
      </c>
      <c r="L71" s="70">
        <f>6/1000*Table1[[#This Row],[Sum Assured]]</f>
        <v>39204</v>
      </c>
      <c r="M71" s="70">
        <v>50000</v>
      </c>
      <c r="N71" s="70">
        <f>0.09%*Table1[[#This Row],[Permanent Disability]]</f>
        <v>45</v>
      </c>
      <c r="O71" s="70">
        <v>250000</v>
      </c>
      <c r="P71" s="70">
        <v>50000</v>
      </c>
      <c r="Q71" s="70">
        <v>92.307692307692307</v>
      </c>
      <c r="R71" s="70">
        <f>Table1[[#This Row],[Death Premium]]+Table1[[#This Row],[PD Premium]]+Table1[[#This Row],[Riders'' premium (Burial expenses &amp; Spousal cover)]]</f>
        <v>39341.307692307695</v>
      </c>
      <c r="S71" s="70" t="s">
        <v>1455</v>
      </c>
    </row>
    <row r="72" spans="1:19" x14ac:dyDescent="0.3">
      <c r="A72" t="s">
        <v>1049</v>
      </c>
      <c r="B72" t="s">
        <v>986</v>
      </c>
      <c r="C72" t="s">
        <v>676</v>
      </c>
      <c r="D72" t="s">
        <v>495</v>
      </c>
      <c r="E72" t="s">
        <v>34</v>
      </c>
      <c r="F72" s="86">
        <v>25934</v>
      </c>
      <c r="G72" s="86" t="s">
        <v>1186</v>
      </c>
      <c r="H72" s="134">
        <v>44927</v>
      </c>
      <c r="I72" s="70">
        <v>7500</v>
      </c>
      <c r="J72" s="70">
        <f>Table1[[#This Row],[DAY RATE]]*22*12</f>
        <v>1980000</v>
      </c>
      <c r="K72" s="70">
        <f>Table1[[#This Row],[Annual Salary]]*3</f>
        <v>5940000</v>
      </c>
      <c r="L72" s="70">
        <f>6/1000*Table1[[#This Row],[Sum Assured]]</f>
        <v>35640</v>
      </c>
      <c r="M72" s="70">
        <v>50000</v>
      </c>
      <c r="N72" s="70">
        <f>0.09%*Table1[[#This Row],[Permanent Disability]]</f>
        <v>45</v>
      </c>
      <c r="O72" s="70">
        <v>250000</v>
      </c>
      <c r="P72" s="70">
        <v>50000</v>
      </c>
      <c r="Q72" s="70">
        <v>92.307692307692307</v>
      </c>
      <c r="R72" s="70">
        <f>Table1[[#This Row],[Death Premium]]+Table1[[#This Row],[PD Premium]]+Table1[[#This Row],[Riders'' premium (Burial expenses &amp; Spousal cover)]]</f>
        <v>35777.307692307695</v>
      </c>
      <c r="S72" s="70" t="s">
        <v>1456</v>
      </c>
    </row>
    <row r="73" spans="1:19" x14ac:dyDescent="0.3">
      <c r="A73" t="s">
        <v>1050</v>
      </c>
      <c r="B73" t="s">
        <v>607</v>
      </c>
      <c r="C73" t="s">
        <v>606</v>
      </c>
      <c r="D73" t="s">
        <v>310</v>
      </c>
      <c r="E73" t="s">
        <v>34</v>
      </c>
      <c r="F73" s="86">
        <v>25934</v>
      </c>
      <c r="G73" s="86" t="s">
        <v>1186</v>
      </c>
      <c r="H73" s="134">
        <v>44927</v>
      </c>
      <c r="I73" s="70">
        <v>8250</v>
      </c>
      <c r="J73" s="70">
        <f>Table1[[#This Row],[DAY RATE]]*22*12</f>
        <v>2178000</v>
      </c>
      <c r="K73" s="70">
        <f>Table1[[#This Row],[Annual Salary]]*3</f>
        <v>6534000</v>
      </c>
      <c r="L73" s="70">
        <f>6/1000*Table1[[#This Row],[Sum Assured]]</f>
        <v>39204</v>
      </c>
      <c r="M73" s="70">
        <v>50000</v>
      </c>
      <c r="N73" s="70">
        <f>0.09%*Table1[[#This Row],[Permanent Disability]]</f>
        <v>45</v>
      </c>
      <c r="O73" s="70">
        <v>250000</v>
      </c>
      <c r="P73" s="70">
        <v>50000</v>
      </c>
      <c r="Q73" s="70">
        <v>92.307692307692307</v>
      </c>
      <c r="R73" s="70">
        <f>Table1[[#This Row],[Death Premium]]+Table1[[#This Row],[PD Premium]]+Table1[[#This Row],[Riders'' premium (Burial expenses &amp; Spousal cover)]]</f>
        <v>39341.307692307695</v>
      </c>
      <c r="S73" s="70" t="s">
        <v>1457</v>
      </c>
    </row>
    <row r="74" spans="1:19" x14ac:dyDescent="0.3">
      <c r="A74" t="s">
        <v>1051</v>
      </c>
      <c r="B74" t="s">
        <v>489</v>
      </c>
      <c r="C74" t="s">
        <v>183</v>
      </c>
      <c r="D74" t="s">
        <v>354</v>
      </c>
      <c r="E74" t="s">
        <v>34</v>
      </c>
      <c r="F74" s="86">
        <v>25934</v>
      </c>
      <c r="G74" s="86" t="s">
        <v>1186</v>
      </c>
      <c r="H74" s="134">
        <v>44927</v>
      </c>
      <c r="I74" s="70">
        <v>8250</v>
      </c>
      <c r="J74" s="70">
        <f>Table1[[#This Row],[DAY RATE]]*22*12</f>
        <v>2178000</v>
      </c>
      <c r="K74" s="70">
        <f>Table1[[#This Row],[Annual Salary]]*3</f>
        <v>6534000</v>
      </c>
      <c r="L74" s="70">
        <f>6/1000*Table1[[#This Row],[Sum Assured]]</f>
        <v>39204</v>
      </c>
      <c r="M74" s="70">
        <v>50000</v>
      </c>
      <c r="N74" s="70">
        <f>0.09%*Table1[[#This Row],[Permanent Disability]]</f>
        <v>45</v>
      </c>
      <c r="O74" s="70">
        <v>250000</v>
      </c>
      <c r="P74" s="70">
        <v>50000</v>
      </c>
      <c r="Q74" s="70">
        <v>92.307692307692307</v>
      </c>
      <c r="R74" s="70">
        <f>Table1[[#This Row],[Death Premium]]+Table1[[#This Row],[PD Premium]]+Table1[[#This Row],[Riders'' premium (Burial expenses &amp; Spousal cover)]]</f>
        <v>39341.307692307695</v>
      </c>
      <c r="S74" s="70" t="s">
        <v>1458</v>
      </c>
    </row>
    <row r="75" spans="1:19" x14ac:dyDescent="0.3">
      <c r="A75" t="s">
        <v>1052</v>
      </c>
      <c r="B75" t="s">
        <v>588</v>
      </c>
      <c r="C75" t="s">
        <v>1053</v>
      </c>
      <c r="D75" t="s">
        <v>359</v>
      </c>
      <c r="E75" t="s">
        <v>34</v>
      </c>
      <c r="F75" s="86">
        <v>25934</v>
      </c>
      <c r="G75" s="86" t="s">
        <v>1186</v>
      </c>
      <c r="H75" s="134">
        <v>44927</v>
      </c>
      <c r="I75" s="70">
        <v>11550</v>
      </c>
      <c r="J75" s="70">
        <f>Table1[[#This Row],[DAY RATE]]*22*12</f>
        <v>3049200</v>
      </c>
      <c r="K75" s="70">
        <f>Table1[[#This Row],[Annual Salary]]*3</f>
        <v>9147600</v>
      </c>
      <c r="L75" s="70">
        <f>6/1000*Table1[[#This Row],[Sum Assured]]</f>
        <v>54885.599999999999</v>
      </c>
      <c r="M75" s="70">
        <v>50000</v>
      </c>
      <c r="N75" s="70">
        <f>0.09%*Table1[[#This Row],[Permanent Disability]]</f>
        <v>45</v>
      </c>
      <c r="O75" s="70">
        <v>250000</v>
      </c>
      <c r="P75" s="70">
        <v>50000</v>
      </c>
      <c r="Q75" s="70">
        <v>92.307692307692307</v>
      </c>
      <c r="R75" s="70">
        <f>Table1[[#This Row],[Death Premium]]+Table1[[#This Row],[PD Premium]]+Table1[[#This Row],[Riders'' premium (Burial expenses &amp; Spousal cover)]]</f>
        <v>55022.907692307694</v>
      </c>
      <c r="S75" s="70" t="s">
        <v>1459</v>
      </c>
    </row>
    <row r="76" spans="1:19" x14ac:dyDescent="0.3">
      <c r="A76" t="s">
        <v>1054</v>
      </c>
      <c r="B76" t="s">
        <v>494</v>
      </c>
      <c r="C76" t="s">
        <v>493</v>
      </c>
      <c r="D76" t="s">
        <v>495</v>
      </c>
      <c r="E76" t="s">
        <v>34</v>
      </c>
      <c r="F76" s="86">
        <v>25934</v>
      </c>
      <c r="G76" s="86" t="s">
        <v>1186</v>
      </c>
      <c r="H76" s="134">
        <v>44927</v>
      </c>
      <c r="I76" s="70">
        <v>7500</v>
      </c>
      <c r="J76" s="70">
        <f>Table1[[#This Row],[DAY RATE]]*22*12</f>
        <v>1980000</v>
      </c>
      <c r="K76" s="70">
        <f>Table1[[#This Row],[Annual Salary]]*3</f>
        <v>5940000</v>
      </c>
      <c r="L76" s="70">
        <f>6/1000*Table1[[#This Row],[Sum Assured]]</f>
        <v>35640</v>
      </c>
      <c r="M76" s="70">
        <v>50000</v>
      </c>
      <c r="N76" s="70">
        <f>0.09%*Table1[[#This Row],[Permanent Disability]]</f>
        <v>45</v>
      </c>
      <c r="O76" s="70">
        <v>250000</v>
      </c>
      <c r="P76" s="70">
        <v>50000</v>
      </c>
      <c r="Q76" s="70">
        <v>92.307692307692307</v>
      </c>
      <c r="R76" s="70">
        <f>Table1[[#This Row],[Death Premium]]+Table1[[#This Row],[PD Premium]]+Table1[[#This Row],[Riders'' premium (Burial expenses &amp; Spousal cover)]]</f>
        <v>35777.307692307695</v>
      </c>
      <c r="S76" s="70" t="s">
        <v>1460</v>
      </c>
    </row>
    <row r="77" spans="1:19" x14ac:dyDescent="0.3">
      <c r="A77" t="s">
        <v>1055</v>
      </c>
      <c r="B77" t="s">
        <v>496</v>
      </c>
      <c r="C77" t="s">
        <v>164</v>
      </c>
      <c r="D77" t="s">
        <v>497</v>
      </c>
      <c r="E77" t="s">
        <v>34</v>
      </c>
      <c r="F77" s="86">
        <v>25934</v>
      </c>
      <c r="G77" s="86" t="s">
        <v>1186</v>
      </c>
      <c r="H77" s="134">
        <v>44927</v>
      </c>
      <c r="I77" s="70">
        <v>6600</v>
      </c>
      <c r="J77" s="70">
        <f>Table1[[#This Row],[DAY RATE]]*22*12</f>
        <v>1742400</v>
      </c>
      <c r="K77" s="70">
        <f>Table1[[#This Row],[Annual Salary]]*3</f>
        <v>5227200</v>
      </c>
      <c r="L77" s="70">
        <f>6/1000*Table1[[#This Row],[Sum Assured]]</f>
        <v>31363.200000000001</v>
      </c>
      <c r="M77" s="70">
        <v>50000</v>
      </c>
      <c r="N77" s="70">
        <f>0.09%*Table1[[#This Row],[Permanent Disability]]</f>
        <v>45</v>
      </c>
      <c r="O77" s="70">
        <v>250000</v>
      </c>
      <c r="P77" s="70">
        <v>50000</v>
      </c>
      <c r="Q77" s="70">
        <v>92.307692307692307</v>
      </c>
      <c r="R77" s="70">
        <f>Table1[[#This Row],[Death Premium]]+Table1[[#This Row],[PD Premium]]+Table1[[#This Row],[Riders'' premium (Burial expenses &amp; Spousal cover)]]</f>
        <v>31500.507692307692</v>
      </c>
      <c r="S77" s="70" t="s">
        <v>1461</v>
      </c>
    </row>
    <row r="78" spans="1:19" x14ac:dyDescent="0.3">
      <c r="A78" t="s">
        <v>1056</v>
      </c>
      <c r="B78" t="s">
        <v>500</v>
      </c>
      <c r="C78" t="s">
        <v>499</v>
      </c>
      <c r="D78" t="s">
        <v>495</v>
      </c>
      <c r="E78" t="s">
        <v>34</v>
      </c>
      <c r="F78" s="86">
        <v>25934</v>
      </c>
      <c r="G78" s="86" t="s">
        <v>1186</v>
      </c>
      <c r="H78" s="134">
        <v>44927</v>
      </c>
      <c r="I78" s="70">
        <v>7500</v>
      </c>
      <c r="J78" s="70">
        <f>Table1[[#This Row],[DAY RATE]]*22*12</f>
        <v>1980000</v>
      </c>
      <c r="K78" s="70">
        <f>Table1[[#This Row],[Annual Salary]]*3</f>
        <v>5940000</v>
      </c>
      <c r="L78" s="70">
        <f>6/1000*Table1[[#This Row],[Sum Assured]]</f>
        <v>35640</v>
      </c>
      <c r="M78" s="70">
        <v>50000</v>
      </c>
      <c r="N78" s="70">
        <f>0.09%*Table1[[#This Row],[Permanent Disability]]</f>
        <v>45</v>
      </c>
      <c r="O78" s="70">
        <v>250000</v>
      </c>
      <c r="P78" s="70">
        <v>50000</v>
      </c>
      <c r="Q78" s="70">
        <v>92.307692307692307</v>
      </c>
      <c r="R78" s="70">
        <f>Table1[[#This Row],[Death Premium]]+Table1[[#This Row],[PD Premium]]+Table1[[#This Row],[Riders'' premium (Burial expenses &amp; Spousal cover)]]</f>
        <v>35777.307692307695</v>
      </c>
      <c r="S78" s="70" t="s">
        <v>1462</v>
      </c>
    </row>
    <row r="79" spans="1:19" x14ac:dyDescent="0.3">
      <c r="A79" t="s">
        <v>1057</v>
      </c>
      <c r="B79" t="s">
        <v>500</v>
      </c>
      <c r="C79" t="s">
        <v>501</v>
      </c>
      <c r="D79" t="s">
        <v>310</v>
      </c>
      <c r="E79" t="s">
        <v>34</v>
      </c>
      <c r="F79" s="86">
        <v>25934</v>
      </c>
      <c r="G79" s="86" t="s">
        <v>1186</v>
      </c>
      <c r="H79" s="134">
        <v>44927</v>
      </c>
      <c r="I79" s="70">
        <v>8250</v>
      </c>
      <c r="J79" s="70">
        <f>Table1[[#This Row],[DAY RATE]]*22*12</f>
        <v>2178000</v>
      </c>
      <c r="K79" s="70">
        <f>Table1[[#This Row],[Annual Salary]]*3</f>
        <v>6534000</v>
      </c>
      <c r="L79" s="70">
        <f>6/1000*Table1[[#This Row],[Sum Assured]]</f>
        <v>39204</v>
      </c>
      <c r="M79" s="70">
        <v>50000</v>
      </c>
      <c r="N79" s="70">
        <f>0.09%*Table1[[#This Row],[Permanent Disability]]</f>
        <v>45</v>
      </c>
      <c r="O79" s="70">
        <v>250000</v>
      </c>
      <c r="P79" s="70">
        <v>50000</v>
      </c>
      <c r="Q79" s="70">
        <v>92.307692307692307</v>
      </c>
      <c r="R79" s="70">
        <f>Table1[[#This Row],[Death Premium]]+Table1[[#This Row],[PD Premium]]+Table1[[#This Row],[Riders'' premium (Burial expenses &amp; Spousal cover)]]</f>
        <v>39341.307692307695</v>
      </c>
      <c r="S79" s="70" t="s">
        <v>1463</v>
      </c>
    </row>
    <row r="80" spans="1:19" x14ac:dyDescent="0.3">
      <c r="A80" t="s">
        <v>1058</v>
      </c>
      <c r="B80" t="s">
        <v>383</v>
      </c>
      <c r="C80" t="s">
        <v>496</v>
      </c>
      <c r="D80" t="s">
        <v>346</v>
      </c>
      <c r="E80" t="s">
        <v>34</v>
      </c>
      <c r="F80" s="86">
        <v>25934</v>
      </c>
      <c r="G80" s="86" t="s">
        <v>1186</v>
      </c>
      <c r="H80" s="134">
        <v>44927</v>
      </c>
      <c r="I80" s="70">
        <v>19800</v>
      </c>
      <c r="J80" s="70">
        <f>Table1[[#This Row],[DAY RATE]]*22*12</f>
        <v>5227200</v>
      </c>
      <c r="K80" s="70">
        <f>Table1[[#This Row],[Annual Salary]]*3</f>
        <v>15681600</v>
      </c>
      <c r="L80" s="70">
        <f>6/1000*Table1[[#This Row],[Sum Assured]]</f>
        <v>94089.600000000006</v>
      </c>
      <c r="M80" s="70">
        <v>50000</v>
      </c>
      <c r="N80" s="70">
        <f>0.09%*Table1[[#This Row],[Permanent Disability]]</f>
        <v>45</v>
      </c>
      <c r="O80" s="70">
        <v>250000</v>
      </c>
      <c r="P80" s="70">
        <v>50000</v>
      </c>
      <c r="Q80" s="70">
        <v>92.307692307692307</v>
      </c>
      <c r="R80" s="70">
        <f>Table1[[#This Row],[Death Premium]]+Table1[[#This Row],[PD Premium]]+Table1[[#This Row],[Riders'' premium (Burial expenses &amp; Spousal cover)]]</f>
        <v>94226.907692307694</v>
      </c>
      <c r="S80" s="70" t="s">
        <v>1464</v>
      </c>
    </row>
    <row r="81" spans="1:19" x14ac:dyDescent="0.3">
      <c r="A81" t="s">
        <v>1059</v>
      </c>
      <c r="B81" t="s">
        <v>1060</v>
      </c>
      <c r="C81" t="s">
        <v>500</v>
      </c>
      <c r="D81" t="s">
        <v>329</v>
      </c>
      <c r="E81" t="s">
        <v>34</v>
      </c>
      <c r="F81" s="86">
        <v>32284</v>
      </c>
      <c r="G81" s="86" t="s">
        <v>1186</v>
      </c>
      <c r="H81" s="134">
        <v>45047</v>
      </c>
      <c r="I81" s="70">
        <v>9075</v>
      </c>
      <c r="J81" s="70">
        <f>Table1[[#This Row],[DAY RATE]]*22*12</f>
        <v>2395800</v>
      </c>
      <c r="K81" s="70">
        <f>Table1[[#This Row],[Annual Salary]]*3</f>
        <v>7187400</v>
      </c>
      <c r="L81" s="70">
        <f>6/1000*Table1[[#This Row],[Sum Assured]]</f>
        <v>43124.4</v>
      </c>
      <c r="M81" s="70">
        <v>50000</v>
      </c>
      <c r="N81" s="70">
        <f>0.09%*Table1[[#This Row],[Permanent Disability]]</f>
        <v>45</v>
      </c>
      <c r="O81" s="70">
        <v>250000</v>
      </c>
      <c r="P81" s="70">
        <v>50000</v>
      </c>
      <c r="Q81" s="70">
        <v>92.307692307692307</v>
      </c>
      <c r="R81" s="70">
        <f>Table1[[#This Row],[Death Premium]]+Table1[[#This Row],[PD Premium]]+Table1[[#This Row],[Riders'' premium (Burial expenses &amp; Spousal cover)]]</f>
        <v>43261.707692307697</v>
      </c>
      <c r="S81" s="70" t="s">
        <v>1465</v>
      </c>
    </row>
    <row r="82" spans="1:19" x14ac:dyDescent="0.3">
      <c r="A82" t="s">
        <v>1061</v>
      </c>
      <c r="B82" t="s">
        <v>1062</v>
      </c>
      <c r="C82" t="s">
        <v>1063</v>
      </c>
      <c r="D82" t="s">
        <v>506</v>
      </c>
      <c r="E82" t="s">
        <v>34</v>
      </c>
      <c r="F82" s="86">
        <v>34453</v>
      </c>
      <c r="G82" s="86" t="s">
        <v>1186</v>
      </c>
      <c r="H82" s="134">
        <v>45078</v>
      </c>
      <c r="I82" s="70">
        <v>9750</v>
      </c>
      <c r="J82" s="70">
        <f>Table1[[#This Row],[DAY RATE]]*22*12</f>
        <v>2574000</v>
      </c>
      <c r="K82" s="70">
        <f>Table1[[#This Row],[Annual Salary]]*3</f>
        <v>7722000</v>
      </c>
      <c r="L82" s="70">
        <f>6/1000*Table1[[#This Row],[Sum Assured]]</f>
        <v>46332</v>
      </c>
      <c r="M82" s="70">
        <v>50000</v>
      </c>
      <c r="N82" s="70">
        <f>0.09%*Table1[[#This Row],[Permanent Disability]]</f>
        <v>45</v>
      </c>
      <c r="O82" s="70">
        <v>250000</v>
      </c>
      <c r="P82" s="70">
        <v>50000</v>
      </c>
      <c r="Q82" s="70">
        <v>92.307692307692307</v>
      </c>
      <c r="R82" s="70">
        <f>Table1[[#This Row],[Death Premium]]+Table1[[#This Row],[PD Premium]]+Table1[[#This Row],[Riders'' premium (Burial expenses &amp; Spousal cover)]]</f>
        <v>46469.307692307695</v>
      </c>
      <c r="S82" s="70" t="s">
        <v>1466</v>
      </c>
    </row>
    <row r="83" spans="1:19" x14ac:dyDescent="0.3">
      <c r="A83" t="s">
        <v>1064</v>
      </c>
      <c r="B83" t="s">
        <v>179</v>
      </c>
      <c r="C83" t="s">
        <v>498</v>
      </c>
      <c r="D83" t="s">
        <v>359</v>
      </c>
      <c r="E83" t="s">
        <v>34</v>
      </c>
      <c r="F83" s="86">
        <v>31280</v>
      </c>
      <c r="G83" s="86" t="s">
        <v>1186</v>
      </c>
      <c r="H83" s="134">
        <v>45352</v>
      </c>
      <c r="I83" s="70">
        <v>11550</v>
      </c>
      <c r="J83" s="70">
        <f>Table1[[#This Row],[DAY RATE]]*22*12</f>
        <v>3049200</v>
      </c>
      <c r="K83" s="70">
        <f>Table1[[#This Row],[Annual Salary]]*3</f>
        <v>9147600</v>
      </c>
      <c r="L83" s="70">
        <f>6/1000*Table1[[#This Row],[Sum Assured]]</f>
        <v>54885.599999999999</v>
      </c>
      <c r="M83" s="70">
        <v>50000</v>
      </c>
      <c r="N83" s="70">
        <f>0.09%*Table1[[#This Row],[Permanent Disability]]</f>
        <v>45</v>
      </c>
      <c r="O83" s="70">
        <v>250000</v>
      </c>
      <c r="P83" s="70">
        <v>50000</v>
      </c>
      <c r="Q83" s="70">
        <v>92.307692307692307</v>
      </c>
      <c r="R83" s="70">
        <f>Table1[[#This Row],[Death Premium]]+Table1[[#This Row],[PD Premium]]+Table1[[#This Row],[Riders'' premium (Burial expenses &amp; Spousal cover)]]</f>
        <v>55022.907692307694</v>
      </c>
      <c r="S83" s="70" t="s">
        <v>1467</v>
      </c>
    </row>
    <row r="84" spans="1:19" x14ac:dyDescent="0.3">
      <c r="A84" t="s">
        <v>1065</v>
      </c>
      <c r="B84" t="s">
        <v>164</v>
      </c>
      <c r="C84" t="s">
        <v>1066</v>
      </c>
      <c r="D84" t="s">
        <v>359</v>
      </c>
      <c r="E84" t="s">
        <v>34</v>
      </c>
      <c r="F84" s="86">
        <v>31880</v>
      </c>
      <c r="G84" s="86" t="s">
        <v>1186</v>
      </c>
      <c r="H84" s="134">
        <v>45352</v>
      </c>
      <c r="I84" s="70">
        <v>11550</v>
      </c>
      <c r="J84" s="70">
        <f>Table1[[#This Row],[DAY RATE]]*22*12</f>
        <v>3049200</v>
      </c>
      <c r="K84" s="70">
        <f>Table1[[#This Row],[Annual Salary]]*3</f>
        <v>9147600</v>
      </c>
      <c r="L84" s="70">
        <f>6/1000*Table1[[#This Row],[Sum Assured]]</f>
        <v>54885.599999999999</v>
      </c>
      <c r="M84" s="70">
        <v>50000</v>
      </c>
      <c r="N84" s="70">
        <f>0.09%*Table1[[#This Row],[Permanent Disability]]</f>
        <v>45</v>
      </c>
      <c r="O84" s="70">
        <v>250000</v>
      </c>
      <c r="P84" s="70">
        <v>50000</v>
      </c>
      <c r="Q84" s="70">
        <v>92.307692307692307</v>
      </c>
      <c r="R84" s="70">
        <f>Table1[[#This Row],[Death Premium]]+Table1[[#This Row],[PD Premium]]+Table1[[#This Row],[Riders'' premium (Burial expenses &amp; Spousal cover)]]</f>
        <v>55022.907692307694</v>
      </c>
      <c r="S84" s="70" t="s">
        <v>1468</v>
      </c>
    </row>
    <row r="85" spans="1:19" x14ac:dyDescent="0.3">
      <c r="A85" t="s">
        <v>1067</v>
      </c>
      <c r="B85" t="s">
        <v>445</v>
      </c>
      <c r="C85" t="s">
        <v>1068</v>
      </c>
      <c r="D85" t="s">
        <v>354</v>
      </c>
      <c r="E85" t="s">
        <v>34</v>
      </c>
      <c r="F85" s="86">
        <v>30167</v>
      </c>
      <c r="G85" s="86" t="s">
        <v>1186</v>
      </c>
      <c r="H85" s="134">
        <v>45497</v>
      </c>
      <c r="I85" s="70">
        <v>6600</v>
      </c>
      <c r="J85" s="70">
        <f>Table1[[#This Row],[DAY RATE]]*22*12</f>
        <v>1742400</v>
      </c>
      <c r="K85" s="70">
        <f>Table1[[#This Row],[Annual Salary]]*3</f>
        <v>5227200</v>
      </c>
      <c r="L85" s="70">
        <f>6/1000*Table1[[#This Row],[Sum Assured]]</f>
        <v>31363.200000000001</v>
      </c>
      <c r="M85" s="70">
        <v>50000</v>
      </c>
      <c r="N85" s="70">
        <f>0.09%*Table1[[#This Row],[Permanent Disability]]</f>
        <v>45</v>
      </c>
      <c r="O85" s="70">
        <v>250000</v>
      </c>
      <c r="P85" s="70">
        <v>50000</v>
      </c>
      <c r="Q85" s="70">
        <v>92.307692307692307</v>
      </c>
      <c r="R85" s="70">
        <f>Table1[[#This Row],[Death Premium]]+Table1[[#This Row],[PD Premium]]+Table1[[#This Row],[Riders'' premium (Burial expenses &amp; Spousal cover)]]</f>
        <v>31500.507692307692</v>
      </c>
      <c r="S85" s="70" t="s">
        <v>1469</v>
      </c>
    </row>
    <row r="86" spans="1:19" x14ac:dyDescent="0.3">
      <c r="A86" t="s">
        <v>1069</v>
      </c>
      <c r="B86" t="s">
        <v>336</v>
      </c>
      <c r="C86" t="s">
        <v>223</v>
      </c>
      <c r="D86" t="s">
        <v>1070</v>
      </c>
      <c r="E86" t="s">
        <v>43</v>
      </c>
      <c r="F86" s="86">
        <v>25934</v>
      </c>
      <c r="G86" s="86" t="s">
        <v>1186</v>
      </c>
      <c r="H86" s="134">
        <v>41338</v>
      </c>
      <c r="I86" s="70">
        <v>9075</v>
      </c>
      <c r="J86" s="70">
        <f>Table1[[#This Row],[DAY RATE]]*22*12</f>
        <v>2395800</v>
      </c>
      <c r="K86" s="70">
        <f>Table1[[#This Row],[Annual Salary]]*3</f>
        <v>7187400</v>
      </c>
      <c r="L86" s="70">
        <f>6/1000*Table1[[#This Row],[Sum Assured]]</f>
        <v>43124.4</v>
      </c>
      <c r="M86" s="70">
        <v>50000</v>
      </c>
      <c r="N86" s="70">
        <f>0.09%*Table1[[#This Row],[Permanent Disability]]</f>
        <v>45</v>
      </c>
      <c r="O86" s="70">
        <v>250000</v>
      </c>
      <c r="P86" s="70">
        <v>50000</v>
      </c>
      <c r="Q86" s="70">
        <v>92.307692307692307</v>
      </c>
      <c r="R86" s="70">
        <f>Table1[[#This Row],[Death Premium]]+Table1[[#This Row],[PD Premium]]+Table1[[#This Row],[Riders'' premium (Burial expenses &amp; Spousal cover)]]</f>
        <v>43261.707692307697</v>
      </c>
      <c r="S86" s="70" t="s">
        <v>1470</v>
      </c>
    </row>
    <row r="87" spans="1:19" x14ac:dyDescent="0.3">
      <c r="A87" t="s">
        <v>1071</v>
      </c>
      <c r="B87" t="s">
        <v>540</v>
      </c>
      <c r="C87" t="s">
        <v>541</v>
      </c>
      <c r="D87" t="s">
        <v>332</v>
      </c>
      <c r="E87" t="s">
        <v>43</v>
      </c>
      <c r="F87" s="86">
        <v>23158</v>
      </c>
      <c r="G87" s="86" t="s">
        <v>1186</v>
      </c>
      <c r="H87" s="134">
        <v>44652</v>
      </c>
      <c r="I87" s="70">
        <v>11550</v>
      </c>
      <c r="J87" s="70">
        <f>Table1[[#This Row],[DAY RATE]]*22*12</f>
        <v>3049200</v>
      </c>
      <c r="K87" s="70">
        <f>Table1[[#This Row],[Annual Salary]]*3</f>
        <v>9147600</v>
      </c>
      <c r="L87" s="70">
        <f>6/1000*Table1[[#This Row],[Sum Assured]]</f>
        <v>54885.599999999999</v>
      </c>
      <c r="M87" s="70">
        <v>50000</v>
      </c>
      <c r="N87" s="70">
        <f>0.09%*Table1[[#This Row],[Permanent Disability]]</f>
        <v>45</v>
      </c>
      <c r="O87" s="70">
        <v>250000</v>
      </c>
      <c r="P87" s="70">
        <v>50000</v>
      </c>
      <c r="Q87" s="70">
        <v>92.307692307692307</v>
      </c>
      <c r="R87" s="70">
        <f>Table1[[#This Row],[Death Premium]]+Table1[[#This Row],[PD Premium]]+Table1[[#This Row],[Riders'' premium (Burial expenses &amp; Spousal cover)]]</f>
        <v>55022.907692307694</v>
      </c>
      <c r="S87" s="70">
        <v>0</v>
      </c>
    </row>
    <row r="88" spans="1:19" x14ac:dyDescent="0.3">
      <c r="A88" t="s">
        <v>1072</v>
      </c>
      <c r="B88" t="s">
        <v>1073</v>
      </c>
      <c r="C88" t="s">
        <v>609</v>
      </c>
      <c r="D88" t="s">
        <v>346</v>
      </c>
      <c r="E88" t="s">
        <v>43</v>
      </c>
      <c r="F88" s="86">
        <v>31684</v>
      </c>
      <c r="G88" s="86" t="s">
        <v>1186</v>
      </c>
      <c r="H88" s="134">
        <v>44927</v>
      </c>
      <c r="I88" s="70">
        <v>11550</v>
      </c>
      <c r="J88" s="70">
        <f>Table1[[#This Row],[DAY RATE]]*22*12</f>
        <v>3049200</v>
      </c>
      <c r="K88" s="70">
        <f>Table1[[#This Row],[Annual Salary]]*3</f>
        <v>9147600</v>
      </c>
      <c r="L88" s="70">
        <f>6/1000*Table1[[#This Row],[Sum Assured]]</f>
        <v>54885.599999999999</v>
      </c>
      <c r="M88" s="70">
        <v>50000</v>
      </c>
      <c r="N88" s="70">
        <f>0.09%*Table1[[#This Row],[Permanent Disability]]</f>
        <v>45</v>
      </c>
      <c r="O88" s="70">
        <v>250000</v>
      </c>
      <c r="P88" s="70">
        <v>50000</v>
      </c>
      <c r="Q88" s="70">
        <v>92.307692307692307</v>
      </c>
      <c r="R88" s="70">
        <f>Table1[[#This Row],[Death Premium]]+Table1[[#This Row],[PD Premium]]+Table1[[#This Row],[Riders'' premium (Burial expenses &amp; Spousal cover)]]</f>
        <v>55022.907692307694</v>
      </c>
      <c r="S88" s="70">
        <v>0</v>
      </c>
    </row>
    <row r="89" spans="1:19" x14ac:dyDescent="0.3">
      <c r="A89" t="s">
        <v>1074</v>
      </c>
      <c r="B89" t="s">
        <v>651</v>
      </c>
      <c r="C89" t="s">
        <v>389</v>
      </c>
      <c r="D89" t="s">
        <v>346</v>
      </c>
      <c r="E89" t="s">
        <v>43</v>
      </c>
      <c r="F89" s="86">
        <v>35930</v>
      </c>
      <c r="G89" s="86" t="s">
        <v>1186</v>
      </c>
      <c r="H89" s="134">
        <v>45047</v>
      </c>
      <c r="I89" s="70">
        <v>9075</v>
      </c>
      <c r="J89" s="70">
        <f>Table1[[#This Row],[DAY RATE]]*22*12</f>
        <v>2395800</v>
      </c>
      <c r="K89" s="70">
        <f>Table1[[#This Row],[Annual Salary]]*3</f>
        <v>7187400</v>
      </c>
      <c r="L89" s="70">
        <f>6/1000*Table1[[#This Row],[Sum Assured]]</f>
        <v>43124.4</v>
      </c>
      <c r="M89" s="70">
        <v>50000</v>
      </c>
      <c r="N89" s="70">
        <f>0.09%*Table1[[#This Row],[Permanent Disability]]</f>
        <v>45</v>
      </c>
      <c r="O89" s="70">
        <v>250000</v>
      </c>
      <c r="P89" s="70">
        <v>50000</v>
      </c>
      <c r="Q89" s="70">
        <v>92.307692307692307</v>
      </c>
      <c r="R89" s="70">
        <f>Table1[[#This Row],[Death Premium]]+Table1[[#This Row],[PD Premium]]+Table1[[#This Row],[Riders'' premium (Burial expenses &amp; Spousal cover)]]</f>
        <v>43261.707692307697</v>
      </c>
      <c r="S89" s="70" t="s">
        <v>1471</v>
      </c>
    </row>
    <row r="90" spans="1:19" s="98" customFormat="1" x14ac:dyDescent="0.3">
      <c r="A90" s="94" t="s">
        <v>1075</v>
      </c>
      <c r="B90" s="94" t="s">
        <v>991</v>
      </c>
      <c r="C90" s="94" t="s">
        <v>1076</v>
      </c>
      <c r="D90" s="94" t="s">
        <v>435</v>
      </c>
      <c r="E90" s="94" t="s">
        <v>34</v>
      </c>
      <c r="F90" s="95">
        <v>30461</v>
      </c>
      <c r="G90" s="86" t="s">
        <v>1186</v>
      </c>
      <c r="H90" s="134">
        <v>45751</v>
      </c>
      <c r="I90" s="96">
        <v>8250</v>
      </c>
      <c r="J90" s="97">
        <f>Table1[[#This Row],[DAY RATE]]*22*12</f>
        <v>2178000</v>
      </c>
      <c r="K90" s="97">
        <f>Table1[[#This Row],[Annual Salary]]*3</f>
        <v>6534000</v>
      </c>
      <c r="L90" s="97">
        <f>6/1000*Table1[[#This Row],[Sum Assured]]</f>
        <v>39204</v>
      </c>
      <c r="M90" s="96">
        <v>50000</v>
      </c>
      <c r="N90" s="96">
        <f>0.09%*Table1[[#This Row],[Permanent Disability]]</f>
        <v>45</v>
      </c>
      <c r="O90" s="96">
        <v>250000</v>
      </c>
      <c r="P90" s="96">
        <v>50000</v>
      </c>
      <c r="Q90" s="70">
        <v>92.307692307692307</v>
      </c>
      <c r="R90" s="70">
        <f>Table1[[#This Row],[Death Premium]]+Table1[[#This Row],[PD Premium]]+Table1[[#This Row],[Riders'' premium (Burial expenses &amp; Spousal cover)]]</f>
        <v>39341.307692307695</v>
      </c>
      <c r="S90" s="97">
        <v>0</v>
      </c>
    </row>
    <row r="91" spans="1:19" s="98" customFormat="1" x14ac:dyDescent="0.3">
      <c r="A91" s="94" t="s">
        <v>1077</v>
      </c>
      <c r="B91" s="94" t="s">
        <v>803</v>
      </c>
      <c r="C91" s="94" t="s">
        <v>1078</v>
      </c>
      <c r="D91" s="94" t="s">
        <v>424</v>
      </c>
      <c r="E91" s="94" t="s">
        <v>34</v>
      </c>
      <c r="F91" s="95">
        <v>28292</v>
      </c>
      <c r="G91" s="86" t="s">
        <v>1186</v>
      </c>
      <c r="H91" s="134">
        <v>45784</v>
      </c>
      <c r="I91" s="96">
        <v>8250</v>
      </c>
      <c r="J91" s="97">
        <f>Table1[[#This Row],[DAY RATE]]*22*12</f>
        <v>2178000</v>
      </c>
      <c r="K91" s="97">
        <f>Table1[[#This Row],[Annual Salary]]*3</f>
        <v>6534000</v>
      </c>
      <c r="L91" s="97">
        <f>6/1000*Table1[[#This Row],[Sum Assured]]</f>
        <v>39204</v>
      </c>
      <c r="M91" s="96">
        <v>50000</v>
      </c>
      <c r="N91" s="96">
        <f>0.09%*Table1[[#This Row],[Permanent Disability]]</f>
        <v>45</v>
      </c>
      <c r="O91" s="96">
        <v>250000</v>
      </c>
      <c r="P91" s="96">
        <v>50000</v>
      </c>
      <c r="Q91" s="70">
        <v>92.307692307692307</v>
      </c>
      <c r="R91" s="70">
        <f>Table1[[#This Row],[Death Premium]]+Table1[[#This Row],[PD Premium]]+Table1[[#This Row],[Riders'' premium (Burial expenses &amp; Spousal cover)]]</f>
        <v>39341.307692307695</v>
      </c>
      <c r="S91" s="97" t="s">
        <v>1472</v>
      </c>
    </row>
    <row r="92" spans="1:19" s="98" customFormat="1" x14ac:dyDescent="0.3">
      <c r="A92" s="94" t="s">
        <v>1079</v>
      </c>
      <c r="B92" s="94" t="s">
        <v>1080</v>
      </c>
      <c r="C92" s="94" t="s">
        <v>673</v>
      </c>
      <c r="D92" s="94" t="s">
        <v>359</v>
      </c>
      <c r="E92" s="94" t="s">
        <v>34</v>
      </c>
      <c r="F92" s="95">
        <v>25934</v>
      </c>
      <c r="G92" s="86" t="s">
        <v>1186</v>
      </c>
      <c r="H92" s="134">
        <v>44620</v>
      </c>
      <c r="I92" s="96">
        <v>11550</v>
      </c>
      <c r="J92" s="97">
        <f>Table1[[#This Row],[DAY RATE]]*22*12</f>
        <v>3049200</v>
      </c>
      <c r="K92" s="97">
        <f>Table1[[#This Row],[Annual Salary]]*3</f>
        <v>9147600</v>
      </c>
      <c r="L92" s="97">
        <f>6/1000*Table1[[#This Row],[Sum Assured]]</f>
        <v>54885.599999999999</v>
      </c>
      <c r="M92" s="96">
        <v>50000</v>
      </c>
      <c r="N92" s="96">
        <f>0.09%*Table1[[#This Row],[Permanent Disability]]</f>
        <v>45</v>
      </c>
      <c r="O92" s="96">
        <v>250000</v>
      </c>
      <c r="P92" s="96">
        <v>50000</v>
      </c>
      <c r="Q92" s="70">
        <v>92.307692307692307</v>
      </c>
      <c r="R92" s="70">
        <f>Table1[[#This Row],[Death Premium]]+Table1[[#This Row],[PD Premium]]+Table1[[#This Row],[Riders'' premium (Burial expenses &amp; Spousal cover)]]</f>
        <v>55022.907692307694</v>
      </c>
      <c r="S92" s="97" t="s">
        <v>1473</v>
      </c>
    </row>
    <row r="93" spans="1:19" s="98" customFormat="1" x14ac:dyDescent="0.3">
      <c r="A93" s="94" t="s">
        <v>1081</v>
      </c>
      <c r="B93" s="94" t="s">
        <v>555</v>
      </c>
      <c r="C93" s="94" t="s">
        <v>554</v>
      </c>
      <c r="D93" s="94" t="s">
        <v>359</v>
      </c>
      <c r="E93" s="94" t="s">
        <v>34</v>
      </c>
      <c r="F93" s="95">
        <v>25934</v>
      </c>
      <c r="G93" s="86" t="s">
        <v>1186</v>
      </c>
      <c r="H93" s="134">
        <v>44824</v>
      </c>
      <c r="I93" s="96">
        <v>11550</v>
      </c>
      <c r="J93" s="97">
        <f>Table1[[#This Row],[DAY RATE]]*22*12</f>
        <v>3049200</v>
      </c>
      <c r="K93" s="97">
        <f>Table1[[#This Row],[Annual Salary]]*3</f>
        <v>9147600</v>
      </c>
      <c r="L93" s="97">
        <f>6/1000*Table1[[#This Row],[Sum Assured]]</f>
        <v>54885.599999999999</v>
      </c>
      <c r="M93" s="96">
        <v>50000</v>
      </c>
      <c r="N93" s="96">
        <f>0.09%*Table1[[#This Row],[Permanent Disability]]</f>
        <v>45</v>
      </c>
      <c r="O93" s="96">
        <v>250000</v>
      </c>
      <c r="P93" s="96">
        <v>50000</v>
      </c>
      <c r="Q93" s="70">
        <v>92.307692307692307</v>
      </c>
      <c r="R93" s="70">
        <f>Table1[[#This Row],[Death Premium]]+Table1[[#This Row],[PD Premium]]+Table1[[#This Row],[Riders'' premium (Burial expenses &amp; Spousal cover)]]</f>
        <v>55022.907692307694</v>
      </c>
      <c r="S93" s="97" t="s">
        <v>1474</v>
      </c>
    </row>
    <row r="94" spans="1:19" s="98" customFormat="1" x14ac:dyDescent="0.3">
      <c r="A94" s="94" t="s">
        <v>1082</v>
      </c>
      <c r="B94" s="94" t="s">
        <v>558</v>
      </c>
      <c r="C94" s="94" t="s">
        <v>344</v>
      </c>
      <c r="D94" s="94" t="s">
        <v>429</v>
      </c>
      <c r="E94" s="94" t="s">
        <v>34</v>
      </c>
      <c r="F94" s="95">
        <v>25934</v>
      </c>
      <c r="G94" s="86" t="s">
        <v>1186</v>
      </c>
      <c r="H94" s="134">
        <v>44855</v>
      </c>
      <c r="I94" s="96">
        <v>8250</v>
      </c>
      <c r="J94" s="97">
        <f>Table1[[#This Row],[DAY RATE]]*22*12</f>
        <v>2178000</v>
      </c>
      <c r="K94" s="97">
        <f>Table1[[#This Row],[Annual Salary]]*3</f>
        <v>6534000</v>
      </c>
      <c r="L94" s="97">
        <f>6/1000*Table1[[#This Row],[Sum Assured]]</f>
        <v>39204</v>
      </c>
      <c r="M94" s="96">
        <v>50000</v>
      </c>
      <c r="N94" s="96">
        <f>0.09%*Table1[[#This Row],[Permanent Disability]]</f>
        <v>45</v>
      </c>
      <c r="O94" s="96">
        <v>250000</v>
      </c>
      <c r="P94" s="96">
        <v>50000</v>
      </c>
      <c r="Q94" s="70">
        <v>92.307692307692307</v>
      </c>
      <c r="R94" s="70">
        <f>Table1[[#This Row],[Death Premium]]+Table1[[#This Row],[PD Premium]]+Table1[[#This Row],[Riders'' premium (Burial expenses &amp; Spousal cover)]]</f>
        <v>39341.307692307695</v>
      </c>
      <c r="S94" s="97" t="s">
        <v>1475</v>
      </c>
    </row>
    <row r="95" spans="1:19" s="98" customFormat="1" x14ac:dyDescent="0.3">
      <c r="A95" s="94" t="s">
        <v>1083</v>
      </c>
      <c r="B95" s="94" t="s">
        <v>282</v>
      </c>
      <c r="C95" s="94" t="s">
        <v>630</v>
      </c>
      <c r="D95" s="94" t="s">
        <v>359</v>
      </c>
      <c r="E95" s="94" t="s">
        <v>34</v>
      </c>
      <c r="F95" s="95">
        <v>25934</v>
      </c>
      <c r="G95" s="86" t="s">
        <v>1186</v>
      </c>
      <c r="H95" s="134">
        <v>44927</v>
      </c>
      <c r="I95" s="96">
        <v>11550</v>
      </c>
      <c r="J95" s="97">
        <f>Table1[[#This Row],[DAY RATE]]*22*12</f>
        <v>3049200</v>
      </c>
      <c r="K95" s="97">
        <f>Table1[[#This Row],[Annual Salary]]*3</f>
        <v>9147600</v>
      </c>
      <c r="L95" s="97">
        <f>6/1000*Table1[[#This Row],[Sum Assured]]</f>
        <v>54885.599999999999</v>
      </c>
      <c r="M95" s="96">
        <v>50000</v>
      </c>
      <c r="N95" s="96">
        <f>0.09%*Table1[[#This Row],[Permanent Disability]]</f>
        <v>45</v>
      </c>
      <c r="O95" s="96">
        <v>250000</v>
      </c>
      <c r="P95" s="96">
        <v>50000</v>
      </c>
      <c r="Q95" s="70">
        <v>92.307692307692307</v>
      </c>
      <c r="R95" s="70">
        <f>Table1[[#This Row],[Death Premium]]+Table1[[#This Row],[PD Premium]]+Table1[[#This Row],[Riders'' premium (Burial expenses &amp; Spousal cover)]]</f>
        <v>55022.907692307694</v>
      </c>
      <c r="S95" s="97" t="s">
        <v>1476</v>
      </c>
    </row>
    <row r="96" spans="1:19" s="98" customFormat="1" x14ac:dyDescent="0.3">
      <c r="A96" s="94" t="s">
        <v>1084</v>
      </c>
      <c r="B96" s="94" t="s">
        <v>1085</v>
      </c>
      <c r="C96" s="94" t="s">
        <v>306</v>
      </c>
      <c r="D96" s="94" t="s">
        <v>359</v>
      </c>
      <c r="E96" s="94" t="s">
        <v>34</v>
      </c>
      <c r="F96" s="95">
        <v>25934</v>
      </c>
      <c r="G96" s="86" t="s">
        <v>1186</v>
      </c>
      <c r="H96" s="134">
        <v>44927</v>
      </c>
      <c r="I96" s="96">
        <v>11550</v>
      </c>
      <c r="J96" s="97">
        <f>Table1[[#This Row],[DAY RATE]]*22*12</f>
        <v>3049200</v>
      </c>
      <c r="K96" s="97">
        <f>Table1[[#This Row],[Annual Salary]]*3</f>
        <v>9147600</v>
      </c>
      <c r="L96" s="97">
        <f>6/1000*Table1[[#This Row],[Sum Assured]]</f>
        <v>54885.599999999999</v>
      </c>
      <c r="M96" s="96">
        <v>50000</v>
      </c>
      <c r="N96" s="96">
        <f>0.09%*Table1[[#This Row],[Permanent Disability]]</f>
        <v>45</v>
      </c>
      <c r="O96" s="96">
        <v>250000</v>
      </c>
      <c r="P96" s="96">
        <v>50000</v>
      </c>
      <c r="Q96" s="70">
        <v>92.307692307692307</v>
      </c>
      <c r="R96" s="70">
        <f>Table1[[#This Row],[Death Premium]]+Table1[[#This Row],[PD Premium]]+Table1[[#This Row],[Riders'' premium (Burial expenses &amp; Spousal cover)]]</f>
        <v>55022.907692307694</v>
      </c>
      <c r="S96" s="97" t="s">
        <v>1477</v>
      </c>
    </row>
    <row r="97" spans="1:19" s="98" customFormat="1" x14ac:dyDescent="0.3">
      <c r="A97" s="94" t="s">
        <v>1086</v>
      </c>
      <c r="B97" s="94" t="s">
        <v>847</v>
      </c>
      <c r="C97" s="94" t="s">
        <v>168</v>
      </c>
      <c r="D97" s="94" t="s">
        <v>359</v>
      </c>
      <c r="E97" s="94" t="s">
        <v>34</v>
      </c>
      <c r="F97" s="95">
        <v>25934</v>
      </c>
      <c r="G97" s="86" t="s">
        <v>1186</v>
      </c>
      <c r="H97" s="134">
        <v>44927</v>
      </c>
      <c r="I97" s="96">
        <v>11550</v>
      </c>
      <c r="J97" s="97">
        <f>Table1[[#This Row],[DAY RATE]]*22*12</f>
        <v>3049200</v>
      </c>
      <c r="K97" s="97">
        <f>Table1[[#This Row],[Annual Salary]]*3</f>
        <v>9147600</v>
      </c>
      <c r="L97" s="97">
        <f>6/1000*Table1[[#This Row],[Sum Assured]]</f>
        <v>54885.599999999999</v>
      </c>
      <c r="M97" s="96">
        <v>50000</v>
      </c>
      <c r="N97" s="96">
        <f>0.09%*Table1[[#This Row],[Permanent Disability]]</f>
        <v>45</v>
      </c>
      <c r="O97" s="96">
        <v>250000</v>
      </c>
      <c r="P97" s="96">
        <v>50000</v>
      </c>
      <c r="Q97" s="70">
        <v>92.307692307692307</v>
      </c>
      <c r="R97" s="70">
        <f>Table1[[#This Row],[Death Premium]]+Table1[[#This Row],[PD Premium]]+Table1[[#This Row],[Riders'' premium (Burial expenses &amp; Spousal cover)]]</f>
        <v>55022.907692307694</v>
      </c>
      <c r="S97" s="97" t="s">
        <v>1478</v>
      </c>
    </row>
    <row r="98" spans="1:19" s="98" customFormat="1" x14ac:dyDescent="0.3">
      <c r="A98" s="94" t="s">
        <v>1087</v>
      </c>
      <c r="B98" s="94" t="s">
        <v>403</v>
      </c>
      <c r="C98" s="94" t="s">
        <v>586</v>
      </c>
      <c r="D98" s="94" t="s">
        <v>359</v>
      </c>
      <c r="E98" s="94" t="s">
        <v>34</v>
      </c>
      <c r="F98" s="95">
        <v>25934</v>
      </c>
      <c r="G98" s="86" t="s">
        <v>1186</v>
      </c>
      <c r="H98" s="134">
        <v>44927</v>
      </c>
      <c r="I98" s="96">
        <v>11550</v>
      </c>
      <c r="J98" s="97">
        <f>Table1[[#This Row],[DAY RATE]]*22*12</f>
        <v>3049200</v>
      </c>
      <c r="K98" s="97">
        <f>Table1[[#This Row],[Annual Salary]]*3</f>
        <v>9147600</v>
      </c>
      <c r="L98" s="97">
        <f>6/1000*Table1[[#This Row],[Sum Assured]]</f>
        <v>54885.599999999999</v>
      </c>
      <c r="M98" s="96">
        <v>50000</v>
      </c>
      <c r="N98" s="96">
        <f>0.09%*Table1[[#This Row],[Permanent Disability]]</f>
        <v>45</v>
      </c>
      <c r="O98" s="96">
        <v>250000</v>
      </c>
      <c r="P98" s="96">
        <v>50000</v>
      </c>
      <c r="Q98" s="70">
        <v>92.307692307692307</v>
      </c>
      <c r="R98" s="70">
        <f>Table1[[#This Row],[Death Premium]]+Table1[[#This Row],[PD Premium]]+Table1[[#This Row],[Riders'' premium (Burial expenses &amp; Spousal cover)]]</f>
        <v>55022.907692307694</v>
      </c>
      <c r="S98" s="97" t="s">
        <v>1479</v>
      </c>
    </row>
    <row r="99" spans="1:19" s="98" customFormat="1" x14ac:dyDescent="0.3">
      <c r="A99" s="94" t="s">
        <v>1088</v>
      </c>
      <c r="B99" s="94" t="s">
        <v>1089</v>
      </c>
      <c r="C99" s="94" t="s">
        <v>1090</v>
      </c>
      <c r="D99" s="94" t="s">
        <v>329</v>
      </c>
      <c r="E99" s="94" t="s">
        <v>34</v>
      </c>
      <c r="F99" s="95">
        <v>25934</v>
      </c>
      <c r="G99" s="86" t="s">
        <v>1186</v>
      </c>
      <c r="H99" s="134">
        <v>44927</v>
      </c>
      <c r="I99" s="96">
        <v>9075</v>
      </c>
      <c r="J99" s="97">
        <f>Table1[[#This Row],[DAY RATE]]*22*12</f>
        <v>2395800</v>
      </c>
      <c r="K99" s="97">
        <f>Table1[[#This Row],[Annual Salary]]*3</f>
        <v>7187400</v>
      </c>
      <c r="L99" s="97">
        <f>6/1000*Table1[[#This Row],[Sum Assured]]</f>
        <v>43124.4</v>
      </c>
      <c r="M99" s="96">
        <v>50000</v>
      </c>
      <c r="N99" s="96">
        <f>0.09%*Table1[[#This Row],[Permanent Disability]]</f>
        <v>45</v>
      </c>
      <c r="O99" s="96">
        <v>250000</v>
      </c>
      <c r="P99" s="96">
        <v>50000</v>
      </c>
      <c r="Q99" s="70">
        <v>92.307692307692307</v>
      </c>
      <c r="R99" s="70">
        <f>Table1[[#This Row],[Death Premium]]+Table1[[#This Row],[PD Premium]]+Table1[[#This Row],[Riders'' premium (Burial expenses &amp; Spousal cover)]]</f>
        <v>43261.707692307697</v>
      </c>
      <c r="S99" s="97" t="s">
        <v>1480</v>
      </c>
    </row>
    <row r="100" spans="1:19" s="98" customFormat="1" x14ac:dyDescent="0.3">
      <c r="A100" s="94" t="s">
        <v>1091</v>
      </c>
      <c r="B100" s="94" t="s">
        <v>1092</v>
      </c>
      <c r="C100" s="94" t="s">
        <v>164</v>
      </c>
      <c r="D100" s="94" t="s">
        <v>506</v>
      </c>
      <c r="E100" s="94" t="s">
        <v>34</v>
      </c>
      <c r="F100" s="95">
        <v>29020</v>
      </c>
      <c r="G100" s="86" t="s">
        <v>1186</v>
      </c>
      <c r="H100" s="134">
        <v>45078</v>
      </c>
      <c r="I100" s="96">
        <v>9750</v>
      </c>
      <c r="J100" s="97">
        <f>Table1[[#This Row],[DAY RATE]]*22*12</f>
        <v>2574000</v>
      </c>
      <c r="K100" s="97">
        <f>Table1[[#This Row],[Annual Salary]]*3</f>
        <v>7722000</v>
      </c>
      <c r="L100" s="97">
        <f>6/1000*Table1[[#This Row],[Sum Assured]]</f>
        <v>46332</v>
      </c>
      <c r="M100" s="96">
        <v>50000</v>
      </c>
      <c r="N100" s="96">
        <f>0.09%*Table1[[#This Row],[Permanent Disability]]</f>
        <v>45</v>
      </c>
      <c r="O100" s="96">
        <v>250000</v>
      </c>
      <c r="P100" s="96">
        <v>50000</v>
      </c>
      <c r="Q100" s="70">
        <v>92.307692307692307</v>
      </c>
      <c r="R100" s="70">
        <f>Table1[[#This Row],[Death Premium]]+Table1[[#This Row],[PD Premium]]+Table1[[#This Row],[Riders'' premium (Burial expenses &amp; Spousal cover)]]</f>
        <v>46469.307692307695</v>
      </c>
      <c r="S100" s="97" t="s">
        <v>1481</v>
      </c>
    </row>
    <row r="101" spans="1:19" s="98" customFormat="1" x14ac:dyDescent="0.3">
      <c r="A101" s="94" t="s">
        <v>1181</v>
      </c>
      <c r="B101" s="94" t="s">
        <v>1182</v>
      </c>
      <c r="C101" s="94" t="s">
        <v>1090</v>
      </c>
      <c r="D101" s="94" t="s">
        <v>557</v>
      </c>
      <c r="E101" s="94" t="s">
        <v>34</v>
      </c>
      <c r="F101" s="130">
        <v>29000</v>
      </c>
      <c r="G101" s="86" t="s">
        <v>1186</v>
      </c>
      <c r="H101" s="134">
        <v>45962</v>
      </c>
      <c r="I101" s="96">
        <v>13200</v>
      </c>
      <c r="J101" s="97">
        <f>Table1[[#This Row],[DAY RATE]]*22*12</f>
        <v>3484800</v>
      </c>
      <c r="K101" s="97">
        <f>Table1[[#This Row],[Annual Salary]]*3</f>
        <v>10454400</v>
      </c>
      <c r="L101" s="97">
        <f>6/1000*Table1[[#This Row],[Sum Assured]]</f>
        <v>62726.400000000001</v>
      </c>
      <c r="M101" s="96">
        <v>50000</v>
      </c>
      <c r="N101" s="96">
        <f>0.09%*Table1[[#This Row],[Permanent Disability]]</f>
        <v>45</v>
      </c>
      <c r="O101" s="96">
        <v>250000</v>
      </c>
      <c r="P101" s="96">
        <v>50000</v>
      </c>
      <c r="Q101" s="70">
        <v>92.307692307692307</v>
      </c>
      <c r="R101" s="70">
        <f>Table1[[#This Row],[Death Premium]]+Table1[[#This Row],[PD Premium]]+Table1[[#This Row],[Riders'' premium (Burial expenses &amp; Spousal cover)]]</f>
        <v>62863.707692307697</v>
      </c>
      <c r="S101" s="97" t="s">
        <v>1482</v>
      </c>
    </row>
    <row r="102" spans="1:19" s="98" customFormat="1" x14ac:dyDescent="0.3">
      <c r="A102" s="94" t="s">
        <v>1185</v>
      </c>
      <c r="B102" s="94" t="s">
        <v>1183</v>
      </c>
      <c r="C102" s="94" t="s">
        <v>1184</v>
      </c>
      <c r="D102" s="94" t="s">
        <v>557</v>
      </c>
      <c r="E102" s="94" t="s">
        <v>34</v>
      </c>
      <c r="F102" s="130">
        <v>30979</v>
      </c>
      <c r="G102" s="86" t="s">
        <v>1186</v>
      </c>
      <c r="H102" s="134">
        <v>45962</v>
      </c>
      <c r="I102" s="96">
        <v>13200</v>
      </c>
      <c r="J102" s="97">
        <f>Table1[[#This Row],[DAY RATE]]*22*12</f>
        <v>3484800</v>
      </c>
      <c r="K102" s="97">
        <f>Table1[[#This Row],[Annual Salary]]*3</f>
        <v>10454400</v>
      </c>
      <c r="L102" s="97">
        <f>6/1000*Table1[[#This Row],[Sum Assured]]</f>
        <v>62726.400000000001</v>
      </c>
      <c r="M102" s="96">
        <v>50000</v>
      </c>
      <c r="N102" s="96">
        <f>0.09%*Table1[[#This Row],[Permanent Disability]]</f>
        <v>45</v>
      </c>
      <c r="O102" s="96">
        <v>250000</v>
      </c>
      <c r="P102" s="96">
        <v>50000</v>
      </c>
      <c r="Q102" s="70">
        <v>92.307692307692307</v>
      </c>
      <c r="R102" s="70">
        <f>Table1[[#This Row],[Death Premium]]+Table1[[#This Row],[PD Premium]]+Table1[[#This Row],[Riders'' premium (Burial expenses &amp; Spousal cover)]]</f>
        <v>62863.707692307697</v>
      </c>
      <c r="S102" s="97" t="s">
        <v>1483</v>
      </c>
    </row>
    <row r="103" spans="1:19" s="98" customFormat="1" x14ac:dyDescent="0.3">
      <c r="A103" s="94" t="s">
        <v>1198</v>
      </c>
      <c r="B103" s="94" t="s">
        <v>1263</v>
      </c>
      <c r="C103" s="94" t="s">
        <v>753</v>
      </c>
      <c r="D103" s="94" t="s">
        <v>958</v>
      </c>
      <c r="E103" s="94" t="s">
        <v>34</v>
      </c>
      <c r="F103" s="139">
        <v>25846</v>
      </c>
      <c r="G103" s="86" t="s">
        <v>1186</v>
      </c>
      <c r="H103" s="140">
        <v>42045</v>
      </c>
      <c r="I103" s="96">
        <v>14000</v>
      </c>
      <c r="J103" s="97">
        <f>Table1[[#This Row],[DAY RATE]]*22*12</f>
        <v>3696000</v>
      </c>
      <c r="K103" s="97">
        <f>Table1[[#This Row],[Annual Salary]]*3</f>
        <v>11088000</v>
      </c>
      <c r="L103" s="97">
        <f>6/1000*Table1[[#This Row],[Sum Assured]]</f>
        <v>66528</v>
      </c>
      <c r="M103" s="96">
        <v>50000</v>
      </c>
      <c r="N103" s="96">
        <f>0.09%*Table1[[#This Row],[Permanent Disability]]</f>
        <v>45</v>
      </c>
      <c r="O103" s="96">
        <v>250000</v>
      </c>
      <c r="P103" s="96">
        <v>50000</v>
      </c>
      <c r="Q103" s="70">
        <v>92.307692307692307</v>
      </c>
      <c r="R103" s="70">
        <f>Table1[[#This Row],[Death Premium]]+Table1[[#This Row],[PD Premium]]+Table1[[#This Row],[Riders'' premium (Burial expenses &amp; Spousal cover)]]</f>
        <v>66665.307692307688</v>
      </c>
      <c r="S103" s="97">
        <v>0</v>
      </c>
    </row>
    <row r="104" spans="1:19" s="98" customFormat="1" x14ac:dyDescent="0.3">
      <c r="A104" s="94" t="s">
        <v>1199</v>
      </c>
      <c r="B104" s="94" t="s">
        <v>370</v>
      </c>
      <c r="C104" s="94" t="s">
        <v>192</v>
      </c>
      <c r="D104" s="94" t="s">
        <v>346</v>
      </c>
      <c r="E104" s="94" t="s">
        <v>34</v>
      </c>
      <c r="F104" s="139">
        <v>25934</v>
      </c>
      <c r="G104" s="86" t="s">
        <v>1186</v>
      </c>
      <c r="H104" s="140">
        <v>44927</v>
      </c>
      <c r="I104" s="96">
        <v>15200</v>
      </c>
      <c r="J104" s="97">
        <f>Table1[[#This Row],[DAY RATE]]*22*12</f>
        <v>4012800</v>
      </c>
      <c r="K104" s="97">
        <f>Table1[[#This Row],[Annual Salary]]*3</f>
        <v>12038400</v>
      </c>
      <c r="L104" s="97">
        <f>6/1000*Table1[[#This Row],[Sum Assured]]</f>
        <v>72230.400000000009</v>
      </c>
      <c r="M104" s="96">
        <v>50000</v>
      </c>
      <c r="N104" s="96">
        <f>0.09%*Table1[[#This Row],[Permanent Disability]]</f>
        <v>45</v>
      </c>
      <c r="O104" s="96">
        <v>250000</v>
      </c>
      <c r="P104" s="96">
        <v>50000</v>
      </c>
      <c r="Q104" s="70">
        <v>92.307692307692307</v>
      </c>
      <c r="R104" s="70">
        <f>Table1[[#This Row],[Death Premium]]+Table1[[#This Row],[PD Premium]]+Table1[[#This Row],[Riders'' premium (Burial expenses &amp; Spousal cover)]]</f>
        <v>72367.707692307697</v>
      </c>
      <c r="S104" s="97">
        <v>0</v>
      </c>
    </row>
    <row r="105" spans="1:19" s="98" customFormat="1" x14ac:dyDescent="0.3">
      <c r="A105" s="94" t="s">
        <v>1200</v>
      </c>
      <c r="B105" s="94" t="s">
        <v>32</v>
      </c>
      <c r="C105" s="94" t="s">
        <v>378</v>
      </c>
      <c r="D105" s="94" t="s">
        <v>332</v>
      </c>
      <c r="E105" s="94" t="s">
        <v>43</v>
      </c>
      <c r="F105" s="139">
        <v>28338</v>
      </c>
      <c r="G105" s="86" t="s">
        <v>1186</v>
      </c>
      <c r="H105" s="140">
        <v>45047</v>
      </c>
      <c r="I105" s="96">
        <v>11550</v>
      </c>
      <c r="J105" s="97">
        <f>Table1[[#This Row],[DAY RATE]]*22*12</f>
        <v>3049200</v>
      </c>
      <c r="K105" s="97">
        <f>Table1[[#This Row],[Annual Salary]]*3</f>
        <v>9147600</v>
      </c>
      <c r="L105" s="97">
        <f>6/1000*Table1[[#This Row],[Sum Assured]]</f>
        <v>54885.599999999999</v>
      </c>
      <c r="M105" s="96">
        <v>50000</v>
      </c>
      <c r="N105" s="96">
        <f>0.09%*Table1[[#This Row],[Permanent Disability]]</f>
        <v>45</v>
      </c>
      <c r="O105" s="96">
        <v>250000</v>
      </c>
      <c r="P105" s="96">
        <v>50000</v>
      </c>
      <c r="Q105" s="70">
        <v>92.307692307692307</v>
      </c>
      <c r="R105" s="70">
        <f>Table1[[#This Row],[Death Premium]]+Table1[[#This Row],[PD Premium]]+Table1[[#This Row],[Riders'' premium (Burial expenses &amp; Spousal cover)]]</f>
        <v>55022.907692307694</v>
      </c>
      <c r="S105" s="97" t="s">
        <v>1484</v>
      </c>
    </row>
    <row r="106" spans="1:19" s="98" customFormat="1" x14ac:dyDescent="0.3">
      <c r="A106" s="94" t="s">
        <v>1201</v>
      </c>
      <c r="B106" s="94" t="s">
        <v>380</v>
      </c>
      <c r="C106" s="94" t="s">
        <v>379</v>
      </c>
      <c r="D106" s="94" t="s">
        <v>332</v>
      </c>
      <c r="E106" s="94" t="s">
        <v>43</v>
      </c>
      <c r="F106" s="139">
        <v>28989</v>
      </c>
      <c r="G106" s="86" t="s">
        <v>1186</v>
      </c>
      <c r="H106" s="140">
        <v>45017</v>
      </c>
      <c r="I106" s="96">
        <v>11550</v>
      </c>
      <c r="J106" s="97">
        <f>Table1[[#This Row],[DAY RATE]]*22*12</f>
        <v>3049200</v>
      </c>
      <c r="K106" s="97">
        <f>Table1[[#This Row],[Annual Salary]]*3</f>
        <v>9147600</v>
      </c>
      <c r="L106" s="97">
        <f>6/1000*Table1[[#This Row],[Sum Assured]]</f>
        <v>54885.599999999999</v>
      </c>
      <c r="M106" s="96">
        <v>50000</v>
      </c>
      <c r="N106" s="96">
        <f>0.09%*Table1[[#This Row],[Permanent Disability]]</f>
        <v>45</v>
      </c>
      <c r="O106" s="96">
        <v>250000</v>
      </c>
      <c r="P106" s="96">
        <v>50000</v>
      </c>
      <c r="Q106" s="70">
        <v>92.307692307692307</v>
      </c>
      <c r="R106" s="70">
        <f>Table1[[#This Row],[Death Premium]]+Table1[[#This Row],[PD Premium]]+Table1[[#This Row],[Riders'' premium (Burial expenses &amp; Spousal cover)]]</f>
        <v>55022.907692307694</v>
      </c>
      <c r="S106" s="97" t="s">
        <v>1485</v>
      </c>
    </row>
    <row r="107" spans="1:19" s="98" customFormat="1" x14ac:dyDescent="0.3">
      <c r="A107" s="94" t="s">
        <v>1202</v>
      </c>
      <c r="B107" s="94" t="s">
        <v>65</v>
      </c>
      <c r="C107" s="94" t="s">
        <v>145</v>
      </c>
      <c r="D107" s="94" t="s">
        <v>354</v>
      </c>
      <c r="E107" s="94" t="s">
        <v>34</v>
      </c>
      <c r="F107" s="139">
        <v>25461</v>
      </c>
      <c r="G107" s="86" t="s">
        <v>1186</v>
      </c>
      <c r="H107" s="140">
        <v>45017</v>
      </c>
      <c r="I107" s="96">
        <v>8250</v>
      </c>
      <c r="J107" s="97">
        <f>Table1[[#This Row],[DAY RATE]]*22*12</f>
        <v>2178000</v>
      </c>
      <c r="K107" s="97">
        <f>Table1[[#This Row],[Annual Salary]]*3</f>
        <v>6534000</v>
      </c>
      <c r="L107" s="97">
        <f>6/1000*Table1[[#This Row],[Sum Assured]]</f>
        <v>39204</v>
      </c>
      <c r="M107" s="96">
        <v>50000</v>
      </c>
      <c r="N107" s="96">
        <f>0.09%*Table1[[#This Row],[Permanent Disability]]</f>
        <v>45</v>
      </c>
      <c r="O107" s="96">
        <v>250000</v>
      </c>
      <c r="P107" s="96">
        <v>50000</v>
      </c>
      <c r="Q107" s="70">
        <v>92.307692307692307</v>
      </c>
      <c r="R107" s="70">
        <f>Table1[[#This Row],[Death Premium]]+Table1[[#This Row],[PD Premium]]+Table1[[#This Row],[Riders'' premium (Burial expenses &amp; Spousal cover)]]</f>
        <v>39341.307692307695</v>
      </c>
      <c r="S107" s="97">
        <v>0</v>
      </c>
    </row>
    <row r="108" spans="1:19" s="98" customFormat="1" x14ac:dyDescent="0.3">
      <c r="A108" s="94" t="s">
        <v>1203</v>
      </c>
      <c r="B108" s="94" t="s">
        <v>386</v>
      </c>
      <c r="C108" s="94" t="s">
        <v>164</v>
      </c>
      <c r="D108" s="94" t="s">
        <v>332</v>
      </c>
      <c r="E108" s="94" t="s">
        <v>43</v>
      </c>
      <c r="F108" s="139">
        <v>25720</v>
      </c>
      <c r="G108" s="86" t="s">
        <v>1186</v>
      </c>
      <c r="H108" s="140">
        <v>43138</v>
      </c>
      <c r="I108" s="96">
        <v>11550</v>
      </c>
      <c r="J108" s="97">
        <f>Table1[[#This Row],[DAY RATE]]*22*12</f>
        <v>3049200</v>
      </c>
      <c r="K108" s="97">
        <f>Table1[[#This Row],[Annual Salary]]*3</f>
        <v>9147600</v>
      </c>
      <c r="L108" s="97">
        <f>6/1000*Table1[[#This Row],[Sum Assured]]</f>
        <v>54885.599999999999</v>
      </c>
      <c r="M108" s="96">
        <v>50000</v>
      </c>
      <c r="N108" s="96">
        <f>0.09%*Table1[[#This Row],[Permanent Disability]]</f>
        <v>45</v>
      </c>
      <c r="O108" s="96">
        <v>250000</v>
      </c>
      <c r="P108" s="96">
        <v>50000</v>
      </c>
      <c r="Q108" s="70">
        <v>92.307692307692307</v>
      </c>
      <c r="R108" s="70">
        <f>Table1[[#This Row],[Death Premium]]+Table1[[#This Row],[PD Premium]]+Table1[[#This Row],[Riders'' premium (Burial expenses &amp; Spousal cover)]]</f>
        <v>55022.907692307694</v>
      </c>
      <c r="S108" s="97" t="s">
        <v>1486</v>
      </c>
    </row>
    <row r="109" spans="1:19" s="98" customFormat="1" x14ac:dyDescent="0.3">
      <c r="A109" s="94" t="s">
        <v>1204</v>
      </c>
      <c r="B109" s="94" t="s">
        <v>1264</v>
      </c>
      <c r="C109" s="94" t="s">
        <v>364</v>
      </c>
      <c r="D109" s="94" t="s">
        <v>396</v>
      </c>
      <c r="E109" s="94" t="s">
        <v>43</v>
      </c>
      <c r="F109" s="139">
        <v>23814</v>
      </c>
      <c r="G109" s="86" t="s">
        <v>1186</v>
      </c>
      <c r="H109" s="140">
        <v>43138</v>
      </c>
      <c r="I109" s="96">
        <v>8250</v>
      </c>
      <c r="J109" s="97">
        <f>Table1[[#This Row],[DAY RATE]]*22*12</f>
        <v>2178000</v>
      </c>
      <c r="K109" s="97">
        <f>Table1[[#This Row],[Annual Salary]]*3</f>
        <v>6534000</v>
      </c>
      <c r="L109" s="97">
        <f>6/1000*Table1[[#This Row],[Sum Assured]]</f>
        <v>39204</v>
      </c>
      <c r="M109" s="96">
        <v>50000</v>
      </c>
      <c r="N109" s="96">
        <f>0.09%*Table1[[#This Row],[Permanent Disability]]</f>
        <v>45</v>
      </c>
      <c r="O109" s="96">
        <v>250000</v>
      </c>
      <c r="P109" s="96">
        <v>50000</v>
      </c>
      <c r="Q109" s="70">
        <v>92.307692307692307</v>
      </c>
      <c r="R109" s="70">
        <f>Table1[[#This Row],[Death Premium]]+Table1[[#This Row],[PD Premium]]+Table1[[#This Row],[Riders'' premium (Burial expenses &amp; Spousal cover)]]</f>
        <v>39341.307692307695</v>
      </c>
      <c r="S109" s="97" t="s">
        <v>1487</v>
      </c>
    </row>
    <row r="110" spans="1:19" s="98" customFormat="1" x14ac:dyDescent="0.3">
      <c r="A110" s="94" t="s">
        <v>1205</v>
      </c>
      <c r="B110" s="94" t="s">
        <v>387</v>
      </c>
      <c r="C110" s="94" t="s">
        <v>372</v>
      </c>
      <c r="D110" s="94" t="s">
        <v>332</v>
      </c>
      <c r="E110" s="94" t="s">
        <v>43</v>
      </c>
      <c r="F110" s="139">
        <v>29587</v>
      </c>
      <c r="G110" s="86" t="s">
        <v>1186</v>
      </c>
      <c r="H110" s="140">
        <v>45017</v>
      </c>
      <c r="I110" s="96">
        <v>11550</v>
      </c>
      <c r="J110" s="97">
        <f>Table1[[#This Row],[DAY RATE]]*22*12</f>
        <v>3049200</v>
      </c>
      <c r="K110" s="97">
        <f>Table1[[#This Row],[Annual Salary]]*3</f>
        <v>9147600</v>
      </c>
      <c r="L110" s="97">
        <f>6/1000*Table1[[#This Row],[Sum Assured]]</f>
        <v>54885.599999999999</v>
      </c>
      <c r="M110" s="96">
        <v>50000</v>
      </c>
      <c r="N110" s="96">
        <f>0.09%*Table1[[#This Row],[Permanent Disability]]</f>
        <v>45</v>
      </c>
      <c r="O110" s="96">
        <v>250000</v>
      </c>
      <c r="P110" s="96">
        <v>50000</v>
      </c>
      <c r="Q110" s="70">
        <v>92.307692307692307</v>
      </c>
      <c r="R110" s="70">
        <f>Table1[[#This Row],[Death Premium]]+Table1[[#This Row],[PD Premium]]+Table1[[#This Row],[Riders'' premium (Burial expenses &amp; Spousal cover)]]</f>
        <v>55022.907692307694</v>
      </c>
      <c r="S110" s="97">
        <v>0</v>
      </c>
    </row>
    <row r="111" spans="1:19" s="98" customFormat="1" x14ac:dyDescent="0.3">
      <c r="A111" s="94" t="s">
        <v>1206</v>
      </c>
      <c r="B111" s="94" t="s">
        <v>390</v>
      </c>
      <c r="C111" s="94" t="s">
        <v>389</v>
      </c>
      <c r="D111" s="94" t="s">
        <v>354</v>
      </c>
      <c r="E111" s="94" t="s">
        <v>43</v>
      </c>
      <c r="F111" s="139">
        <v>24581</v>
      </c>
      <c r="G111" s="86" t="s">
        <v>1186</v>
      </c>
      <c r="H111" s="140">
        <v>43124</v>
      </c>
      <c r="I111" s="96">
        <v>8250</v>
      </c>
      <c r="J111" s="97">
        <f>Table1[[#This Row],[DAY RATE]]*22*12</f>
        <v>2178000</v>
      </c>
      <c r="K111" s="97">
        <f>Table1[[#This Row],[Annual Salary]]*3</f>
        <v>6534000</v>
      </c>
      <c r="L111" s="97">
        <f>6/1000*Table1[[#This Row],[Sum Assured]]</f>
        <v>39204</v>
      </c>
      <c r="M111" s="96">
        <v>50000</v>
      </c>
      <c r="N111" s="96">
        <f>0.09%*Table1[[#This Row],[Permanent Disability]]</f>
        <v>45</v>
      </c>
      <c r="O111" s="96">
        <v>250000</v>
      </c>
      <c r="P111" s="96">
        <v>50000</v>
      </c>
      <c r="Q111" s="70">
        <v>92.307692307692307</v>
      </c>
      <c r="R111" s="70">
        <f>Table1[[#This Row],[Death Premium]]+Table1[[#This Row],[PD Premium]]+Table1[[#This Row],[Riders'' premium (Burial expenses &amp; Spousal cover)]]</f>
        <v>39341.307692307695</v>
      </c>
      <c r="S111" s="97">
        <v>0</v>
      </c>
    </row>
    <row r="112" spans="1:19" s="98" customFormat="1" x14ac:dyDescent="0.3">
      <c r="A112" s="94" t="s">
        <v>1207</v>
      </c>
      <c r="B112" s="94" t="s">
        <v>89</v>
      </c>
      <c r="C112" s="94" t="s">
        <v>391</v>
      </c>
      <c r="D112" s="94" t="s">
        <v>590</v>
      </c>
      <c r="E112" s="94" t="s">
        <v>43</v>
      </c>
      <c r="F112" s="139">
        <v>33328</v>
      </c>
      <c r="G112" s="86" t="s">
        <v>1186</v>
      </c>
      <c r="H112" s="140">
        <v>45017</v>
      </c>
      <c r="I112" s="96">
        <v>6600</v>
      </c>
      <c r="J112" s="97">
        <f>Table1[[#This Row],[DAY RATE]]*22*12</f>
        <v>1742400</v>
      </c>
      <c r="K112" s="97">
        <f>Table1[[#This Row],[Annual Salary]]*3</f>
        <v>5227200</v>
      </c>
      <c r="L112" s="97">
        <f>6/1000*Table1[[#This Row],[Sum Assured]]</f>
        <v>31363.200000000001</v>
      </c>
      <c r="M112" s="96">
        <v>50000</v>
      </c>
      <c r="N112" s="96">
        <f>0.09%*Table1[[#This Row],[Permanent Disability]]</f>
        <v>45</v>
      </c>
      <c r="O112" s="96">
        <v>250000</v>
      </c>
      <c r="P112" s="96">
        <v>50000</v>
      </c>
      <c r="Q112" s="70">
        <v>92.307692307692307</v>
      </c>
      <c r="R112" s="70">
        <f>Table1[[#This Row],[Death Premium]]+Table1[[#This Row],[PD Premium]]+Table1[[#This Row],[Riders'' premium (Burial expenses &amp; Spousal cover)]]</f>
        <v>31500.507692307692</v>
      </c>
      <c r="S112" s="97" t="s">
        <v>1488</v>
      </c>
    </row>
    <row r="113" spans="1:19" s="98" customFormat="1" x14ac:dyDescent="0.3">
      <c r="A113" s="94" t="s">
        <v>1208</v>
      </c>
      <c r="B113" s="94" t="s">
        <v>368</v>
      </c>
      <c r="C113" s="94" t="s">
        <v>342</v>
      </c>
      <c r="D113" s="94" t="s">
        <v>316</v>
      </c>
      <c r="E113" s="94" t="s">
        <v>43</v>
      </c>
      <c r="F113" s="139">
        <v>27030</v>
      </c>
      <c r="G113" s="86" t="s">
        <v>1186</v>
      </c>
      <c r="H113" s="140">
        <v>44564</v>
      </c>
      <c r="I113" s="96">
        <v>14850</v>
      </c>
      <c r="J113" s="97">
        <f>Table1[[#This Row],[DAY RATE]]*22*12</f>
        <v>3920400</v>
      </c>
      <c r="K113" s="97">
        <f>Table1[[#This Row],[Annual Salary]]*3</f>
        <v>11761200</v>
      </c>
      <c r="L113" s="97">
        <f>6/1000*Table1[[#This Row],[Sum Assured]]</f>
        <v>70567.199999999997</v>
      </c>
      <c r="M113" s="96">
        <v>50000</v>
      </c>
      <c r="N113" s="96">
        <f>0.09%*Table1[[#This Row],[Permanent Disability]]</f>
        <v>45</v>
      </c>
      <c r="O113" s="96">
        <v>250000</v>
      </c>
      <c r="P113" s="96">
        <v>50000</v>
      </c>
      <c r="Q113" s="70">
        <v>92.307692307692307</v>
      </c>
      <c r="R113" s="70">
        <f>Table1[[#This Row],[Death Premium]]+Table1[[#This Row],[PD Premium]]+Table1[[#This Row],[Riders'' premium (Burial expenses &amp; Spousal cover)]]</f>
        <v>70704.507692307685</v>
      </c>
      <c r="S113" s="97" t="s">
        <v>1489</v>
      </c>
    </row>
    <row r="114" spans="1:19" s="98" customFormat="1" x14ac:dyDescent="0.3">
      <c r="A114" s="94" t="s">
        <v>1209</v>
      </c>
      <c r="B114" s="94" t="s">
        <v>400</v>
      </c>
      <c r="C114" s="94" t="s">
        <v>399</v>
      </c>
      <c r="D114" s="94" t="s">
        <v>401</v>
      </c>
      <c r="E114" s="94" t="s">
        <v>43</v>
      </c>
      <c r="F114" s="139">
        <v>25431</v>
      </c>
      <c r="G114" s="86" t="s">
        <v>1186</v>
      </c>
      <c r="H114" s="140">
        <v>43159</v>
      </c>
      <c r="I114" s="96">
        <v>15200</v>
      </c>
      <c r="J114" s="97">
        <f>Table1[[#This Row],[DAY RATE]]*22*12</f>
        <v>4012800</v>
      </c>
      <c r="K114" s="97">
        <f>Table1[[#This Row],[Annual Salary]]*3</f>
        <v>12038400</v>
      </c>
      <c r="L114" s="97">
        <f>6/1000*Table1[[#This Row],[Sum Assured]]</f>
        <v>72230.400000000009</v>
      </c>
      <c r="M114" s="96">
        <v>50000</v>
      </c>
      <c r="N114" s="96">
        <f>0.09%*Table1[[#This Row],[Permanent Disability]]</f>
        <v>45</v>
      </c>
      <c r="O114" s="96">
        <v>250000</v>
      </c>
      <c r="P114" s="96">
        <v>50000</v>
      </c>
      <c r="Q114" s="70">
        <v>92.307692307692307</v>
      </c>
      <c r="R114" s="70">
        <f>Table1[[#This Row],[Death Premium]]+Table1[[#This Row],[PD Premium]]+Table1[[#This Row],[Riders'' premium (Burial expenses &amp; Spousal cover)]]</f>
        <v>72367.707692307697</v>
      </c>
      <c r="S114" s="97">
        <v>0</v>
      </c>
    </row>
    <row r="115" spans="1:19" s="98" customFormat="1" x14ac:dyDescent="0.3">
      <c r="A115" s="94" t="s">
        <v>1210</v>
      </c>
      <c r="B115" s="94" t="s">
        <v>407</v>
      </c>
      <c r="C115" s="94" t="s">
        <v>406</v>
      </c>
      <c r="D115" s="94" t="s">
        <v>408</v>
      </c>
      <c r="E115" s="94" t="s">
        <v>43</v>
      </c>
      <c r="F115" s="139">
        <v>25731</v>
      </c>
      <c r="G115" s="86" t="s">
        <v>1186</v>
      </c>
      <c r="H115" s="140">
        <v>43179</v>
      </c>
      <c r="I115" s="96">
        <v>8250</v>
      </c>
      <c r="J115" s="97">
        <f>Table1[[#This Row],[DAY RATE]]*22*12</f>
        <v>2178000</v>
      </c>
      <c r="K115" s="97">
        <f>Table1[[#This Row],[Annual Salary]]*3</f>
        <v>6534000</v>
      </c>
      <c r="L115" s="97">
        <f>6/1000*Table1[[#This Row],[Sum Assured]]</f>
        <v>39204</v>
      </c>
      <c r="M115" s="96">
        <v>50000</v>
      </c>
      <c r="N115" s="96">
        <f>0.09%*Table1[[#This Row],[Permanent Disability]]</f>
        <v>45</v>
      </c>
      <c r="O115" s="96">
        <v>250000</v>
      </c>
      <c r="P115" s="96">
        <v>50000</v>
      </c>
      <c r="Q115" s="70">
        <v>92.307692307692307</v>
      </c>
      <c r="R115" s="70">
        <f>Table1[[#This Row],[Death Premium]]+Table1[[#This Row],[PD Premium]]+Table1[[#This Row],[Riders'' premium (Burial expenses &amp; Spousal cover)]]</f>
        <v>39341.307692307695</v>
      </c>
      <c r="S115" s="97">
        <v>0</v>
      </c>
    </row>
    <row r="116" spans="1:19" s="98" customFormat="1" x14ac:dyDescent="0.3">
      <c r="A116" s="94" t="s">
        <v>1211</v>
      </c>
      <c r="B116" s="94" t="s">
        <v>1265</v>
      </c>
      <c r="C116" s="94" t="s">
        <v>409</v>
      </c>
      <c r="D116" s="94" t="s">
        <v>1292</v>
      </c>
      <c r="E116" s="94" t="s">
        <v>1003</v>
      </c>
      <c r="F116" s="139">
        <v>35151</v>
      </c>
      <c r="G116" s="86" t="s">
        <v>1186</v>
      </c>
      <c r="H116" s="140">
        <v>43183</v>
      </c>
      <c r="I116" s="96">
        <v>6600</v>
      </c>
      <c r="J116" s="97">
        <f>Table1[[#This Row],[DAY RATE]]*22*12</f>
        <v>1742400</v>
      </c>
      <c r="K116" s="97">
        <f>Table1[[#This Row],[Annual Salary]]*3</f>
        <v>5227200</v>
      </c>
      <c r="L116" s="97">
        <f>6/1000*Table1[[#This Row],[Sum Assured]]</f>
        <v>31363.200000000001</v>
      </c>
      <c r="M116" s="96">
        <v>50000</v>
      </c>
      <c r="N116" s="96">
        <f>0.09%*Table1[[#This Row],[Permanent Disability]]</f>
        <v>45</v>
      </c>
      <c r="O116" s="96">
        <v>250000</v>
      </c>
      <c r="P116" s="96">
        <v>50000</v>
      </c>
      <c r="Q116" s="70">
        <v>92.307692307692307</v>
      </c>
      <c r="R116" s="70">
        <f>Table1[[#This Row],[Death Premium]]+Table1[[#This Row],[PD Premium]]+Table1[[#This Row],[Riders'' premium (Burial expenses &amp; Spousal cover)]]</f>
        <v>31500.507692307692</v>
      </c>
      <c r="S116" s="97" t="s">
        <v>1490</v>
      </c>
    </row>
    <row r="117" spans="1:19" s="98" customFormat="1" x14ac:dyDescent="0.3">
      <c r="A117" s="94" t="s">
        <v>1212</v>
      </c>
      <c r="B117" s="94" t="s">
        <v>282</v>
      </c>
      <c r="C117" s="94" t="s">
        <v>411</v>
      </c>
      <c r="D117" s="94" t="s">
        <v>408</v>
      </c>
      <c r="E117" s="94" t="s">
        <v>34</v>
      </c>
      <c r="F117" s="139">
        <v>29164</v>
      </c>
      <c r="G117" s="86" t="s">
        <v>1186</v>
      </c>
      <c r="H117" s="140">
        <v>43203</v>
      </c>
      <c r="I117" s="96">
        <v>8250</v>
      </c>
      <c r="J117" s="97">
        <f>Table1[[#This Row],[DAY RATE]]*22*12</f>
        <v>2178000</v>
      </c>
      <c r="K117" s="97">
        <f>Table1[[#This Row],[Annual Salary]]*3</f>
        <v>6534000</v>
      </c>
      <c r="L117" s="97">
        <f>6/1000*Table1[[#This Row],[Sum Assured]]</f>
        <v>39204</v>
      </c>
      <c r="M117" s="96">
        <v>50000</v>
      </c>
      <c r="N117" s="96">
        <f>0.09%*Table1[[#This Row],[Permanent Disability]]</f>
        <v>45</v>
      </c>
      <c r="O117" s="96">
        <v>250000</v>
      </c>
      <c r="P117" s="96">
        <v>50000</v>
      </c>
      <c r="Q117" s="70">
        <v>92.307692307692307</v>
      </c>
      <c r="R117" s="70">
        <f>Table1[[#This Row],[Death Premium]]+Table1[[#This Row],[PD Premium]]+Table1[[#This Row],[Riders'' premium (Burial expenses &amp; Spousal cover)]]</f>
        <v>39341.307692307695</v>
      </c>
      <c r="S117" s="97" t="s">
        <v>1491</v>
      </c>
    </row>
    <row r="118" spans="1:19" s="98" customFormat="1" x14ac:dyDescent="0.3">
      <c r="A118" s="94" t="s">
        <v>1213</v>
      </c>
      <c r="B118" s="94" t="s">
        <v>417</v>
      </c>
      <c r="C118" s="94" t="s">
        <v>416</v>
      </c>
      <c r="D118" s="94" t="s">
        <v>404</v>
      </c>
      <c r="E118" s="94" t="s">
        <v>43</v>
      </c>
      <c r="F118" s="139">
        <v>29113</v>
      </c>
      <c r="G118" s="86" t="s">
        <v>1186</v>
      </c>
      <c r="H118" s="140">
        <v>43178</v>
      </c>
      <c r="I118" s="96">
        <v>19800</v>
      </c>
      <c r="J118" s="97">
        <f>Table1[[#This Row],[DAY RATE]]*22*12</f>
        <v>5227200</v>
      </c>
      <c r="K118" s="97">
        <f>Table1[[#This Row],[Annual Salary]]*3</f>
        <v>15681600</v>
      </c>
      <c r="L118" s="97">
        <f>6/1000*Table1[[#This Row],[Sum Assured]]</f>
        <v>94089.600000000006</v>
      </c>
      <c r="M118" s="96">
        <v>50000</v>
      </c>
      <c r="N118" s="96">
        <f>0.09%*Table1[[#This Row],[Permanent Disability]]</f>
        <v>45</v>
      </c>
      <c r="O118" s="96">
        <v>250000</v>
      </c>
      <c r="P118" s="96">
        <v>50000</v>
      </c>
      <c r="Q118" s="70">
        <v>92.307692307692307</v>
      </c>
      <c r="R118" s="70">
        <f>Table1[[#This Row],[Death Premium]]+Table1[[#This Row],[PD Premium]]+Table1[[#This Row],[Riders'' premium (Burial expenses &amp; Spousal cover)]]</f>
        <v>94226.907692307694</v>
      </c>
      <c r="S118" s="97">
        <v>0</v>
      </c>
    </row>
    <row r="119" spans="1:19" s="98" customFormat="1" x14ac:dyDescent="0.3">
      <c r="A119" s="94" t="s">
        <v>1214</v>
      </c>
      <c r="B119" s="94" t="s">
        <v>301</v>
      </c>
      <c r="C119" s="94" t="s">
        <v>420</v>
      </c>
      <c r="D119" s="94" t="s">
        <v>648</v>
      </c>
      <c r="E119" s="94" t="s">
        <v>43</v>
      </c>
      <c r="F119" s="139">
        <v>25934</v>
      </c>
      <c r="G119" s="86" t="s">
        <v>1186</v>
      </c>
      <c r="H119" s="140">
        <v>43448</v>
      </c>
      <c r="I119" s="96">
        <v>9075</v>
      </c>
      <c r="J119" s="97">
        <f>Table1[[#This Row],[DAY RATE]]*22*12</f>
        <v>2395800</v>
      </c>
      <c r="K119" s="97">
        <f>Table1[[#This Row],[Annual Salary]]*3</f>
        <v>7187400</v>
      </c>
      <c r="L119" s="97">
        <f>6/1000*Table1[[#This Row],[Sum Assured]]</f>
        <v>43124.4</v>
      </c>
      <c r="M119" s="96">
        <v>50000</v>
      </c>
      <c r="N119" s="96">
        <f>0.09%*Table1[[#This Row],[Permanent Disability]]</f>
        <v>45</v>
      </c>
      <c r="O119" s="96">
        <v>250000</v>
      </c>
      <c r="P119" s="96">
        <v>50000</v>
      </c>
      <c r="Q119" s="70">
        <v>92.307692307692307</v>
      </c>
      <c r="R119" s="70">
        <f>Table1[[#This Row],[Death Premium]]+Table1[[#This Row],[PD Premium]]+Table1[[#This Row],[Riders'' premium (Burial expenses &amp; Spousal cover)]]</f>
        <v>43261.707692307697</v>
      </c>
      <c r="S119" s="97" t="s">
        <v>1492</v>
      </c>
    </row>
    <row r="120" spans="1:19" s="98" customFormat="1" x14ac:dyDescent="0.3">
      <c r="A120" s="94" t="s">
        <v>1215</v>
      </c>
      <c r="B120" s="94" t="s">
        <v>421</v>
      </c>
      <c r="C120" s="94" t="s">
        <v>164</v>
      </c>
      <c r="D120" s="94" t="s">
        <v>648</v>
      </c>
      <c r="E120" s="94" t="s">
        <v>43</v>
      </c>
      <c r="F120" s="139">
        <v>25934</v>
      </c>
      <c r="G120" s="86" t="s">
        <v>1186</v>
      </c>
      <c r="H120" s="140">
        <v>43479</v>
      </c>
      <c r="I120" s="96">
        <v>9075</v>
      </c>
      <c r="J120" s="97">
        <f>Table1[[#This Row],[DAY RATE]]*22*12</f>
        <v>2395800</v>
      </c>
      <c r="K120" s="97">
        <f>Table1[[#This Row],[Annual Salary]]*3</f>
        <v>7187400</v>
      </c>
      <c r="L120" s="97">
        <f>6/1000*Table1[[#This Row],[Sum Assured]]</f>
        <v>43124.4</v>
      </c>
      <c r="M120" s="96">
        <v>50000</v>
      </c>
      <c r="N120" s="96">
        <f>0.09%*Table1[[#This Row],[Permanent Disability]]</f>
        <v>45</v>
      </c>
      <c r="O120" s="96">
        <v>250000</v>
      </c>
      <c r="P120" s="96">
        <v>50000</v>
      </c>
      <c r="Q120" s="70">
        <v>92.307692307692307</v>
      </c>
      <c r="R120" s="70">
        <f>Table1[[#This Row],[Death Premium]]+Table1[[#This Row],[PD Premium]]+Table1[[#This Row],[Riders'' premium (Burial expenses &amp; Spousal cover)]]</f>
        <v>43261.707692307697</v>
      </c>
      <c r="S120" s="97">
        <v>0</v>
      </c>
    </row>
    <row r="121" spans="1:19" s="98" customFormat="1" x14ac:dyDescent="0.3">
      <c r="A121" s="94" t="s">
        <v>1216</v>
      </c>
      <c r="B121" s="94" t="s">
        <v>432</v>
      </c>
      <c r="C121" s="94" t="s">
        <v>431</v>
      </c>
      <c r="D121" s="94" t="s">
        <v>335</v>
      </c>
      <c r="E121" s="94" t="s">
        <v>43</v>
      </c>
      <c r="F121" s="139">
        <v>29122</v>
      </c>
      <c r="G121" s="86" t="s">
        <v>1186</v>
      </c>
      <c r="H121" s="140">
        <v>43507</v>
      </c>
      <c r="I121" s="96">
        <v>8250</v>
      </c>
      <c r="J121" s="97">
        <f>Table1[[#This Row],[DAY RATE]]*22*12</f>
        <v>2178000</v>
      </c>
      <c r="K121" s="97">
        <f>Table1[[#This Row],[Annual Salary]]*3</f>
        <v>6534000</v>
      </c>
      <c r="L121" s="97">
        <f>6/1000*Table1[[#This Row],[Sum Assured]]</f>
        <v>39204</v>
      </c>
      <c r="M121" s="96">
        <v>50000</v>
      </c>
      <c r="N121" s="96">
        <f>0.09%*Table1[[#This Row],[Permanent Disability]]</f>
        <v>45</v>
      </c>
      <c r="O121" s="96">
        <v>250000</v>
      </c>
      <c r="P121" s="96">
        <v>50000</v>
      </c>
      <c r="Q121" s="70">
        <v>92.307692307692307</v>
      </c>
      <c r="R121" s="70">
        <f>Table1[[#This Row],[Death Premium]]+Table1[[#This Row],[PD Premium]]+Table1[[#This Row],[Riders'' premium (Burial expenses &amp; Spousal cover)]]</f>
        <v>39341.307692307695</v>
      </c>
      <c r="S121" s="97">
        <v>0</v>
      </c>
    </row>
    <row r="122" spans="1:19" s="98" customFormat="1" x14ac:dyDescent="0.3">
      <c r="A122" s="94" t="s">
        <v>1217</v>
      </c>
      <c r="B122" s="94" t="s">
        <v>434</v>
      </c>
      <c r="C122" s="94" t="s">
        <v>433</v>
      </c>
      <c r="D122" s="94" t="s">
        <v>1024</v>
      </c>
      <c r="E122" s="94" t="s">
        <v>43</v>
      </c>
      <c r="F122" s="139">
        <v>30076</v>
      </c>
      <c r="G122" s="86" t="s">
        <v>1186</v>
      </c>
      <c r="H122" s="140">
        <v>44927</v>
      </c>
      <c r="I122" s="96">
        <v>8250</v>
      </c>
      <c r="J122" s="97">
        <f>Table1[[#This Row],[DAY RATE]]*22*12</f>
        <v>2178000</v>
      </c>
      <c r="K122" s="97">
        <f>Table1[[#This Row],[Annual Salary]]*3</f>
        <v>6534000</v>
      </c>
      <c r="L122" s="97">
        <f>6/1000*Table1[[#This Row],[Sum Assured]]</f>
        <v>39204</v>
      </c>
      <c r="M122" s="96">
        <v>50000</v>
      </c>
      <c r="N122" s="96">
        <f>0.09%*Table1[[#This Row],[Permanent Disability]]</f>
        <v>45</v>
      </c>
      <c r="O122" s="96">
        <v>250000</v>
      </c>
      <c r="P122" s="96">
        <v>50000</v>
      </c>
      <c r="Q122" s="70">
        <v>92.307692307692307</v>
      </c>
      <c r="R122" s="70">
        <f>Table1[[#This Row],[Death Premium]]+Table1[[#This Row],[PD Premium]]+Table1[[#This Row],[Riders'' premium (Burial expenses &amp; Spousal cover)]]</f>
        <v>39341.307692307695</v>
      </c>
      <c r="S122" s="97" t="s">
        <v>1493</v>
      </c>
    </row>
    <row r="123" spans="1:19" s="98" customFormat="1" x14ac:dyDescent="0.3">
      <c r="A123" s="94" t="s">
        <v>1218</v>
      </c>
      <c r="B123" s="94" t="s">
        <v>436</v>
      </c>
      <c r="C123" s="94" t="s">
        <v>149</v>
      </c>
      <c r="D123" s="94" t="s">
        <v>435</v>
      </c>
      <c r="E123" s="94" t="s">
        <v>43</v>
      </c>
      <c r="F123" s="139">
        <v>30366</v>
      </c>
      <c r="G123" s="86" t="s">
        <v>1186</v>
      </c>
      <c r="H123" s="140">
        <v>44927</v>
      </c>
      <c r="I123" s="96">
        <v>8250</v>
      </c>
      <c r="J123" s="97">
        <f>Table1[[#This Row],[DAY RATE]]*22*12</f>
        <v>2178000</v>
      </c>
      <c r="K123" s="97">
        <f>Table1[[#This Row],[Annual Salary]]*3</f>
        <v>6534000</v>
      </c>
      <c r="L123" s="97">
        <f>6/1000*Table1[[#This Row],[Sum Assured]]</f>
        <v>39204</v>
      </c>
      <c r="M123" s="96">
        <v>50000</v>
      </c>
      <c r="N123" s="96">
        <f>0.09%*Table1[[#This Row],[Permanent Disability]]</f>
        <v>45</v>
      </c>
      <c r="O123" s="96">
        <v>250000</v>
      </c>
      <c r="P123" s="96">
        <v>50000</v>
      </c>
      <c r="Q123" s="70">
        <v>92.307692307692307</v>
      </c>
      <c r="R123" s="70">
        <f>Table1[[#This Row],[Death Premium]]+Table1[[#This Row],[PD Premium]]+Table1[[#This Row],[Riders'' premium (Burial expenses &amp; Spousal cover)]]</f>
        <v>39341.307692307695</v>
      </c>
      <c r="S123" s="97">
        <v>0</v>
      </c>
    </row>
    <row r="124" spans="1:19" s="98" customFormat="1" x14ac:dyDescent="0.3">
      <c r="A124" s="94" t="s">
        <v>1219</v>
      </c>
      <c r="B124" s="94" t="s">
        <v>442</v>
      </c>
      <c r="C124" s="94" t="s">
        <v>441</v>
      </c>
      <c r="D124" s="94" t="s">
        <v>302</v>
      </c>
      <c r="E124" s="94" t="s">
        <v>43</v>
      </c>
      <c r="F124" s="139">
        <v>25934</v>
      </c>
      <c r="G124" s="86" t="s">
        <v>1186</v>
      </c>
      <c r="H124" s="140">
        <v>44620</v>
      </c>
      <c r="I124" s="96">
        <v>15200</v>
      </c>
      <c r="J124" s="97">
        <f>Table1[[#This Row],[DAY RATE]]*22*12</f>
        <v>4012800</v>
      </c>
      <c r="K124" s="97">
        <f>Table1[[#This Row],[Annual Salary]]*3</f>
        <v>12038400</v>
      </c>
      <c r="L124" s="97">
        <f>6/1000*Table1[[#This Row],[Sum Assured]]</f>
        <v>72230.400000000009</v>
      </c>
      <c r="M124" s="96">
        <v>50000</v>
      </c>
      <c r="N124" s="96">
        <f>0.09%*Table1[[#This Row],[Permanent Disability]]</f>
        <v>45</v>
      </c>
      <c r="O124" s="96">
        <v>250000</v>
      </c>
      <c r="P124" s="96">
        <v>50000</v>
      </c>
      <c r="Q124" s="70">
        <v>92.307692307692307</v>
      </c>
      <c r="R124" s="70">
        <f>Table1[[#This Row],[Death Premium]]+Table1[[#This Row],[PD Premium]]+Table1[[#This Row],[Riders'' premium (Burial expenses &amp; Spousal cover)]]</f>
        <v>72367.707692307697</v>
      </c>
      <c r="S124" s="97">
        <v>0</v>
      </c>
    </row>
    <row r="125" spans="1:19" s="98" customFormat="1" x14ac:dyDescent="0.3">
      <c r="A125" s="94" t="s">
        <v>1220</v>
      </c>
      <c r="B125" s="94" t="s">
        <v>445</v>
      </c>
      <c r="C125" s="94" t="s">
        <v>286</v>
      </c>
      <c r="D125" s="94" t="s">
        <v>359</v>
      </c>
      <c r="E125" s="94" t="s">
        <v>34</v>
      </c>
      <c r="F125" s="139">
        <v>25934</v>
      </c>
      <c r="G125" s="86" t="s">
        <v>1186</v>
      </c>
      <c r="H125" s="140">
        <v>44620</v>
      </c>
      <c r="I125" s="96">
        <v>11550</v>
      </c>
      <c r="J125" s="97">
        <f>Table1[[#This Row],[DAY RATE]]*22*12</f>
        <v>3049200</v>
      </c>
      <c r="K125" s="97">
        <f>Table1[[#This Row],[Annual Salary]]*3</f>
        <v>9147600</v>
      </c>
      <c r="L125" s="97">
        <f>6/1000*Table1[[#This Row],[Sum Assured]]</f>
        <v>54885.599999999999</v>
      </c>
      <c r="M125" s="96">
        <v>50000</v>
      </c>
      <c r="N125" s="96">
        <f>0.09%*Table1[[#This Row],[Permanent Disability]]</f>
        <v>45</v>
      </c>
      <c r="O125" s="96">
        <v>250000</v>
      </c>
      <c r="P125" s="96">
        <v>50000</v>
      </c>
      <c r="Q125" s="70">
        <v>92.307692307692307</v>
      </c>
      <c r="R125" s="70">
        <f>Table1[[#This Row],[Death Premium]]+Table1[[#This Row],[PD Premium]]+Table1[[#This Row],[Riders'' premium (Burial expenses &amp; Spousal cover)]]</f>
        <v>55022.907692307694</v>
      </c>
      <c r="S125" s="97">
        <v>0</v>
      </c>
    </row>
    <row r="126" spans="1:19" s="98" customFormat="1" x14ac:dyDescent="0.3">
      <c r="A126" s="94" t="s">
        <v>1221</v>
      </c>
      <c r="B126" s="94" t="s">
        <v>448</v>
      </c>
      <c r="C126" s="94" t="s">
        <v>447</v>
      </c>
      <c r="D126" s="94" t="s">
        <v>424</v>
      </c>
      <c r="E126" s="94" t="s">
        <v>43</v>
      </c>
      <c r="F126" s="139">
        <v>25843</v>
      </c>
      <c r="G126" s="86" t="s">
        <v>1186</v>
      </c>
      <c r="H126" s="140">
        <v>44620</v>
      </c>
      <c r="I126" s="96">
        <v>8250</v>
      </c>
      <c r="J126" s="97">
        <f>Table1[[#This Row],[DAY RATE]]*22*12</f>
        <v>2178000</v>
      </c>
      <c r="K126" s="97">
        <f>Table1[[#This Row],[Annual Salary]]*3</f>
        <v>6534000</v>
      </c>
      <c r="L126" s="97">
        <f>6/1000*Table1[[#This Row],[Sum Assured]]</f>
        <v>39204</v>
      </c>
      <c r="M126" s="96">
        <v>50000</v>
      </c>
      <c r="N126" s="96">
        <f>0.09%*Table1[[#This Row],[Permanent Disability]]</f>
        <v>45</v>
      </c>
      <c r="O126" s="96">
        <v>250000</v>
      </c>
      <c r="P126" s="96">
        <v>50000</v>
      </c>
      <c r="Q126" s="70">
        <v>92.307692307692307</v>
      </c>
      <c r="R126" s="70">
        <f>Table1[[#This Row],[Death Premium]]+Table1[[#This Row],[PD Premium]]+Table1[[#This Row],[Riders'' premium (Burial expenses &amp; Spousal cover)]]</f>
        <v>39341.307692307695</v>
      </c>
      <c r="S126" s="97" t="s">
        <v>1494</v>
      </c>
    </row>
    <row r="127" spans="1:19" s="98" customFormat="1" x14ac:dyDescent="0.3">
      <c r="A127" s="94" t="s">
        <v>1222</v>
      </c>
      <c r="B127" s="94" t="s">
        <v>462</v>
      </c>
      <c r="C127" s="94" t="s">
        <v>461</v>
      </c>
      <c r="D127" s="94" t="s">
        <v>332</v>
      </c>
      <c r="E127" s="94" t="s">
        <v>34</v>
      </c>
      <c r="F127" s="139">
        <v>25934</v>
      </c>
      <c r="G127" s="86" t="s">
        <v>1186</v>
      </c>
      <c r="H127" s="140">
        <v>43802</v>
      </c>
      <c r="I127" s="96">
        <v>11550</v>
      </c>
      <c r="J127" s="97">
        <f>Table1[[#This Row],[DAY RATE]]*22*12</f>
        <v>3049200</v>
      </c>
      <c r="K127" s="97">
        <f>Table1[[#This Row],[Annual Salary]]*3</f>
        <v>9147600</v>
      </c>
      <c r="L127" s="97">
        <f>6/1000*Table1[[#This Row],[Sum Assured]]</f>
        <v>54885.599999999999</v>
      </c>
      <c r="M127" s="96">
        <v>50000</v>
      </c>
      <c r="N127" s="96">
        <f>0.09%*Table1[[#This Row],[Permanent Disability]]</f>
        <v>45</v>
      </c>
      <c r="O127" s="96">
        <v>250000</v>
      </c>
      <c r="P127" s="96">
        <v>50000</v>
      </c>
      <c r="Q127" s="70">
        <v>92.307692307692307</v>
      </c>
      <c r="R127" s="70">
        <f>Table1[[#This Row],[Death Premium]]+Table1[[#This Row],[PD Premium]]+Table1[[#This Row],[Riders'' premium (Burial expenses &amp; Spousal cover)]]</f>
        <v>55022.907692307694</v>
      </c>
      <c r="S127" s="97">
        <v>0</v>
      </c>
    </row>
    <row r="128" spans="1:19" s="98" customFormat="1" x14ac:dyDescent="0.3">
      <c r="A128" s="94" t="s">
        <v>1223</v>
      </c>
      <c r="B128" s="94" t="s">
        <v>1266</v>
      </c>
      <c r="C128" s="94" t="s">
        <v>1267</v>
      </c>
      <c r="D128" s="94" t="s">
        <v>47</v>
      </c>
      <c r="E128" s="94" t="s">
        <v>34</v>
      </c>
      <c r="F128" s="139">
        <v>25934</v>
      </c>
      <c r="G128" s="86" t="s">
        <v>1186</v>
      </c>
      <c r="H128" s="140">
        <v>43802</v>
      </c>
      <c r="I128" s="96">
        <v>9075</v>
      </c>
      <c r="J128" s="97">
        <f>Table1[[#This Row],[DAY RATE]]*22*12</f>
        <v>2395800</v>
      </c>
      <c r="K128" s="97">
        <f>Table1[[#This Row],[Annual Salary]]*3</f>
        <v>7187400</v>
      </c>
      <c r="L128" s="97">
        <f>6/1000*Table1[[#This Row],[Sum Assured]]</f>
        <v>43124.4</v>
      </c>
      <c r="M128" s="96">
        <v>50000</v>
      </c>
      <c r="N128" s="96">
        <f>0.09%*Table1[[#This Row],[Permanent Disability]]</f>
        <v>45</v>
      </c>
      <c r="O128" s="96">
        <v>250000</v>
      </c>
      <c r="P128" s="96">
        <v>50000</v>
      </c>
      <c r="Q128" s="70">
        <v>92.307692307692307</v>
      </c>
      <c r="R128" s="70">
        <f>Table1[[#This Row],[Death Premium]]+Table1[[#This Row],[PD Premium]]+Table1[[#This Row],[Riders'' premium (Burial expenses &amp; Spousal cover)]]</f>
        <v>43261.707692307697</v>
      </c>
      <c r="S128" s="97">
        <v>0</v>
      </c>
    </row>
    <row r="129" spans="1:19" s="98" customFormat="1" x14ac:dyDescent="0.3">
      <c r="A129" s="94" t="s">
        <v>1224</v>
      </c>
      <c r="B129" s="94" t="s">
        <v>478</v>
      </c>
      <c r="C129" s="94" t="s">
        <v>477</v>
      </c>
      <c r="D129" s="94" t="s">
        <v>47</v>
      </c>
      <c r="E129" s="94" t="s">
        <v>43</v>
      </c>
      <c r="F129" s="139">
        <v>25934</v>
      </c>
      <c r="G129" s="86" t="s">
        <v>1186</v>
      </c>
      <c r="H129" s="140">
        <v>44153</v>
      </c>
      <c r="I129" s="96">
        <v>8250</v>
      </c>
      <c r="J129" s="97">
        <f>Table1[[#This Row],[DAY RATE]]*22*12</f>
        <v>2178000</v>
      </c>
      <c r="K129" s="97">
        <f>Table1[[#This Row],[Annual Salary]]*3</f>
        <v>6534000</v>
      </c>
      <c r="L129" s="97">
        <f>6/1000*Table1[[#This Row],[Sum Assured]]</f>
        <v>39204</v>
      </c>
      <c r="M129" s="96">
        <v>50000</v>
      </c>
      <c r="N129" s="96">
        <f>0.09%*Table1[[#This Row],[Permanent Disability]]</f>
        <v>45</v>
      </c>
      <c r="O129" s="96">
        <v>250000</v>
      </c>
      <c r="P129" s="96">
        <v>50000</v>
      </c>
      <c r="Q129" s="70">
        <v>92.307692307692307</v>
      </c>
      <c r="R129" s="70">
        <f>Table1[[#This Row],[Death Premium]]+Table1[[#This Row],[PD Premium]]+Table1[[#This Row],[Riders'' premium (Burial expenses &amp; Spousal cover)]]</f>
        <v>39341.307692307695</v>
      </c>
      <c r="S129" s="97">
        <v>0</v>
      </c>
    </row>
    <row r="130" spans="1:19" s="98" customFormat="1" x14ac:dyDescent="0.3">
      <c r="A130" s="94" t="s">
        <v>1225</v>
      </c>
      <c r="B130" s="94" t="s">
        <v>145</v>
      </c>
      <c r="C130" s="94" t="s">
        <v>1268</v>
      </c>
      <c r="D130" s="94" t="s">
        <v>484</v>
      </c>
      <c r="E130" s="94" t="s">
        <v>34</v>
      </c>
      <c r="F130" s="139">
        <v>25934</v>
      </c>
      <c r="G130" s="86" t="s">
        <v>1186</v>
      </c>
      <c r="H130" s="140">
        <v>44760</v>
      </c>
      <c r="I130" s="96">
        <v>6600</v>
      </c>
      <c r="J130" s="97">
        <f>Table1[[#This Row],[DAY RATE]]*22*12</f>
        <v>1742400</v>
      </c>
      <c r="K130" s="97">
        <f>Table1[[#This Row],[Annual Salary]]*3</f>
        <v>5227200</v>
      </c>
      <c r="L130" s="97">
        <f>6/1000*Table1[[#This Row],[Sum Assured]]</f>
        <v>31363.200000000001</v>
      </c>
      <c r="M130" s="96">
        <v>50000</v>
      </c>
      <c r="N130" s="96">
        <f>0.09%*Table1[[#This Row],[Permanent Disability]]</f>
        <v>45</v>
      </c>
      <c r="O130" s="96">
        <v>250000</v>
      </c>
      <c r="P130" s="96">
        <v>50000</v>
      </c>
      <c r="Q130" s="70">
        <v>92.307692307692307</v>
      </c>
      <c r="R130" s="70">
        <f>Table1[[#This Row],[Death Premium]]+Table1[[#This Row],[PD Premium]]+Table1[[#This Row],[Riders'' premium (Burial expenses &amp; Spousal cover)]]</f>
        <v>31500.507692307692</v>
      </c>
      <c r="S130" s="97">
        <v>0</v>
      </c>
    </row>
    <row r="131" spans="1:19" s="98" customFormat="1" x14ac:dyDescent="0.3">
      <c r="A131" s="94" t="s">
        <v>1226</v>
      </c>
      <c r="B131" s="94" t="s">
        <v>165</v>
      </c>
      <c r="C131" s="94" t="s">
        <v>1269</v>
      </c>
      <c r="D131" s="94" t="s">
        <v>359</v>
      </c>
      <c r="E131" s="94" t="s">
        <v>34</v>
      </c>
      <c r="F131" s="139">
        <v>25934</v>
      </c>
      <c r="G131" s="86" t="s">
        <v>1186</v>
      </c>
      <c r="H131" s="140">
        <v>44760</v>
      </c>
      <c r="I131" s="96">
        <v>11550</v>
      </c>
      <c r="J131" s="97">
        <f>Table1[[#This Row],[DAY RATE]]*22*12</f>
        <v>3049200</v>
      </c>
      <c r="K131" s="97">
        <f>Table1[[#This Row],[Annual Salary]]*3</f>
        <v>9147600</v>
      </c>
      <c r="L131" s="97">
        <f>6/1000*Table1[[#This Row],[Sum Assured]]</f>
        <v>54885.599999999999</v>
      </c>
      <c r="M131" s="96">
        <v>50000</v>
      </c>
      <c r="N131" s="96">
        <f>0.09%*Table1[[#This Row],[Permanent Disability]]</f>
        <v>45</v>
      </c>
      <c r="O131" s="96">
        <v>250000</v>
      </c>
      <c r="P131" s="96">
        <v>50000</v>
      </c>
      <c r="Q131" s="70">
        <v>92.307692307692307</v>
      </c>
      <c r="R131" s="70">
        <f>Table1[[#This Row],[Death Premium]]+Table1[[#This Row],[PD Premium]]+Table1[[#This Row],[Riders'' premium (Burial expenses &amp; Spousal cover)]]</f>
        <v>55022.907692307694</v>
      </c>
      <c r="S131" s="97">
        <v>0</v>
      </c>
    </row>
    <row r="132" spans="1:19" s="98" customFormat="1" x14ac:dyDescent="0.3">
      <c r="A132" s="94" t="s">
        <v>1227</v>
      </c>
      <c r="B132" s="94" t="s">
        <v>1270</v>
      </c>
      <c r="C132" s="94" t="s">
        <v>164</v>
      </c>
      <c r="D132" s="94" t="s">
        <v>332</v>
      </c>
      <c r="E132" s="94" t="s">
        <v>34</v>
      </c>
      <c r="F132" s="139">
        <v>25934</v>
      </c>
      <c r="G132" s="86" t="s">
        <v>1186</v>
      </c>
      <c r="H132" s="140">
        <v>44789</v>
      </c>
      <c r="I132" s="96">
        <v>11550</v>
      </c>
      <c r="J132" s="97">
        <f>Table1[[#This Row],[DAY RATE]]*22*12</f>
        <v>3049200</v>
      </c>
      <c r="K132" s="97">
        <f>Table1[[#This Row],[Annual Salary]]*3</f>
        <v>9147600</v>
      </c>
      <c r="L132" s="97">
        <f>6/1000*Table1[[#This Row],[Sum Assured]]</f>
        <v>54885.599999999999</v>
      </c>
      <c r="M132" s="96">
        <v>50000</v>
      </c>
      <c r="N132" s="96">
        <f>0.09%*Table1[[#This Row],[Permanent Disability]]</f>
        <v>45</v>
      </c>
      <c r="O132" s="96">
        <v>250000</v>
      </c>
      <c r="P132" s="96">
        <v>50000</v>
      </c>
      <c r="Q132" s="70">
        <v>92.307692307692307</v>
      </c>
      <c r="R132" s="70">
        <f>Table1[[#This Row],[Death Premium]]+Table1[[#This Row],[PD Premium]]+Table1[[#This Row],[Riders'' premium (Burial expenses &amp; Spousal cover)]]</f>
        <v>55022.907692307694</v>
      </c>
      <c r="S132" s="97">
        <v>0</v>
      </c>
    </row>
    <row r="133" spans="1:19" s="98" customFormat="1" x14ac:dyDescent="0.3">
      <c r="A133" s="94" t="s">
        <v>1228</v>
      </c>
      <c r="B133" s="94" t="s">
        <v>1271</v>
      </c>
      <c r="C133" s="94" t="s">
        <v>1272</v>
      </c>
      <c r="D133" s="94" t="s">
        <v>346</v>
      </c>
      <c r="E133" s="94" t="s">
        <v>34</v>
      </c>
      <c r="F133" s="139">
        <v>25934</v>
      </c>
      <c r="G133" s="86" t="s">
        <v>1186</v>
      </c>
      <c r="H133" s="140">
        <v>44790</v>
      </c>
      <c r="I133" s="96">
        <v>13200</v>
      </c>
      <c r="J133" s="97">
        <f>Table1[[#This Row],[DAY RATE]]*22*12</f>
        <v>3484800</v>
      </c>
      <c r="K133" s="97">
        <f>Table1[[#This Row],[Annual Salary]]*3</f>
        <v>10454400</v>
      </c>
      <c r="L133" s="97">
        <f>6/1000*Table1[[#This Row],[Sum Assured]]</f>
        <v>62726.400000000001</v>
      </c>
      <c r="M133" s="96">
        <v>50000</v>
      </c>
      <c r="N133" s="96">
        <f>0.09%*Table1[[#This Row],[Permanent Disability]]</f>
        <v>45</v>
      </c>
      <c r="O133" s="96">
        <v>250000</v>
      </c>
      <c r="P133" s="96">
        <v>50000</v>
      </c>
      <c r="Q133" s="70">
        <v>92.307692307692307</v>
      </c>
      <c r="R133" s="70">
        <f>Table1[[#This Row],[Death Premium]]+Table1[[#This Row],[PD Premium]]+Table1[[#This Row],[Riders'' premium (Burial expenses &amp; Spousal cover)]]</f>
        <v>62863.707692307697</v>
      </c>
      <c r="S133" s="97">
        <v>0</v>
      </c>
    </row>
    <row r="134" spans="1:19" s="98" customFormat="1" x14ac:dyDescent="0.3">
      <c r="A134" s="94" t="s">
        <v>1229</v>
      </c>
      <c r="B134" s="94" t="s">
        <v>553</v>
      </c>
      <c r="C134" s="94" t="s">
        <v>552</v>
      </c>
      <c r="D134" s="94" t="s">
        <v>332</v>
      </c>
      <c r="E134" s="94" t="s">
        <v>43</v>
      </c>
      <c r="F134" s="139">
        <v>22325</v>
      </c>
      <c r="G134" s="86" t="s">
        <v>1186</v>
      </c>
      <c r="H134" s="140">
        <v>44823</v>
      </c>
      <c r="I134" s="96">
        <v>11550</v>
      </c>
      <c r="J134" s="97">
        <f>Table1[[#This Row],[DAY RATE]]*22*12</f>
        <v>3049200</v>
      </c>
      <c r="K134" s="97">
        <f>Table1[[#This Row],[Annual Salary]]*3</f>
        <v>9147600</v>
      </c>
      <c r="L134" s="97">
        <f>6/1000*Table1[[#This Row],[Sum Assured]]</f>
        <v>54885.599999999999</v>
      </c>
      <c r="M134" s="96">
        <v>50000</v>
      </c>
      <c r="N134" s="96">
        <f>0.09%*Table1[[#This Row],[Permanent Disability]]</f>
        <v>45</v>
      </c>
      <c r="O134" s="96">
        <v>250000</v>
      </c>
      <c r="P134" s="96">
        <v>50000</v>
      </c>
      <c r="Q134" s="70">
        <v>92.307692307692307</v>
      </c>
      <c r="R134" s="70">
        <f>Table1[[#This Row],[Death Premium]]+Table1[[#This Row],[PD Premium]]+Table1[[#This Row],[Riders'' premium (Burial expenses &amp; Spousal cover)]]</f>
        <v>55022.907692307694</v>
      </c>
      <c r="S134" s="97">
        <v>0</v>
      </c>
    </row>
    <row r="135" spans="1:19" s="98" customFormat="1" x14ac:dyDescent="0.3">
      <c r="A135" s="94" t="s">
        <v>1230</v>
      </c>
      <c r="B135" s="94" t="s">
        <v>556</v>
      </c>
      <c r="C135" s="94" t="s">
        <v>118</v>
      </c>
      <c r="D135" s="94" t="s">
        <v>557</v>
      </c>
      <c r="E135" s="94" t="s">
        <v>34</v>
      </c>
      <c r="F135" s="139">
        <v>25934</v>
      </c>
      <c r="G135" s="86" t="s">
        <v>1186</v>
      </c>
      <c r="H135" s="140">
        <v>44855</v>
      </c>
      <c r="I135" s="96">
        <v>13200</v>
      </c>
      <c r="J135" s="97">
        <f>Table1[[#This Row],[DAY RATE]]*22*12</f>
        <v>3484800</v>
      </c>
      <c r="K135" s="97">
        <f>Table1[[#This Row],[Annual Salary]]*3</f>
        <v>10454400</v>
      </c>
      <c r="L135" s="97">
        <f>6/1000*Table1[[#This Row],[Sum Assured]]</f>
        <v>62726.400000000001</v>
      </c>
      <c r="M135" s="96">
        <v>50000</v>
      </c>
      <c r="N135" s="96">
        <f>0.09%*Table1[[#This Row],[Permanent Disability]]</f>
        <v>45</v>
      </c>
      <c r="O135" s="96">
        <v>250000</v>
      </c>
      <c r="P135" s="96">
        <v>50000</v>
      </c>
      <c r="Q135" s="70">
        <v>92.307692307692307</v>
      </c>
      <c r="R135" s="70">
        <f>Table1[[#This Row],[Death Premium]]+Table1[[#This Row],[PD Premium]]+Table1[[#This Row],[Riders'' premium (Burial expenses &amp; Spousal cover)]]</f>
        <v>62863.707692307697</v>
      </c>
      <c r="S135" s="97">
        <v>0</v>
      </c>
    </row>
    <row r="136" spans="1:19" s="98" customFormat="1" x14ac:dyDescent="0.3">
      <c r="A136" s="94" t="s">
        <v>1231</v>
      </c>
      <c r="B136" s="94" t="s">
        <v>568</v>
      </c>
      <c r="C136" s="94" t="s">
        <v>58</v>
      </c>
      <c r="D136" s="94" t="s">
        <v>337</v>
      </c>
      <c r="E136" s="94" t="s">
        <v>43</v>
      </c>
      <c r="F136" s="139">
        <v>34529</v>
      </c>
      <c r="G136" s="86" t="s">
        <v>1186</v>
      </c>
      <c r="H136" s="140">
        <v>44927</v>
      </c>
      <c r="I136" s="96">
        <v>8812</v>
      </c>
      <c r="J136" s="97">
        <f>Table1[[#This Row],[DAY RATE]]*22*12</f>
        <v>2326368</v>
      </c>
      <c r="K136" s="97">
        <f>Table1[[#This Row],[Annual Salary]]*3</f>
        <v>6979104</v>
      </c>
      <c r="L136" s="97">
        <f>6/1000*Table1[[#This Row],[Sum Assured]]</f>
        <v>41874.624000000003</v>
      </c>
      <c r="M136" s="96">
        <v>50000</v>
      </c>
      <c r="N136" s="96">
        <f>0.09%*Table1[[#This Row],[Permanent Disability]]</f>
        <v>45</v>
      </c>
      <c r="O136" s="96">
        <v>250000</v>
      </c>
      <c r="P136" s="96">
        <v>50000</v>
      </c>
      <c r="Q136" s="70">
        <v>92.307692307692307</v>
      </c>
      <c r="R136" s="70">
        <f>Table1[[#This Row],[Death Premium]]+Table1[[#This Row],[PD Premium]]+Table1[[#This Row],[Riders'' premium (Burial expenses &amp; Spousal cover)]]</f>
        <v>42011.931692307699</v>
      </c>
      <c r="S136" s="97">
        <v>0</v>
      </c>
    </row>
    <row r="137" spans="1:19" s="98" customFormat="1" x14ac:dyDescent="0.3">
      <c r="A137" s="94" t="s">
        <v>1232</v>
      </c>
      <c r="B137" s="94" t="s">
        <v>578</v>
      </c>
      <c r="C137" s="94" t="s">
        <v>577</v>
      </c>
      <c r="D137" s="94" t="s">
        <v>424</v>
      </c>
      <c r="E137" s="94" t="s">
        <v>43</v>
      </c>
      <c r="F137" s="139">
        <v>31406</v>
      </c>
      <c r="G137" s="86" t="s">
        <v>1186</v>
      </c>
      <c r="H137" s="140">
        <v>44927</v>
      </c>
      <c r="I137" s="96">
        <v>8250</v>
      </c>
      <c r="J137" s="97">
        <f>Table1[[#This Row],[DAY RATE]]*22*12</f>
        <v>2178000</v>
      </c>
      <c r="K137" s="97">
        <f>Table1[[#This Row],[Annual Salary]]*3</f>
        <v>6534000</v>
      </c>
      <c r="L137" s="97">
        <f>6/1000*Table1[[#This Row],[Sum Assured]]</f>
        <v>39204</v>
      </c>
      <c r="M137" s="96">
        <v>50000</v>
      </c>
      <c r="N137" s="96">
        <f>0.09%*Table1[[#This Row],[Permanent Disability]]</f>
        <v>45</v>
      </c>
      <c r="O137" s="96">
        <v>250000</v>
      </c>
      <c r="P137" s="96">
        <v>50000</v>
      </c>
      <c r="Q137" s="70">
        <v>92.307692307692307</v>
      </c>
      <c r="R137" s="70">
        <f>Table1[[#This Row],[Death Premium]]+Table1[[#This Row],[PD Premium]]+Table1[[#This Row],[Riders'' premium (Burial expenses &amp; Spousal cover)]]</f>
        <v>39341.307692307695</v>
      </c>
      <c r="S137" s="97">
        <v>0</v>
      </c>
    </row>
    <row r="138" spans="1:19" s="98" customFormat="1" x14ac:dyDescent="0.3">
      <c r="A138" s="94" t="s">
        <v>1233</v>
      </c>
      <c r="B138" s="94" t="s">
        <v>585</v>
      </c>
      <c r="C138" s="94" t="s">
        <v>586</v>
      </c>
      <c r="D138" s="94" t="s">
        <v>587</v>
      </c>
      <c r="E138" s="94" t="s">
        <v>43</v>
      </c>
      <c r="F138" s="139">
        <v>25934</v>
      </c>
      <c r="G138" s="86" t="s">
        <v>1186</v>
      </c>
      <c r="H138" s="140">
        <v>44927</v>
      </c>
      <c r="I138" s="96">
        <v>11500</v>
      </c>
      <c r="J138" s="97">
        <f>Table1[[#This Row],[DAY RATE]]*22*12</f>
        <v>3036000</v>
      </c>
      <c r="K138" s="97">
        <f>Table1[[#This Row],[Annual Salary]]*3</f>
        <v>9108000</v>
      </c>
      <c r="L138" s="97">
        <f>6/1000*Table1[[#This Row],[Sum Assured]]</f>
        <v>54648</v>
      </c>
      <c r="M138" s="96">
        <v>50000</v>
      </c>
      <c r="N138" s="96">
        <f>0.09%*Table1[[#This Row],[Permanent Disability]]</f>
        <v>45</v>
      </c>
      <c r="O138" s="96">
        <v>250000</v>
      </c>
      <c r="P138" s="96">
        <v>50000</v>
      </c>
      <c r="Q138" s="70">
        <v>92.307692307692307</v>
      </c>
      <c r="R138" s="70">
        <f>Table1[[#This Row],[Death Premium]]+Table1[[#This Row],[PD Premium]]+Table1[[#This Row],[Riders'' premium (Burial expenses &amp; Spousal cover)]]</f>
        <v>54785.307692307695</v>
      </c>
      <c r="S138" s="97">
        <v>0</v>
      </c>
    </row>
    <row r="139" spans="1:19" s="98" customFormat="1" x14ac:dyDescent="0.3">
      <c r="A139" s="94" t="s">
        <v>1234</v>
      </c>
      <c r="B139" s="94" t="s">
        <v>134</v>
      </c>
      <c r="C139" s="94" t="s">
        <v>594</v>
      </c>
      <c r="D139" s="94" t="s">
        <v>484</v>
      </c>
      <c r="E139" s="94" t="s">
        <v>43</v>
      </c>
      <c r="F139" s="139">
        <v>32278</v>
      </c>
      <c r="G139" s="86" t="s">
        <v>1186</v>
      </c>
      <c r="H139" s="140">
        <v>44922</v>
      </c>
      <c r="I139" s="96">
        <v>6600</v>
      </c>
      <c r="J139" s="97">
        <f>Table1[[#This Row],[DAY RATE]]*22*12</f>
        <v>1742400</v>
      </c>
      <c r="K139" s="97">
        <f>Table1[[#This Row],[Annual Salary]]*3</f>
        <v>5227200</v>
      </c>
      <c r="L139" s="97">
        <f>6/1000*Table1[[#This Row],[Sum Assured]]</f>
        <v>31363.200000000001</v>
      </c>
      <c r="M139" s="96">
        <v>50000</v>
      </c>
      <c r="N139" s="96">
        <f>0.09%*Table1[[#This Row],[Permanent Disability]]</f>
        <v>45</v>
      </c>
      <c r="O139" s="96">
        <v>250000</v>
      </c>
      <c r="P139" s="96">
        <v>50000</v>
      </c>
      <c r="Q139" s="70">
        <v>92.307692307692307</v>
      </c>
      <c r="R139" s="70">
        <f>Table1[[#This Row],[Death Premium]]+Table1[[#This Row],[PD Premium]]+Table1[[#This Row],[Riders'' premium (Burial expenses &amp; Spousal cover)]]</f>
        <v>31500.507692307692</v>
      </c>
      <c r="S139" s="97" t="s">
        <v>1495</v>
      </c>
    </row>
    <row r="140" spans="1:19" s="98" customFormat="1" x14ac:dyDescent="0.3">
      <c r="A140" s="94" t="s">
        <v>1235</v>
      </c>
      <c r="B140" s="94" t="s">
        <v>670</v>
      </c>
      <c r="C140" s="94" t="s">
        <v>671</v>
      </c>
      <c r="D140" s="94" t="s">
        <v>484</v>
      </c>
      <c r="E140" s="94" t="s">
        <v>43</v>
      </c>
      <c r="F140" s="139">
        <v>32891</v>
      </c>
      <c r="G140" s="86" t="s">
        <v>1186</v>
      </c>
      <c r="H140" s="140">
        <v>45684</v>
      </c>
      <c r="I140" s="96">
        <v>6600</v>
      </c>
      <c r="J140" s="97">
        <f>Table1[[#This Row],[DAY RATE]]*22*12</f>
        <v>1742400</v>
      </c>
      <c r="K140" s="97">
        <f>Table1[[#This Row],[Annual Salary]]*3</f>
        <v>5227200</v>
      </c>
      <c r="L140" s="97">
        <f>6/1000*Table1[[#This Row],[Sum Assured]]</f>
        <v>31363.200000000001</v>
      </c>
      <c r="M140" s="96">
        <v>50000</v>
      </c>
      <c r="N140" s="96">
        <f>0.09%*Table1[[#This Row],[Permanent Disability]]</f>
        <v>45</v>
      </c>
      <c r="O140" s="96">
        <v>250000</v>
      </c>
      <c r="P140" s="96">
        <v>50000</v>
      </c>
      <c r="Q140" s="70">
        <v>92.307692307692307</v>
      </c>
      <c r="R140" s="70">
        <f>Table1[[#This Row],[Death Premium]]+Table1[[#This Row],[PD Premium]]+Table1[[#This Row],[Riders'' premium (Burial expenses &amp; Spousal cover)]]</f>
        <v>31500.507692307692</v>
      </c>
      <c r="S140" s="97" t="s">
        <v>1496</v>
      </c>
    </row>
    <row r="141" spans="1:19" s="98" customFormat="1" x14ac:dyDescent="0.3">
      <c r="A141" s="94" t="s">
        <v>1236</v>
      </c>
      <c r="B141" s="94" t="s">
        <v>1273</v>
      </c>
      <c r="C141" s="94" t="s">
        <v>680</v>
      </c>
      <c r="D141" s="94" t="s">
        <v>401</v>
      </c>
      <c r="E141" s="94" t="s">
        <v>43</v>
      </c>
      <c r="F141" s="139">
        <v>36139</v>
      </c>
      <c r="G141" s="86" t="s">
        <v>1186</v>
      </c>
      <c r="H141" s="140">
        <v>44924</v>
      </c>
      <c r="I141" s="96">
        <v>11550</v>
      </c>
      <c r="J141" s="97">
        <f>Table1[[#This Row],[DAY RATE]]*22*12</f>
        <v>3049200</v>
      </c>
      <c r="K141" s="97">
        <f>Table1[[#This Row],[Annual Salary]]*3</f>
        <v>9147600</v>
      </c>
      <c r="L141" s="97">
        <f>6/1000*Table1[[#This Row],[Sum Assured]]</f>
        <v>54885.599999999999</v>
      </c>
      <c r="M141" s="96">
        <v>50000</v>
      </c>
      <c r="N141" s="96">
        <f>0.09%*Table1[[#This Row],[Permanent Disability]]</f>
        <v>45</v>
      </c>
      <c r="O141" s="96">
        <v>250000</v>
      </c>
      <c r="P141" s="96">
        <v>50000</v>
      </c>
      <c r="Q141" s="70">
        <v>92.307692307692307</v>
      </c>
      <c r="R141" s="70">
        <f>Table1[[#This Row],[Death Premium]]+Table1[[#This Row],[PD Premium]]+Table1[[#This Row],[Riders'' premium (Burial expenses &amp; Spousal cover)]]</f>
        <v>55022.907692307694</v>
      </c>
      <c r="S141" s="97">
        <v>0</v>
      </c>
    </row>
    <row r="142" spans="1:19" s="98" customFormat="1" x14ac:dyDescent="0.3">
      <c r="A142" s="94" t="s">
        <v>1237</v>
      </c>
      <c r="B142" s="94" t="s">
        <v>595</v>
      </c>
      <c r="C142" s="94" t="s">
        <v>498</v>
      </c>
      <c r="D142" s="94" t="s">
        <v>401</v>
      </c>
      <c r="E142" s="94" t="s">
        <v>43</v>
      </c>
      <c r="F142" s="139">
        <v>34700</v>
      </c>
      <c r="G142" s="86" t="s">
        <v>1186</v>
      </c>
      <c r="H142" s="140">
        <v>44924</v>
      </c>
      <c r="I142" s="96">
        <v>9075</v>
      </c>
      <c r="J142" s="97">
        <f>Table1[[#This Row],[DAY RATE]]*22*12</f>
        <v>2395800</v>
      </c>
      <c r="K142" s="97">
        <f>Table1[[#This Row],[Annual Salary]]*3</f>
        <v>7187400</v>
      </c>
      <c r="L142" s="97">
        <f>6/1000*Table1[[#This Row],[Sum Assured]]</f>
        <v>43124.4</v>
      </c>
      <c r="M142" s="96">
        <v>50000</v>
      </c>
      <c r="N142" s="96">
        <f>0.09%*Table1[[#This Row],[Permanent Disability]]</f>
        <v>45</v>
      </c>
      <c r="O142" s="96">
        <v>250000</v>
      </c>
      <c r="P142" s="96">
        <v>50000</v>
      </c>
      <c r="Q142" s="70">
        <v>92.307692307692307</v>
      </c>
      <c r="R142" s="70">
        <f>Table1[[#This Row],[Death Premium]]+Table1[[#This Row],[PD Premium]]+Table1[[#This Row],[Riders'' premium (Burial expenses &amp; Spousal cover)]]</f>
        <v>43261.707692307697</v>
      </c>
      <c r="S142" s="97" t="s">
        <v>1497</v>
      </c>
    </row>
    <row r="143" spans="1:19" s="98" customFormat="1" x14ac:dyDescent="0.3">
      <c r="A143" s="94" t="s">
        <v>1238</v>
      </c>
      <c r="B143" s="94" t="s">
        <v>61</v>
      </c>
      <c r="C143" s="94" t="s">
        <v>628</v>
      </c>
      <c r="D143" s="94" t="s">
        <v>332</v>
      </c>
      <c r="E143" s="94" t="s">
        <v>43</v>
      </c>
      <c r="F143" s="139">
        <v>23550</v>
      </c>
      <c r="G143" s="86" t="s">
        <v>1186</v>
      </c>
      <c r="H143" s="140">
        <v>44927</v>
      </c>
      <c r="I143" s="96">
        <v>11550</v>
      </c>
      <c r="J143" s="97">
        <f>Table1[[#This Row],[DAY RATE]]*22*12</f>
        <v>3049200</v>
      </c>
      <c r="K143" s="97">
        <f>Table1[[#This Row],[Annual Salary]]*3</f>
        <v>9147600</v>
      </c>
      <c r="L143" s="97">
        <f>6/1000*Table1[[#This Row],[Sum Assured]]</f>
        <v>54885.599999999999</v>
      </c>
      <c r="M143" s="96">
        <v>50000</v>
      </c>
      <c r="N143" s="96">
        <f>0.09%*Table1[[#This Row],[Permanent Disability]]</f>
        <v>45</v>
      </c>
      <c r="O143" s="96">
        <v>250000</v>
      </c>
      <c r="P143" s="96">
        <v>50000</v>
      </c>
      <c r="Q143" s="70">
        <v>92.307692307692307</v>
      </c>
      <c r="R143" s="70">
        <f>Table1[[#This Row],[Death Premium]]+Table1[[#This Row],[PD Premium]]+Table1[[#This Row],[Riders'' premium (Burial expenses &amp; Spousal cover)]]</f>
        <v>55022.907692307694</v>
      </c>
      <c r="S143" s="97" t="s">
        <v>1498</v>
      </c>
    </row>
    <row r="144" spans="1:19" s="98" customFormat="1" x14ac:dyDescent="0.3">
      <c r="A144" s="94" t="s">
        <v>1239</v>
      </c>
      <c r="B144" s="94" t="s">
        <v>695</v>
      </c>
      <c r="C144" s="94" t="s">
        <v>694</v>
      </c>
      <c r="D144" s="94" t="s">
        <v>302</v>
      </c>
      <c r="E144" s="94" t="s">
        <v>43</v>
      </c>
      <c r="F144" s="139">
        <v>28512</v>
      </c>
      <c r="G144" s="86" t="s">
        <v>1186</v>
      </c>
      <c r="H144" s="140">
        <v>45017</v>
      </c>
      <c r="I144" s="96">
        <v>19800</v>
      </c>
      <c r="J144" s="97">
        <f>Table1[[#This Row],[DAY RATE]]*22*12</f>
        <v>5227200</v>
      </c>
      <c r="K144" s="97">
        <f>Table1[[#This Row],[Annual Salary]]*3</f>
        <v>15681600</v>
      </c>
      <c r="L144" s="97">
        <f>6/1000*Table1[[#This Row],[Sum Assured]]</f>
        <v>94089.600000000006</v>
      </c>
      <c r="M144" s="96">
        <v>50000</v>
      </c>
      <c r="N144" s="96">
        <f>0.09%*Table1[[#This Row],[Permanent Disability]]</f>
        <v>45</v>
      </c>
      <c r="O144" s="96">
        <v>250000</v>
      </c>
      <c r="P144" s="96">
        <v>50000</v>
      </c>
      <c r="Q144" s="70">
        <v>92.307692307692307</v>
      </c>
      <c r="R144" s="70">
        <f>Table1[[#This Row],[Death Premium]]+Table1[[#This Row],[PD Premium]]+Table1[[#This Row],[Riders'' premium (Burial expenses &amp; Spousal cover)]]</f>
        <v>94226.907692307694</v>
      </c>
      <c r="S144" s="97">
        <v>0</v>
      </c>
    </row>
    <row r="145" spans="1:19" s="98" customFormat="1" x14ac:dyDescent="0.3">
      <c r="A145" s="94" t="s">
        <v>1240</v>
      </c>
      <c r="B145" s="94" t="s">
        <v>650</v>
      </c>
      <c r="C145" s="94" t="s">
        <v>632</v>
      </c>
      <c r="D145" s="94" t="s">
        <v>359</v>
      </c>
      <c r="E145" s="94" t="s">
        <v>43</v>
      </c>
      <c r="F145" s="139">
        <v>32363</v>
      </c>
      <c r="G145" s="86" t="s">
        <v>1186</v>
      </c>
      <c r="H145" s="140">
        <v>45047</v>
      </c>
      <c r="I145" s="96">
        <v>11550</v>
      </c>
      <c r="J145" s="97">
        <f>Table1[[#This Row],[DAY RATE]]*22*12</f>
        <v>3049200</v>
      </c>
      <c r="K145" s="97">
        <f>Table1[[#This Row],[Annual Salary]]*3</f>
        <v>9147600</v>
      </c>
      <c r="L145" s="97">
        <f>6/1000*Table1[[#This Row],[Sum Assured]]</f>
        <v>54885.599999999999</v>
      </c>
      <c r="M145" s="96">
        <v>50000</v>
      </c>
      <c r="N145" s="96">
        <f>0.09%*Table1[[#This Row],[Permanent Disability]]</f>
        <v>45</v>
      </c>
      <c r="O145" s="96">
        <v>250000</v>
      </c>
      <c r="P145" s="96">
        <v>50000</v>
      </c>
      <c r="Q145" s="70">
        <v>92.307692307692307</v>
      </c>
      <c r="R145" s="70">
        <f>Table1[[#This Row],[Death Premium]]+Table1[[#This Row],[PD Premium]]+Table1[[#This Row],[Riders'' premium (Burial expenses &amp; Spousal cover)]]</f>
        <v>55022.907692307694</v>
      </c>
      <c r="S145" s="97" t="s">
        <v>1499</v>
      </c>
    </row>
    <row r="146" spans="1:19" s="98" customFormat="1" x14ac:dyDescent="0.3">
      <c r="A146" s="94" t="s">
        <v>1241</v>
      </c>
      <c r="B146" s="94" t="s">
        <v>1274</v>
      </c>
      <c r="C146" s="94" t="s">
        <v>183</v>
      </c>
      <c r="D146" s="94" t="s">
        <v>1293</v>
      </c>
      <c r="E146" s="94" t="s">
        <v>34</v>
      </c>
      <c r="F146" s="139">
        <v>21339</v>
      </c>
      <c r="G146" s="86" t="s">
        <v>1186</v>
      </c>
      <c r="H146" s="140">
        <v>44564</v>
      </c>
      <c r="I146" s="96">
        <v>13200</v>
      </c>
      <c r="J146" s="97">
        <f>Table1[[#This Row],[DAY RATE]]*22*12</f>
        <v>3484800</v>
      </c>
      <c r="K146" s="97">
        <f>Table1[[#This Row],[Annual Salary]]*3</f>
        <v>10454400</v>
      </c>
      <c r="L146" s="97">
        <f>6/1000*Table1[[#This Row],[Sum Assured]]</f>
        <v>62726.400000000001</v>
      </c>
      <c r="M146" s="96">
        <v>50000</v>
      </c>
      <c r="N146" s="96">
        <f>0.09%*Table1[[#This Row],[Permanent Disability]]</f>
        <v>45</v>
      </c>
      <c r="O146" s="96">
        <v>250000</v>
      </c>
      <c r="P146" s="96">
        <v>50000</v>
      </c>
      <c r="Q146" s="70">
        <v>92.307692307692307</v>
      </c>
      <c r="R146" s="70">
        <f>Table1[[#This Row],[Death Premium]]+Table1[[#This Row],[PD Premium]]+Table1[[#This Row],[Riders'' premium (Burial expenses &amp; Spousal cover)]]</f>
        <v>62863.707692307697</v>
      </c>
      <c r="S146" s="97" t="s">
        <v>1500</v>
      </c>
    </row>
    <row r="147" spans="1:19" s="98" customFormat="1" x14ac:dyDescent="0.3">
      <c r="A147" s="94" t="s">
        <v>1242</v>
      </c>
      <c r="B147" s="94" t="s">
        <v>413</v>
      </c>
      <c r="C147" s="94" t="s">
        <v>412</v>
      </c>
      <c r="D147" s="94" t="s">
        <v>408</v>
      </c>
      <c r="E147" s="94" t="s">
        <v>34</v>
      </c>
      <c r="F147" s="139">
        <v>26946</v>
      </c>
      <c r="G147" s="86" t="s">
        <v>1186</v>
      </c>
      <c r="H147" s="140">
        <v>44564</v>
      </c>
      <c r="I147" s="96">
        <v>8250</v>
      </c>
      <c r="J147" s="97">
        <f>Table1[[#This Row],[DAY RATE]]*22*12</f>
        <v>2178000</v>
      </c>
      <c r="K147" s="97">
        <f>Table1[[#This Row],[Annual Salary]]*3</f>
        <v>6534000</v>
      </c>
      <c r="L147" s="97">
        <f>6/1000*Table1[[#This Row],[Sum Assured]]</f>
        <v>39204</v>
      </c>
      <c r="M147" s="96">
        <v>50000</v>
      </c>
      <c r="N147" s="96">
        <f>0.09%*Table1[[#This Row],[Permanent Disability]]</f>
        <v>45</v>
      </c>
      <c r="O147" s="96">
        <v>250000</v>
      </c>
      <c r="P147" s="96">
        <v>50000</v>
      </c>
      <c r="Q147" s="70">
        <v>92.307692307692307</v>
      </c>
      <c r="R147" s="70">
        <f>Table1[[#This Row],[Death Premium]]+Table1[[#This Row],[PD Premium]]+Table1[[#This Row],[Riders'' premium (Burial expenses &amp; Spousal cover)]]</f>
        <v>39341.307692307695</v>
      </c>
      <c r="S147" s="97" t="s">
        <v>1501</v>
      </c>
    </row>
    <row r="148" spans="1:19" s="98" customFormat="1" x14ac:dyDescent="0.3">
      <c r="A148" s="94" t="s">
        <v>1243</v>
      </c>
      <c r="B148" s="94" t="s">
        <v>419</v>
      </c>
      <c r="C148" s="94" t="s">
        <v>418</v>
      </c>
      <c r="D148" s="94" t="s">
        <v>335</v>
      </c>
      <c r="E148" s="94" t="s">
        <v>34</v>
      </c>
      <c r="F148" s="139">
        <v>29204</v>
      </c>
      <c r="G148" s="86" t="s">
        <v>1186</v>
      </c>
      <c r="H148" s="140">
        <v>44564</v>
      </c>
      <c r="I148" s="96">
        <v>8250</v>
      </c>
      <c r="J148" s="97">
        <f>Table1[[#This Row],[DAY RATE]]*22*12</f>
        <v>2178000</v>
      </c>
      <c r="K148" s="97">
        <f>Table1[[#This Row],[Annual Salary]]*3</f>
        <v>6534000</v>
      </c>
      <c r="L148" s="97">
        <f>6/1000*Table1[[#This Row],[Sum Assured]]</f>
        <v>39204</v>
      </c>
      <c r="M148" s="96">
        <v>50000</v>
      </c>
      <c r="N148" s="96">
        <f>0.09%*Table1[[#This Row],[Permanent Disability]]</f>
        <v>45</v>
      </c>
      <c r="O148" s="96">
        <v>250000</v>
      </c>
      <c r="P148" s="96">
        <v>50000</v>
      </c>
      <c r="Q148" s="70">
        <v>92.307692307692307</v>
      </c>
      <c r="R148" s="70">
        <f>Table1[[#This Row],[Death Premium]]+Table1[[#This Row],[PD Premium]]+Table1[[#This Row],[Riders'' premium (Burial expenses &amp; Spousal cover)]]</f>
        <v>39341.307692307695</v>
      </c>
      <c r="S148" s="97" t="s">
        <v>1502</v>
      </c>
    </row>
    <row r="149" spans="1:19" s="98" customFormat="1" x14ac:dyDescent="0.3">
      <c r="A149" s="94" t="s">
        <v>1244</v>
      </c>
      <c r="B149" s="94" t="s">
        <v>672</v>
      </c>
      <c r="C149" s="94" t="s">
        <v>1270</v>
      </c>
      <c r="D149" s="94" t="s">
        <v>329</v>
      </c>
      <c r="E149" s="94" t="s">
        <v>43</v>
      </c>
      <c r="F149" s="139">
        <v>24500</v>
      </c>
      <c r="G149" s="86" t="s">
        <v>1186</v>
      </c>
      <c r="H149" s="140">
        <v>44564</v>
      </c>
      <c r="I149" s="96">
        <v>9075</v>
      </c>
      <c r="J149" s="97">
        <f>Table1[[#This Row],[DAY RATE]]*22*12</f>
        <v>2395800</v>
      </c>
      <c r="K149" s="97">
        <f>Table1[[#This Row],[Annual Salary]]*3</f>
        <v>7187400</v>
      </c>
      <c r="L149" s="97">
        <f>6/1000*Table1[[#This Row],[Sum Assured]]</f>
        <v>43124.4</v>
      </c>
      <c r="M149" s="96">
        <v>50000</v>
      </c>
      <c r="N149" s="96">
        <f>0.09%*Table1[[#This Row],[Permanent Disability]]</f>
        <v>45</v>
      </c>
      <c r="O149" s="96">
        <v>250000</v>
      </c>
      <c r="P149" s="96">
        <v>50000</v>
      </c>
      <c r="Q149" s="70">
        <v>92.307692307692307</v>
      </c>
      <c r="R149" s="70">
        <f>Table1[[#This Row],[Death Premium]]+Table1[[#This Row],[PD Premium]]+Table1[[#This Row],[Riders'' premium (Burial expenses &amp; Spousal cover)]]</f>
        <v>43261.707692307697</v>
      </c>
      <c r="S149" s="97" t="s">
        <v>1503</v>
      </c>
    </row>
    <row r="150" spans="1:19" s="98" customFormat="1" x14ac:dyDescent="0.3">
      <c r="A150" s="94" t="s">
        <v>1245</v>
      </c>
      <c r="B150" s="94" t="s">
        <v>1275</v>
      </c>
      <c r="C150" s="94" t="s">
        <v>348</v>
      </c>
      <c r="D150" s="94" t="s">
        <v>1294</v>
      </c>
      <c r="E150" s="94" t="s">
        <v>34</v>
      </c>
      <c r="F150" s="139">
        <v>29313</v>
      </c>
      <c r="G150" s="86" t="s">
        <v>1186</v>
      </c>
      <c r="H150" s="140">
        <v>44564</v>
      </c>
      <c r="I150" s="96">
        <v>6600</v>
      </c>
      <c r="J150" s="97">
        <f>Table1[[#This Row],[DAY RATE]]*22*12</f>
        <v>1742400</v>
      </c>
      <c r="K150" s="97">
        <f>Table1[[#This Row],[Annual Salary]]*3</f>
        <v>5227200</v>
      </c>
      <c r="L150" s="97">
        <f>6/1000*Table1[[#This Row],[Sum Assured]]</f>
        <v>31363.200000000001</v>
      </c>
      <c r="M150" s="96">
        <v>50000</v>
      </c>
      <c r="N150" s="96">
        <f>0.09%*Table1[[#This Row],[Permanent Disability]]</f>
        <v>45</v>
      </c>
      <c r="O150" s="96">
        <v>250000</v>
      </c>
      <c r="P150" s="96">
        <v>50000</v>
      </c>
      <c r="Q150" s="70">
        <v>92.307692307692307</v>
      </c>
      <c r="R150" s="70">
        <f>Table1[[#This Row],[Death Premium]]+Table1[[#This Row],[PD Premium]]+Table1[[#This Row],[Riders'' premium (Burial expenses &amp; Spousal cover)]]</f>
        <v>31500.507692307692</v>
      </c>
      <c r="S150" s="97" t="s">
        <v>1504</v>
      </c>
    </row>
    <row r="151" spans="1:19" s="98" customFormat="1" x14ac:dyDescent="0.3">
      <c r="A151" s="94" t="s">
        <v>1246</v>
      </c>
      <c r="B151" s="94" t="s">
        <v>1276</v>
      </c>
      <c r="C151" s="94" t="s">
        <v>485</v>
      </c>
      <c r="D151" s="94" t="s">
        <v>359</v>
      </c>
      <c r="E151" s="94" t="s">
        <v>664</v>
      </c>
      <c r="F151" s="139">
        <v>30937</v>
      </c>
      <c r="G151" s="86" t="s">
        <v>1186</v>
      </c>
      <c r="H151" s="140">
        <v>45078</v>
      </c>
      <c r="I151" s="96">
        <v>11550</v>
      </c>
      <c r="J151" s="97">
        <f>Table1[[#This Row],[DAY RATE]]*22*12</f>
        <v>3049200</v>
      </c>
      <c r="K151" s="97">
        <f>Table1[[#This Row],[Annual Salary]]*3</f>
        <v>9147600</v>
      </c>
      <c r="L151" s="97">
        <f>6/1000*Table1[[#This Row],[Sum Assured]]</f>
        <v>54885.599999999999</v>
      </c>
      <c r="M151" s="96">
        <v>50000</v>
      </c>
      <c r="N151" s="96">
        <f>0.09%*Table1[[#This Row],[Permanent Disability]]</f>
        <v>45</v>
      </c>
      <c r="O151" s="96">
        <v>250000</v>
      </c>
      <c r="P151" s="96">
        <v>50000</v>
      </c>
      <c r="Q151" s="70">
        <v>92.307692307692307</v>
      </c>
      <c r="R151" s="70">
        <f>Table1[[#This Row],[Death Premium]]+Table1[[#This Row],[PD Premium]]+Table1[[#This Row],[Riders'' premium (Burial expenses &amp; Spousal cover)]]</f>
        <v>55022.907692307694</v>
      </c>
      <c r="S151" s="97">
        <v>0</v>
      </c>
    </row>
    <row r="152" spans="1:19" s="98" customFormat="1" x14ac:dyDescent="0.3">
      <c r="A152" s="94" t="s">
        <v>1247</v>
      </c>
      <c r="B152" s="94" t="s">
        <v>654</v>
      </c>
      <c r="C152" s="94" t="s">
        <v>653</v>
      </c>
      <c r="D152" s="94" t="s">
        <v>332</v>
      </c>
      <c r="E152" s="94" t="s">
        <v>43</v>
      </c>
      <c r="F152" s="139">
        <v>26540</v>
      </c>
      <c r="G152" s="86" t="s">
        <v>1186</v>
      </c>
      <c r="H152" s="140">
        <v>45078</v>
      </c>
      <c r="I152" s="96">
        <v>11550</v>
      </c>
      <c r="J152" s="97">
        <f>Table1[[#This Row],[DAY RATE]]*22*12</f>
        <v>3049200</v>
      </c>
      <c r="K152" s="97">
        <f>Table1[[#This Row],[Annual Salary]]*3</f>
        <v>9147600</v>
      </c>
      <c r="L152" s="97">
        <f>6/1000*Table1[[#This Row],[Sum Assured]]</f>
        <v>54885.599999999999</v>
      </c>
      <c r="M152" s="96">
        <v>50000</v>
      </c>
      <c r="N152" s="96">
        <f>0.09%*Table1[[#This Row],[Permanent Disability]]</f>
        <v>45</v>
      </c>
      <c r="O152" s="96">
        <v>250000</v>
      </c>
      <c r="P152" s="96">
        <v>50000</v>
      </c>
      <c r="Q152" s="70">
        <v>92.307692307692307</v>
      </c>
      <c r="R152" s="70">
        <f>Table1[[#This Row],[Death Premium]]+Table1[[#This Row],[PD Premium]]+Table1[[#This Row],[Riders'' premium (Burial expenses &amp; Spousal cover)]]</f>
        <v>55022.907692307694</v>
      </c>
      <c r="S152" s="97">
        <v>0</v>
      </c>
    </row>
    <row r="153" spans="1:19" s="98" customFormat="1" x14ac:dyDescent="0.3">
      <c r="A153" s="94" t="s">
        <v>1248</v>
      </c>
      <c r="B153" s="94" t="s">
        <v>36</v>
      </c>
      <c r="C153" s="94" t="s">
        <v>379</v>
      </c>
      <c r="D153" s="94" t="s">
        <v>302</v>
      </c>
      <c r="E153" s="94" t="s">
        <v>43</v>
      </c>
      <c r="F153" s="139">
        <v>26608</v>
      </c>
      <c r="G153" s="86" t="s">
        <v>1186</v>
      </c>
      <c r="H153" s="140">
        <v>45078</v>
      </c>
      <c r="I153" s="96">
        <v>15200</v>
      </c>
      <c r="J153" s="97">
        <f>Table1[[#This Row],[DAY RATE]]*22*12</f>
        <v>4012800</v>
      </c>
      <c r="K153" s="97">
        <f>Table1[[#This Row],[Annual Salary]]*3</f>
        <v>12038400</v>
      </c>
      <c r="L153" s="97">
        <f>6/1000*Table1[[#This Row],[Sum Assured]]</f>
        <v>72230.400000000009</v>
      </c>
      <c r="M153" s="96">
        <v>50000</v>
      </c>
      <c r="N153" s="96">
        <f>0.09%*Table1[[#This Row],[Permanent Disability]]</f>
        <v>45</v>
      </c>
      <c r="O153" s="96">
        <v>250000</v>
      </c>
      <c r="P153" s="96">
        <v>50000</v>
      </c>
      <c r="Q153" s="70">
        <v>92.307692307692307</v>
      </c>
      <c r="R153" s="70">
        <f>Table1[[#This Row],[Death Premium]]+Table1[[#This Row],[PD Premium]]+Table1[[#This Row],[Riders'' premium (Burial expenses &amp; Spousal cover)]]</f>
        <v>72367.707692307697</v>
      </c>
      <c r="S153" s="97">
        <v>0</v>
      </c>
    </row>
    <row r="154" spans="1:19" s="98" customFormat="1" x14ac:dyDescent="0.3">
      <c r="A154" s="94" t="s">
        <v>1249</v>
      </c>
      <c r="B154" s="94" t="s">
        <v>489</v>
      </c>
      <c r="C154" s="94" t="s">
        <v>219</v>
      </c>
      <c r="D154" s="94" t="s">
        <v>401</v>
      </c>
      <c r="E154" s="94" t="s">
        <v>43</v>
      </c>
      <c r="F154" s="139">
        <v>36376</v>
      </c>
      <c r="G154" s="86" t="s">
        <v>1186</v>
      </c>
      <c r="H154" s="140">
        <v>45078</v>
      </c>
      <c r="I154" s="96">
        <v>9075</v>
      </c>
      <c r="J154" s="97">
        <f>Table1[[#This Row],[DAY RATE]]*22*12</f>
        <v>2395800</v>
      </c>
      <c r="K154" s="97">
        <f>Table1[[#This Row],[Annual Salary]]*3</f>
        <v>7187400</v>
      </c>
      <c r="L154" s="97">
        <f>6/1000*Table1[[#This Row],[Sum Assured]]</f>
        <v>43124.4</v>
      </c>
      <c r="M154" s="96">
        <v>50000</v>
      </c>
      <c r="N154" s="96">
        <f>0.09%*Table1[[#This Row],[Permanent Disability]]</f>
        <v>45</v>
      </c>
      <c r="O154" s="96">
        <v>250000</v>
      </c>
      <c r="P154" s="96">
        <v>50000</v>
      </c>
      <c r="Q154" s="70">
        <v>92.307692307692307</v>
      </c>
      <c r="R154" s="70">
        <f>Table1[[#This Row],[Death Premium]]+Table1[[#This Row],[PD Premium]]+Table1[[#This Row],[Riders'' premium (Burial expenses &amp; Spousal cover)]]</f>
        <v>43261.707692307697</v>
      </c>
      <c r="S154" s="97" t="s">
        <v>1505</v>
      </c>
    </row>
    <row r="155" spans="1:19" s="98" customFormat="1" x14ac:dyDescent="0.3">
      <c r="A155" s="94" t="s">
        <v>1250</v>
      </c>
      <c r="B155" s="94" t="s">
        <v>1277</v>
      </c>
      <c r="C155" s="94" t="s">
        <v>1278</v>
      </c>
      <c r="D155" s="94" t="s">
        <v>359</v>
      </c>
      <c r="E155" s="94" t="s">
        <v>34</v>
      </c>
      <c r="F155" s="139">
        <v>26409</v>
      </c>
      <c r="G155" s="86" t="s">
        <v>1186</v>
      </c>
      <c r="H155" s="140">
        <v>45352</v>
      </c>
      <c r="I155" s="96">
        <v>11550</v>
      </c>
      <c r="J155" s="97">
        <f>Table1[[#This Row],[DAY RATE]]*22*12</f>
        <v>3049200</v>
      </c>
      <c r="K155" s="97">
        <f>Table1[[#This Row],[Annual Salary]]*3</f>
        <v>9147600</v>
      </c>
      <c r="L155" s="97">
        <f>6/1000*Table1[[#This Row],[Sum Assured]]</f>
        <v>54885.599999999999</v>
      </c>
      <c r="M155" s="96">
        <v>50000</v>
      </c>
      <c r="N155" s="96">
        <f>0.09%*Table1[[#This Row],[Permanent Disability]]</f>
        <v>45</v>
      </c>
      <c r="O155" s="96">
        <v>250000</v>
      </c>
      <c r="P155" s="96">
        <v>50000</v>
      </c>
      <c r="Q155" s="70">
        <v>92.307692307692307</v>
      </c>
      <c r="R155" s="70">
        <f>Table1[[#This Row],[Death Premium]]+Table1[[#This Row],[PD Premium]]+Table1[[#This Row],[Riders'' premium (Burial expenses &amp; Spousal cover)]]</f>
        <v>55022.907692307694</v>
      </c>
      <c r="S155" s="97">
        <v>0</v>
      </c>
    </row>
    <row r="156" spans="1:19" s="98" customFormat="1" x14ac:dyDescent="0.3">
      <c r="A156" s="94" t="s">
        <v>1251</v>
      </c>
      <c r="B156" s="94" t="s">
        <v>640</v>
      </c>
      <c r="C156" s="94" t="s">
        <v>1279</v>
      </c>
      <c r="D156" s="94" t="s">
        <v>359</v>
      </c>
      <c r="E156" s="94" t="s">
        <v>34</v>
      </c>
      <c r="F156" s="139">
        <v>29535</v>
      </c>
      <c r="G156" s="86" t="s">
        <v>1186</v>
      </c>
      <c r="H156" s="140">
        <v>45383</v>
      </c>
      <c r="I156" s="96">
        <v>11550</v>
      </c>
      <c r="J156" s="97">
        <f>Table1[[#This Row],[DAY RATE]]*22*12</f>
        <v>3049200</v>
      </c>
      <c r="K156" s="97">
        <f>Table1[[#This Row],[Annual Salary]]*3</f>
        <v>9147600</v>
      </c>
      <c r="L156" s="97">
        <f>6/1000*Table1[[#This Row],[Sum Assured]]</f>
        <v>54885.599999999999</v>
      </c>
      <c r="M156" s="96">
        <v>50000</v>
      </c>
      <c r="N156" s="96">
        <f>0.09%*Table1[[#This Row],[Permanent Disability]]</f>
        <v>45</v>
      </c>
      <c r="O156" s="96">
        <v>250000</v>
      </c>
      <c r="P156" s="96">
        <v>50000</v>
      </c>
      <c r="Q156" s="70">
        <v>92.307692307692307</v>
      </c>
      <c r="R156" s="70">
        <f>Table1[[#This Row],[Death Premium]]+Table1[[#This Row],[PD Premium]]+Table1[[#This Row],[Riders'' premium (Burial expenses &amp; Spousal cover)]]</f>
        <v>55022.907692307694</v>
      </c>
      <c r="S156" s="97">
        <v>0</v>
      </c>
    </row>
    <row r="157" spans="1:19" s="98" customFormat="1" x14ac:dyDescent="0.3">
      <c r="A157" s="94" t="s">
        <v>1252</v>
      </c>
      <c r="B157" s="94" t="s">
        <v>1280</v>
      </c>
      <c r="C157" s="94" t="s">
        <v>164</v>
      </c>
      <c r="D157" s="94" t="s">
        <v>648</v>
      </c>
      <c r="E157" s="94" t="s">
        <v>43</v>
      </c>
      <c r="F157" s="139">
        <v>27098</v>
      </c>
      <c r="G157" s="86" t="s">
        <v>1186</v>
      </c>
      <c r="H157" s="140">
        <v>45444</v>
      </c>
      <c r="I157" s="96">
        <v>9075</v>
      </c>
      <c r="J157" s="97">
        <f>Table1[[#This Row],[DAY RATE]]*22*12</f>
        <v>2395800</v>
      </c>
      <c r="K157" s="97">
        <f>Table1[[#This Row],[Annual Salary]]*3</f>
        <v>7187400</v>
      </c>
      <c r="L157" s="97">
        <f>6/1000*Table1[[#This Row],[Sum Assured]]</f>
        <v>43124.4</v>
      </c>
      <c r="M157" s="96">
        <v>50000</v>
      </c>
      <c r="N157" s="96">
        <f>0.09%*Table1[[#This Row],[Permanent Disability]]</f>
        <v>45</v>
      </c>
      <c r="O157" s="96">
        <v>250000</v>
      </c>
      <c r="P157" s="96">
        <v>50000</v>
      </c>
      <c r="Q157" s="70">
        <v>92.307692307692307</v>
      </c>
      <c r="R157" s="70">
        <f>Table1[[#This Row],[Death Premium]]+Table1[[#This Row],[PD Premium]]+Table1[[#This Row],[Riders'' premium (Burial expenses &amp; Spousal cover)]]</f>
        <v>43261.707692307697</v>
      </c>
      <c r="S157" s="97">
        <v>0</v>
      </c>
    </row>
    <row r="158" spans="1:19" s="98" customFormat="1" x14ac:dyDescent="0.3">
      <c r="A158" s="94" t="s">
        <v>1253</v>
      </c>
      <c r="B158" s="94" t="s">
        <v>636</v>
      </c>
      <c r="C158" s="94" t="s">
        <v>98</v>
      </c>
      <c r="D158" s="94" t="s">
        <v>484</v>
      </c>
      <c r="E158" s="94" t="s">
        <v>43</v>
      </c>
      <c r="F158" s="139">
        <v>32817</v>
      </c>
      <c r="G158" s="86" t="s">
        <v>1186</v>
      </c>
      <c r="H158" s="140">
        <v>45691</v>
      </c>
      <c r="I158" s="96">
        <v>6600</v>
      </c>
      <c r="J158" s="97">
        <f>Table1[[#This Row],[DAY RATE]]*22*12</f>
        <v>1742400</v>
      </c>
      <c r="K158" s="97">
        <f>Table1[[#This Row],[Annual Salary]]*3</f>
        <v>5227200</v>
      </c>
      <c r="L158" s="97">
        <f>6/1000*Table1[[#This Row],[Sum Assured]]</f>
        <v>31363.200000000001</v>
      </c>
      <c r="M158" s="96">
        <v>50000</v>
      </c>
      <c r="N158" s="96">
        <f>0.09%*Table1[[#This Row],[Permanent Disability]]</f>
        <v>45</v>
      </c>
      <c r="O158" s="96">
        <v>250000</v>
      </c>
      <c r="P158" s="96">
        <v>50000</v>
      </c>
      <c r="Q158" s="70">
        <v>92.307692307692307</v>
      </c>
      <c r="R158" s="70">
        <f>Table1[[#This Row],[Death Premium]]+Table1[[#This Row],[PD Premium]]+Table1[[#This Row],[Riders'' premium (Burial expenses &amp; Spousal cover)]]</f>
        <v>31500.507692307692</v>
      </c>
      <c r="S158" s="97">
        <v>0</v>
      </c>
    </row>
    <row r="159" spans="1:19" s="98" customFormat="1" x14ac:dyDescent="0.3">
      <c r="A159" s="94" t="s">
        <v>1254</v>
      </c>
      <c r="B159" s="94" t="s">
        <v>1281</v>
      </c>
      <c r="C159" s="94" t="s">
        <v>1282</v>
      </c>
      <c r="D159" s="94" t="s">
        <v>484</v>
      </c>
      <c r="E159" s="94" t="s">
        <v>34</v>
      </c>
      <c r="F159" s="139">
        <v>38795</v>
      </c>
      <c r="G159" s="86" t="s">
        <v>1186</v>
      </c>
      <c r="H159" s="140">
        <v>45474</v>
      </c>
      <c r="I159" s="96">
        <v>6600</v>
      </c>
      <c r="J159" s="97">
        <f>Table1[[#This Row],[DAY RATE]]*22*12</f>
        <v>1742400</v>
      </c>
      <c r="K159" s="97">
        <f>Table1[[#This Row],[Annual Salary]]*3</f>
        <v>5227200</v>
      </c>
      <c r="L159" s="97">
        <f>6/1000*Table1[[#This Row],[Sum Assured]]</f>
        <v>31363.200000000001</v>
      </c>
      <c r="M159" s="96">
        <v>50000</v>
      </c>
      <c r="N159" s="96">
        <f>0.09%*Table1[[#This Row],[Permanent Disability]]</f>
        <v>45</v>
      </c>
      <c r="O159" s="96">
        <v>250000</v>
      </c>
      <c r="P159" s="96">
        <v>50000</v>
      </c>
      <c r="Q159" s="70">
        <v>92.307692307692307</v>
      </c>
      <c r="R159" s="70">
        <f>Table1[[#This Row],[Death Premium]]+Table1[[#This Row],[PD Premium]]+Table1[[#This Row],[Riders'' premium (Burial expenses &amp; Spousal cover)]]</f>
        <v>31500.507692307692</v>
      </c>
      <c r="S159" s="97">
        <v>0</v>
      </c>
    </row>
    <row r="160" spans="1:19" s="98" customFormat="1" x14ac:dyDescent="0.3">
      <c r="A160" s="94" t="s">
        <v>1255</v>
      </c>
      <c r="B160" s="94" t="s">
        <v>164</v>
      </c>
      <c r="C160" s="94" t="s">
        <v>1283</v>
      </c>
      <c r="D160" s="94" t="s">
        <v>346</v>
      </c>
      <c r="E160" s="94" t="s">
        <v>43</v>
      </c>
      <c r="F160" s="139">
        <v>35436</v>
      </c>
      <c r="G160" s="86" t="s">
        <v>1186</v>
      </c>
      <c r="H160" s="140">
        <v>45691</v>
      </c>
      <c r="I160" s="96">
        <v>9075</v>
      </c>
      <c r="J160" s="97">
        <f>Table1[[#This Row],[DAY RATE]]*22*12</f>
        <v>2395800</v>
      </c>
      <c r="K160" s="97">
        <f>Table1[[#This Row],[Annual Salary]]*3</f>
        <v>7187400</v>
      </c>
      <c r="L160" s="97">
        <f>6/1000*Table1[[#This Row],[Sum Assured]]</f>
        <v>43124.4</v>
      </c>
      <c r="M160" s="96">
        <v>50000</v>
      </c>
      <c r="N160" s="96">
        <f>0.09%*Table1[[#This Row],[Permanent Disability]]</f>
        <v>45</v>
      </c>
      <c r="O160" s="96">
        <v>250000</v>
      </c>
      <c r="P160" s="96">
        <v>50000</v>
      </c>
      <c r="Q160" s="70">
        <v>92.307692307692307</v>
      </c>
      <c r="R160" s="70">
        <f>Table1[[#This Row],[Death Premium]]+Table1[[#This Row],[PD Premium]]+Table1[[#This Row],[Riders'' premium (Burial expenses &amp; Spousal cover)]]</f>
        <v>43261.707692307697</v>
      </c>
      <c r="S160" s="97" t="s">
        <v>1506</v>
      </c>
    </row>
    <row r="161" spans="1:19" s="98" customFormat="1" x14ac:dyDescent="0.3">
      <c r="A161" s="94" t="s">
        <v>1256</v>
      </c>
      <c r="B161" s="94" t="s">
        <v>974</v>
      </c>
      <c r="C161" s="94" t="s">
        <v>1284</v>
      </c>
      <c r="D161" s="94" t="s">
        <v>302</v>
      </c>
      <c r="E161" s="94" t="s">
        <v>43</v>
      </c>
      <c r="F161" s="139">
        <v>29861</v>
      </c>
      <c r="G161" s="86" t="s">
        <v>1186</v>
      </c>
      <c r="H161" s="140">
        <v>46113</v>
      </c>
      <c r="I161" s="96">
        <v>19800</v>
      </c>
      <c r="J161" s="97">
        <f>Table1[[#This Row],[DAY RATE]]*22*12</f>
        <v>5227200</v>
      </c>
      <c r="K161" s="97">
        <f>Table1[[#This Row],[Annual Salary]]*3</f>
        <v>15681600</v>
      </c>
      <c r="L161" s="97">
        <f>6/1000*Table1[[#This Row],[Sum Assured]]</f>
        <v>94089.600000000006</v>
      </c>
      <c r="M161" s="96">
        <v>50000</v>
      </c>
      <c r="N161" s="96">
        <f>0.09%*Table1[[#This Row],[Permanent Disability]]</f>
        <v>45</v>
      </c>
      <c r="O161" s="96">
        <v>250000</v>
      </c>
      <c r="P161" s="96">
        <v>50000</v>
      </c>
      <c r="Q161" s="70">
        <v>92.307692307692307</v>
      </c>
      <c r="R161" s="70">
        <f>Table1[[#This Row],[Death Premium]]+Table1[[#This Row],[PD Premium]]+Table1[[#This Row],[Riders'' premium (Burial expenses &amp; Spousal cover)]]</f>
        <v>94226.907692307694</v>
      </c>
      <c r="S161" s="97">
        <v>0</v>
      </c>
    </row>
    <row r="162" spans="1:19" s="98" customFormat="1" x14ac:dyDescent="0.3">
      <c r="A162" s="94" t="s">
        <v>1257</v>
      </c>
      <c r="B162" s="94" t="s">
        <v>576</v>
      </c>
      <c r="C162" s="94" t="s">
        <v>1285</v>
      </c>
      <c r="D162" s="94" t="s">
        <v>424</v>
      </c>
      <c r="E162" s="94" t="s">
        <v>43</v>
      </c>
      <c r="F162" s="139">
        <v>33887</v>
      </c>
      <c r="G162" s="86" t="s">
        <v>1186</v>
      </c>
      <c r="H162" s="140">
        <v>46113</v>
      </c>
      <c r="I162" s="96">
        <v>8250</v>
      </c>
      <c r="J162" s="97">
        <f>Table1[[#This Row],[DAY RATE]]*22*12</f>
        <v>2178000</v>
      </c>
      <c r="K162" s="97">
        <f>Table1[[#This Row],[Annual Salary]]*3</f>
        <v>6534000</v>
      </c>
      <c r="L162" s="97">
        <f>6/1000*Table1[[#This Row],[Sum Assured]]</f>
        <v>39204</v>
      </c>
      <c r="M162" s="96">
        <v>50000</v>
      </c>
      <c r="N162" s="96">
        <f>0.09%*Table1[[#This Row],[Permanent Disability]]</f>
        <v>45</v>
      </c>
      <c r="O162" s="96">
        <v>250000</v>
      </c>
      <c r="P162" s="96">
        <v>50000</v>
      </c>
      <c r="Q162" s="70">
        <v>92.307692307692307</v>
      </c>
      <c r="R162" s="70">
        <f>Table1[[#This Row],[Death Premium]]+Table1[[#This Row],[PD Premium]]+Table1[[#This Row],[Riders'' premium (Burial expenses &amp; Spousal cover)]]</f>
        <v>39341.307692307695</v>
      </c>
      <c r="S162" s="97">
        <v>0</v>
      </c>
    </row>
    <row r="163" spans="1:19" s="98" customFormat="1" x14ac:dyDescent="0.3">
      <c r="A163" s="94" t="s">
        <v>1258</v>
      </c>
      <c r="B163" s="94" t="s">
        <v>974</v>
      </c>
      <c r="C163" s="94" t="s">
        <v>356</v>
      </c>
      <c r="D163" s="94" t="s">
        <v>958</v>
      </c>
      <c r="E163" s="94" t="s">
        <v>43</v>
      </c>
      <c r="F163" s="139">
        <v>32553</v>
      </c>
      <c r="G163" s="86" t="s">
        <v>1186</v>
      </c>
      <c r="H163" s="140">
        <v>46113</v>
      </c>
      <c r="I163" s="96">
        <v>14000</v>
      </c>
      <c r="J163" s="97">
        <f>Table1[[#This Row],[DAY RATE]]*22*12</f>
        <v>3696000</v>
      </c>
      <c r="K163" s="97">
        <f>Table1[[#This Row],[Annual Salary]]*3</f>
        <v>11088000</v>
      </c>
      <c r="L163" s="97">
        <f>6/1000*Table1[[#This Row],[Sum Assured]]</f>
        <v>66528</v>
      </c>
      <c r="M163" s="96">
        <v>50000</v>
      </c>
      <c r="N163" s="96">
        <f>0.09%*Table1[[#This Row],[Permanent Disability]]</f>
        <v>45</v>
      </c>
      <c r="O163" s="96">
        <v>250000</v>
      </c>
      <c r="P163" s="96">
        <v>50000</v>
      </c>
      <c r="Q163" s="70">
        <v>92.307692307692307</v>
      </c>
      <c r="R163" s="70">
        <f>Table1[[#This Row],[Death Premium]]+Table1[[#This Row],[PD Premium]]+Table1[[#This Row],[Riders'' premium (Burial expenses &amp; Spousal cover)]]</f>
        <v>66665.307692307688</v>
      </c>
      <c r="S163" s="97">
        <v>0</v>
      </c>
    </row>
    <row r="164" spans="1:19" s="98" customFormat="1" x14ac:dyDescent="0.3">
      <c r="A164" s="94" t="s">
        <v>1259</v>
      </c>
      <c r="B164" s="94" t="s">
        <v>1286</v>
      </c>
      <c r="C164" s="94" t="s">
        <v>1287</v>
      </c>
      <c r="D164" s="94" t="s">
        <v>359</v>
      </c>
      <c r="E164" s="94" t="s">
        <v>43</v>
      </c>
      <c r="F164" s="139">
        <v>27474</v>
      </c>
      <c r="G164" s="86" t="s">
        <v>1186</v>
      </c>
      <c r="H164" s="140">
        <v>46174</v>
      </c>
      <c r="I164" s="96">
        <v>11550</v>
      </c>
      <c r="J164" s="97">
        <f>Table1[[#This Row],[DAY RATE]]*22*12</f>
        <v>3049200</v>
      </c>
      <c r="K164" s="97">
        <f>Table1[[#This Row],[Annual Salary]]*3</f>
        <v>9147600</v>
      </c>
      <c r="L164" s="97">
        <f>6/1000*Table1[[#This Row],[Sum Assured]]</f>
        <v>54885.599999999999</v>
      </c>
      <c r="M164" s="96">
        <v>50000</v>
      </c>
      <c r="N164" s="96">
        <f>0.09%*Table1[[#This Row],[Permanent Disability]]</f>
        <v>45</v>
      </c>
      <c r="O164" s="96">
        <v>250000</v>
      </c>
      <c r="P164" s="96">
        <v>50000</v>
      </c>
      <c r="Q164" s="70">
        <v>92.307692307692307</v>
      </c>
      <c r="R164" s="70">
        <f>Table1[[#This Row],[Death Premium]]+Table1[[#This Row],[PD Premium]]+Table1[[#This Row],[Riders'' premium (Burial expenses &amp; Spousal cover)]]</f>
        <v>55022.907692307694</v>
      </c>
      <c r="S164" s="97">
        <v>0</v>
      </c>
    </row>
    <row r="165" spans="1:19" s="98" customFormat="1" x14ac:dyDescent="0.3">
      <c r="A165" s="94" t="s">
        <v>1260</v>
      </c>
      <c r="B165" s="94" t="s">
        <v>1288</v>
      </c>
      <c r="C165" s="94" t="s">
        <v>433</v>
      </c>
      <c r="D165" s="94" t="s">
        <v>484</v>
      </c>
      <c r="E165" s="94" t="s">
        <v>43</v>
      </c>
      <c r="F165" s="139">
        <v>26815</v>
      </c>
      <c r="G165" s="86" t="s">
        <v>1186</v>
      </c>
      <c r="H165" s="140">
        <v>46174</v>
      </c>
      <c r="I165" s="96">
        <v>6600</v>
      </c>
      <c r="J165" s="97">
        <f>Table1[[#This Row],[DAY RATE]]*22*12</f>
        <v>1742400</v>
      </c>
      <c r="K165" s="97">
        <f>Table1[[#This Row],[Annual Salary]]*3</f>
        <v>5227200</v>
      </c>
      <c r="L165" s="97">
        <f>6/1000*Table1[[#This Row],[Sum Assured]]</f>
        <v>31363.200000000001</v>
      </c>
      <c r="M165" s="96">
        <v>50000</v>
      </c>
      <c r="N165" s="96">
        <f>0.09%*Table1[[#This Row],[Permanent Disability]]</f>
        <v>45</v>
      </c>
      <c r="O165" s="96">
        <v>250000</v>
      </c>
      <c r="P165" s="96">
        <v>50000</v>
      </c>
      <c r="Q165" s="70">
        <v>92.307692307692307</v>
      </c>
      <c r="R165" s="70">
        <f>Table1[[#This Row],[Death Premium]]+Table1[[#This Row],[PD Premium]]+Table1[[#This Row],[Riders'' premium (Burial expenses &amp; Spousal cover)]]</f>
        <v>31500.507692307692</v>
      </c>
      <c r="S165" s="97">
        <v>0</v>
      </c>
    </row>
    <row r="166" spans="1:19" s="98" customFormat="1" x14ac:dyDescent="0.3">
      <c r="A166" s="94" t="s">
        <v>1261</v>
      </c>
      <c r="B166" s="94" t="s">
        <v>510</v>
      </c>
      <c r="C166" s="94" t="s">
        <v>1289</v>
      </c>
      <c r="D166" s="94" t="s">
        <v>359</v>
      </c>
      <c r="E166" s="94" t="s">
        <v>34</v>
      </c>
      <c r="F166" s="139">
        <v>24049</v>
      </c>
      <c r="G166" s="86" t="s">
        <v>1186</v>
      </c>
      <c r="H166" s="140">
        <v>46174</v>
      </c>
      <c r="I166" s="96">
        <v>11550</v>
      </c>
      <c r="J166" s="97">
        <f>Table1[[#This Row],[DAY RATE]]*22*12</f>
        <v>3049200</v>
      </c>
      <c r="K166" s="97">
        <f>Table1[[#This Row],[Annual Salary]]*3</f>
        <v>9147600</v>
      </c>
      <c r="L166" s="97">
        <f>6/1000*Table1[[#This Row],[Sum Assured]]</f>
        <v>54885.599999999999</v>
      </c>
      <c r="M166" s="96">
        <v>50000</v>
      </c>
      <c r="N166" s="96">
        <f>0.09%*Table1[[#This Row],[Permanent Disability]]</f>
        <v>45</v>
      </c>
      <c r="O166" s="96">
        <v>250000</v>
      </c>
      <c r="P166" s="96">
        <v>50000</v>
      </c>
      <c r="Q166" s="70">
        <v>92.307692307692307</v>
      </c>
      <c r="R166" s="70">
        <f>Table1[[#This Row],[Death Premium]]+Table1[[#This Row],[PD Premium]]+Table1[[#This Row],[Riders'' premium (Burial expenses &amp; Spousal cover)]]</f>
        <v>55022.907692307694</v>
      </c>
      <c r="S166" s="97">
        <v>0</v>
      </c>
    </row>
    <row r="167" spans="1:19" s="98" customFormat="1" x14ac:dyDescent="0.3">
      <c r="A167" s="94" t="s">
        <v>1262</v>
      </c>
      <c r="B167" s="94" t="s">
        <v>1290</v>
      </c>
      <c r="C167" s="94" t="s">
        <v>1291</v>
      </c>
      <c r="D167" s="94" t="s">
        <v>484</v>
      </c>
      <c r="E167" s="94" t="s">
        <v>34</v>
      </c>
      <c r="F167" s="139">
        <v>38517</v>
      </c>
      <c r="G167" s="86" t="s">
        <v>1186</v>
      </c>
      <c r="H167" s="140">
        <v>46174</v>
      </c>
      <c r="I167" s="96">
        <v>6600</v>
      </c>
      <c r="J167" s="97">
        <f>Table1[[#This Row],[DAY RATE]]*22*12</f>
        <v>1742400</v>
      </c>
      <c r="K167" s="97">
        <f>Table1[[#This Row],[Annual Salary]]*3</f>
        <v>5227200</v>
      </c>
      <c r="L167" s="97">
        <f>6/1000*Table1[[#This Row],[Sum Assured]]</f>
        <v>31363.200000000001</v>
      </c>
      <c r="M167" s="96">
        <v>50000</v>
      </c>
      <c r="N167" s="96">
        <f>0.09%*Table1[[#This Row],[Permanent Disability]]</f>
        <v>45</v>
      </c>
      <c r="O167" s="96">
        <v>250000</v>
      </c>
      <c r="P167" s="96">
        <v>50000</v>
      </c>
      <c r="Q167" s="70">
        <v>92.307692307692307</v>
      </c>
      <c r="R167" s="70">
        <f>Table1[[#This Row],[Death Premium]]+Table1[[#This Row],[PD Premium]]+Table1[[#This Row],[Riders'' premium (Burial expenses &amp; Spousal cover)]]</f>
        <v>31500.507692307692</v>
      </c>
      <c r="S167" s="97">
        <v>0</v>
      </c>
    </row>
    <row r="168" spans="1:19" s="98" customFormat="1" x14ac:dyDescent="0.3">
      <c r="A168" s="94" t="s">
        <v>1318</v>
      </c>
      <c r="B168" s="94" t="s">
        <v>311</v>
      </c>
      <c r="C168" s="94" t="s">
        <v>645</v>
      </c>
      <c r="D168" s="94" t="s">
        <v>1336</v>
      </c>
      <c r="E168" s="94" t="s">
        <v>1337</v>
      </c>
      <c r="F168" s="143">
        <v>29587</v>
      </c>
      <c r="G168" s="86" t="s">
        <v>284</v>
      </c>
      <c r="H168" s="140">
        <v>46235</v>
      </c>
      <c r="I168" s="96">
        <v>13550</v>
      </c>
      <c r="J168" s="97">
        <f>Table1[[#This Row],[DAY RATE]]*22*12</f>
        <v>3577200</v>
      </c>
      <c r="K168" s="97">
        <f>Table1[[#This Row],[Annual Salary]]*3</f>
        <v>10731600</v>
      </c>
      <c r="L168" s="97">
        <f>6/1000*Table1[[#This Row],[Sum Assured]]</f>
        <v>64389.599999999999</v>
      </c>
      <c r="M168" s="96">
        <v>50000</v>
      </c>
      <c r="N168" s="96">
        <f>0.09%*Table1[[#This Row],[Permanent Disability]]</f>
        <v>45</v>
      </c>
      <c r="O168" s="96">
        <v>250000</v>
      </c>
      <c r="P168" s="96">
        <v>50000</v>
      </c>
      <c r="Q168" s="70">
        <v>92.307692307692307</v>
      </c>
      <c r="R168" s="70">
        <f>Table1[[#This Row],[Death Premium]]+Table1[[#This Row],[PD Premium]]+Table1[[#This Row],[Riders'' premium (Burial expenses &amp; Spousal cover)]]</f>
        <v>64526.907692307694</v>
      </c>
      <c r="S168" s="97">
        <v>0</v>
      </c>
    </row>
    <row r="169" spans="1:19" s="98" customFormat="1" x14ac:dyDescent="0.3">
      <c r="A169" s="94" t="s">
        <v>1319</v>
      </c>
      <c r="B169" s="94" t="s">
        <v>1338</v>
      </c>
      <c r="C169" s="94" t="s">
        <v>1339</v>
      </c>
      <c r="D169" s="94" t="s">
        <v>1340</v>
      </c>
      <c r="E169" s="94" t="s">
        <v>1337</v>
      </c>
      <c r="F169" s="139">
        <v>29283</v>
      </c>
      <c r="G169" s="86" t="s">
        <v>284</v>
      </c>
      <c r="H169" s="140">
        <v>46228</v>
      </c>
      <c r="I169" s="96">
        <v>20100</v>
      </c>
      <c r="J169" s="97">
        <f>Table1[[#This Row],[DAY RATE]]*22*12</f>
        <v>5306400</v>
      </c>
      <c r="K169" s="97">
        <f>Table1[[#This Row],[Annual Salary]]*3</f>
        <v>15919200</v>
      </c>
      <c r="L169" s="97">
        <f>6/1000*Table1[[#This Row],[Sum Assured]]</f>
        <v>95515.199999999997</v>
      </c>
      <c r="M169" s="96">
        <v>50000</v>
      </c>
      <c r="N169" s="96">
        <f>0.09%*Table1[[#This Row],[Permanent Disability]]</f>
        <v>45</v>
      </c>
      <c r="O169" s="96">
        <v>250000</v>
      </c>
      <c r="P169" s="96">
        <v>50000</v>
      </c>
      <c r="Q169" s="70">
        <v>92.307692307692307</v>
      </c>
      <c r="R169" s="70">
        <f>Table1[[#This Row],[Death Premium]]+Table1[[#This Row],[PD Premium]]+Table1[[#This Row],[Riders'' premium (Burial expenses &amp; Spousal cover)]]</f>
        <v>95652.507692307685</v>
      </c>
      <c r="S169" s="97">
        <v>0</v>
      </c>
    </row>
    <row r="170" spans="1:19" s="98" customFormat="1" x14ac:dyDescent="0.3">
      <c r="A170" s="94" t="s">
        <v>1320</v>
      </c>
      <c r="B170" s="94" t="s">
        <v>440</v>
      </c>
      <c r="C170" s="94" t="s">
        <v>439</v>
      </c>
      <c r="D170" s="94" t="s">
        <v>1336</v>
      </c>
      <c r="E170" s="94" t="s">
        <v>1337</v>
      </c>
      <c r="F170" s="139">
        <v>25934</v>
      </c>
      <c r="G170" s="86" t="s">
        <v>284</v>
      </c>
      <c r="H170" s="140">
        <v>46236</v>
      </c>
      <c r="I170" s="96">
        <v>13550</v>
      </c>
      <c r="J170" s="97">
        <f>Table1[[#This Row],[DAY RATE]]*22*12</f>
        <v>3577200</v>
      </c>
      <c r="K170" s="97">
        <f>Table1[[#This Row],[Annual Salary]]*3</f>
        <v>10731600</v>
      </c>
      <c r="L170" s="97">
        <f>6/1000*Table1[[#This Row],[Sum Assured]]</f>
        <v>64389.599999999999</v>
      </c>
      <c r="M170" s="96">
        <v>50000</v>
      </c>
      <c r="N170" s="96">
        <f>0.09%*Table1[[#This Row],[Permanent Disability]]</f>
        <v>45</v>
      </c>
      <c r="O170" s="96">
        <v>250000</v>
      </c>
      <c r="P170" s="96">
        <v>50000</v>
      </c>
      <c r="Q170" s="70">
        <v>92.307692307692307</v>
      </c>
      <c r="R170" s="70">
        <f>Table1[[#This Row],[Death Premium]]+Table1[[#This Row],[PD Premium]]+Table1[[#This Row],[Riders'' premium (Burial expenses &amp; Spousal cover)]]</f>
        <v>64526.907692307694</v>
      </c>
      <c r="S170" s="97">
        <v>0</v>
      </c>
    </row>
    <row r="171" spans="1:19" s="98" customFormat="1" x14ac:dyDescent="0.3">
      <c r="A171" s="94" t="s">
        <v>1321</v>
      </c>
      <c r="B171" s="94" t="s">
        <v>624</v>
      </c>
      <c r="C171" s="94" t="s">
        <v>286</v>
      </c>
      <c r="D171" s="94" t="s">
        <v>1341</v>
      </c>
      <c r="E171" s="94" t="s">
        <v>1337</v>
      </c>
      <c r="F171" s="139">
        <v>25934</v>
      </c>
      <c r="G171" s="86" t="s">
        <v>284</v>
      </c>
      <c r="H171" s="140">
        <v>46236</v>
      </c>
      <c r="I171" s="96">
        <v>11575</v>
      </c>
      <c r="J171" s="97">
        <f>Table1[[#This Row],[DAY RATE]]*22*12</f>
        <v>3055800</v>
      </c>
      <c r="K171" s="97">
        <f>Table1[[#This Row],[Annual Salary]]*3</f>
        <v>9167400</v>
      </c>
      <c r="L171" s="97">
        <f>6/1000*Table1[[#This Row],[Sum Assured]]</f>
        <v>55004.4</v>
      </c>
      <c r="M171" s="96">
        <v>50000</v>
      </c>
      <c r="N171" s="96">
        <f>0.09%*Table1[[#This Row],[Permanent Disability]]</f>
        <v>45</v>
      </c>
      <c r="O171" s="96">
        <v>250000</v>
      </c>
      <c r="P171" s="96">
        <v>50000</v>
      </c>
      <c r="Q171" s="70">
        <v>92.307692307692307</v>
      </c>
      <c r="R171" s="70">
        <f>Table1[[#This Row],[Death Premium]]+Table1[[#This Row],[PD Premium]]+Table1[[#This Row],[Riders'' premium (Burial expenses &amp; Spousal cover)]]</f>
        <v>55141.707692307697</v>
      </c>
      <c r="S171" s="97">
        <v>0</v>
      </c>
    </row>
    <row r="172" spans="1:19" s="98" customFormat="1" x14ac:dyDescent="0.3">
      <c r="A172" s="94" t="s">
        <v>1322</v>
      </c>
      <c r="B172" s="94" t="s">
        <v>1157</v>
      </c>
      <c r="C172" s="94" t="s">
        <v>512</v>
      </c>
      <c r="D172" s="94" t="s">
        <v>1342</v>
      </c>
      <c r="E172" s="94" t="s">
        <v>1337</v>
      </c>
      <c r="F172" s="143">
        <v>25934</v>
      </c>
      <c r="G172" s="86" t="s">
        <v>284</v>
      </c>
      <c r="H172" s="140">
        <v>46289</v>
      </c>
      <c r="I172" s="96">
        <v>20100</v>
      </c>
      <c r="J172" s="97">
        <f>Table1[[#This Row],[DAY RATE]]*22*12</f>
        <v>5306400</v>
      </c>
      <c r="K172" s="97">
        <f>Table1[[#This Row],[Annual Salary]]*3</f>
        <v>15919200</v>
      </c>
      <c r="L172" s="97">
        <f>6/1000*Table1[[#This Row],[Sum Assured]]</f>
        <v>95515.199999999997</v>
      </c>
      <c r="M172" s="96">
        <v>50000</v>
      </c>
      <c r="N172" s="96">
        <f>0.09%*Table1[[#This Row],[Permanent Disability]]</f>
        <v>45</v>
      </c>
      <c r="O172" s="96">
        <v>250000</v>
      </c>
      <c r="P172" s="96">
        <v>50000</v>
      </c>
      <c r="Q172" s="70">
        <v>92.307692307692307</v>
      </c>
      <c r="R172" s="70">
        <f>Table1[[#This Row],[Death Premium]]+Table1[[#This Row],[PD Premium]]+Table1[[#This Row],[Riders'' premium (Burial expenses &amp; Spousal cover)]]</f>
        <v>95652.507692307685</v>
      </c>
      <c r="S172" s="97">
        <v>0</v>
      </c>
    </row>
    <row r="173" spans="1:19" s="98" customFormat="1" x14ac:dyDescent="0.3">
      <c r="A173" s="94" t="s">
        <v>1323</v>
      </c>
      <c r="B173" s="94" t="s">
        <v>498</v>
      </c>
      <c r="C173" s="94" t="s">
        <v>1343</v>
      </c>
      <c r="D173" s="94" t="s">
        <v>1336</v>
      </c>
      <c r="E173" s="94" t="s">
        <v>1337</v>
      </c>
      <c r="F173" s="143">
        <v>26433</v>
      </c>
      <c r="G173" s="86" t="s">
        <v>284</v>
      </c>
      <c r="H173" s="140">
        <v>46287</v>
      </c>
      <c r="I173" s="96">
        <v>13550</v>
      </c>
      <c r="J173" s="97">
        <f>Table1[[#This Row],[DAY RATE]]*22*12</f>
        <v>3577200</v>
      </c>
      <c r="K173" s="97">
        <f>Table1[[#This Row],[Annual Salary]]*3</f>
        <v>10731600</v>
      </c>
      <c r="L173" s="97">
        <f>6/1000*Table1[[#This Row],[Sum Assured]]</f>
        <v>64389.599999999999</v>
      </c>
      <c r="M173" s="96">
        <v>50000</v>
      </c>
      <c r="N173" s="96">
        <f>0.09%*Table1[[#This Row],[Permanent Disability]]</f>
        <v>45</v>
      </c>
      <c r="O173" s="96">
        <v>250000</v>
      </c>
      <c r="P173" s="96">
        <v>50000</v>
      </c>
      <c r="Q173" s="70">
        <v>92.307692307692307</v>
      </c>
      <c r="R173" s="70">
        <f>Table1[[#This Row],[Death Premium]]+Table1[[#This Row],[PD Premium]]+Table1[[#This Row],[Riders'' premium (Burial expenses &amp; Spousal cover)]]</f>
        <v>64526.907692307694</v>
      </c>
      <c r="S173" s="97">
        <v>0</v>
      </c>
    </row>
    <row r="174" spans="1:19" s="98" customFormat="1" x14ac:dyDescent="0.3">
      <c r="A174" s="94" t="s">
        <v>1324</v>
      </c>
      <c r="B174" s="94" t="s">
        <v>344</v>
      </c>
      <c r="C174" s="94" t="s">
        <v>345</v>
      </c>
      <c r="D174" s="94" t="s">
        <v>1341</v>
      </c>
      <c r="E174" s="94" t="s">
        <v>1337</v>
      </c>
      <c r="F174" s="143">
        <v>25934</v>
      </c>
      <c r="G174" s="86" t="s">
        <v>284</v>
      </c>
      <c r="H174" s="140">
        <v>46281</v>
      </c>
      <c r="I174" s="96">
        <v>11575</v>
      </c>
      <c r="J174" s="97">
        <f>Table1[[#This Row],[DAY RATE]]*22*12</f>
        <v>3055800</v>
      </c>
      <c r="K174" s="97">
        <f>Table1[[#This Row],[Annual Salary]]*3</f>
        <v>9167400</v>
      </c>
      <c r="L174" s="97">
        <f>6/1000*Table1[[#This Row],[Sum Assured]]</f>
        <v>55004.4</v>
      </c>
      <c r="M174" s="96">
        <v>50000</v>
      </c>
      <c r="N174" s="96">
        <f>0.09%*Table1[[#This Row],[Permanent Disability]]</f>
        <v>45</v>
      </c>
      <c r="O174" s="96">
        <v>250000</v>
      </c>
      <c r="P174" s="96">
        <v>50000</v>
      </c>
      <c r="Q174" s="70">
        <v>92.307692307692307</v>
      </c>
      <c r="R174" s="70">
        <f>Table1[[#This Row],[Death Premium]]+Table1[[#This Row],[PD Premium]]+Table1[[#This Row],[Riders'' premium (Burial expenses &amp; Spousal cover)]]</f>
        <v>55141.707692307697</v>
      </c>
      <c r="S174" s="97">
        <v>0</v>
      </c>
    </row>
    <row r="175" spans="1:19" s="98" customFormat="1" x14ac:dyDescent="0.3">
      <c r="A175" s="94" t="s">
        <v>1325</v>
      </c>
      <c r="B175" s="94" t="s">
        <v>32</v>
      </c>
      <c r="C175" s="94" t="s">
        <v>1344</v>
      </c>
      <c r="D175" s="94" t="s">
        <v>484</v>
      </c>
      <c r="E175" s="94" t="s">
        <v>1337</v>
      </c>
      <c r="F175" s="143">
        <v>36701</v>
      </c>
      <c r="G175" s="86" t="s">
        <v>284</v>
      </c>
      <c r="H175" s="140">
        <v>46296</v>
      </c>
      <c r="I175" s="96">
        <v>8100</v>
      </c>
      <c r="J175" s="97">
        <f>Table1[[#This Row],[DAY RATE]]*22*12</f>
        <v>2138400</v>
      </c>
      <c r="K175" s="97">
        <f>Table1[[#This Row],[Annual Salary]]*3</f>
        <v>6415200</v>
      </c>
      <c r="L175" s="97">
        <f>6/1000*Table1[[#This Row],[Sum Assured]]</f>
        <v>38491.200000000004</v>
      </c>
      <c r="M175" s="96">
        <v>50000</v>
      </c>
      <c r="N175" s="96">
        <f>0.09%*Table1[[#This Row],[Permanent Disability]]</f>
        <v>45</v>
      </c>
      <c r="O175" s="96">
        <v>250000</v>
      </c>
      <c r="P175" s="96">
        <v>50000</v>
      </c>
      <c r="Q175" s="70">
        <v>92.307692307692307</v>
      </c>
      <c r="R175" s="70">
        <f>Table1[[#This Row],[Death Premium]]+Table1[[#This Row],[PD Premium]]+Table1[[#This Row],[Riders'' premium (Burial expenses &amp; Spousal cover)]]</f>
        <v>38628.507692307699</v>
      </c>
      <c r="S175" s="97">
        <v>0</v>
      </c>
    </row>
    <row r="176" spans="1:19" s="98" customFormat="1" x14ac:dyDescent="0.3">
      <c r="A176" s="94" t="s">
        <v>1326</v>
      </c>
      <c r="B176" s="94" t="s">
        <v>1345</v>
      </c>
      <c r="C176" s="94" t="s">
        <v>1346</v>
      </c>
      <c r="D176" s="94" t="s">
        <v>484</v>
      </c>
      <c r="E176" s="94" t="s">
        <v>1337</v>
      </c>
      <c r="F176" s="143">
        <v>38520</v>
      </c>
      <c r="G176" s="86" t="s">
        <v>284</v>
      </c>
      <c r="H176" s="140">
        <v>46296</v>
      </c>
      <c r="I176" s="96">
        <v>8100</v>
      </c>
      <c r="J176" s="97">
        <f>Table1[[#This Row],[DAY RATE]]*22*12</f>
        <v>2138400</v>
      </c>
      <c r="K176" s="97">
        <f>Table1[[#This Row],[Annual Salary]]*3</f>
        <v>6415200</v>
      </c>
      <c r="L176" s="97">
        <f>6/1000*Table1[[#This Row],[Sum Assured]]</f>
        <v>38491.200000000004</v>
      </c>
      <c r="M176" s="96">
        <v>50000</v>
      </c>
      <c r="N176" s="96">
        <f>0.09%*Table1[[#This Row],[Permanent Disability]]</f>
        <v>45</v>
      </c>
      <c r="O176" s="96">
        <v>250000</v>
      </c>
      <c r="P176" s="96">
        <v>50000</v>
      </c>
      <c r="Q176" s="70">
        <v>92.307692307692307</v>
      </c>
      <c r="R176" s="70">
        <f>Table1[[#This Row],[Death Premium]]+Table1[[#This Row],[PD Premium]]+Table1[[#This Row],[Riders'' premium (Burial expenses &amp; Spousal cover)]]</f>
        <v>38628.507692307699</v>
      </c>
      <c r="S176" s="97">
        <v>0</v>
      </c>
    </row>
    <row r="177" spans="1:19" s="98" customFormat="1" x14ac:dyDescent="0.3">
      <c r="A177" s="94" t="s">
        <v>1327</v>
      </c>
      <c r="B177" s="94" t="s">
        <v>1347</v>
      </c>
      <c r="C177" s="94" t="s">
        <v>1348</v>
      </c>
      <c r="D177" s="94" t="s">
        <v>1341</v>
      </c>
      <c r="E177" s="94" t="s">
        <v>1337</v>
      </c>
      <c r="F177" s="139">
        <v>33418</v>
      </c>
      <c r="G177" s="86" t="s">
        <v>284</v>
      </c>
      <c r="H177" s="140">
        <v>46281</v>
      </c>
      <c r="I177" s="96">
        <v>13550</v>
      </c>
      <c r="J177" s="97">
        <f>Table1[[#This Row],[DAY RATE]]*22*12</f>
        <v>3577200</v>
      </c>
      <c r="K177" s="97">
        <f>Table1[[#This Row],[Annual Salary]]*3</f>
        <v>10731600</v>
      </c>
      <c r="L177" s="97">
        <f>6/1000*Table1[[#This Row],[Sum Assured]]</f>
        <v>64389.599999999999</v>
      </c>
      <c r="M177" s="96">
        <v>50000</v>
      </c>
      <c r="N177" s="96">
        <f>0.09%*Table1[[#This Row],[Permanent Disability]]</f>
        <v>45</v>
      </c>
      <c r="O177" s="96">
        <v>250000</v>
      </c>
      <c r="P177" s="96">
        <v>50000</v>
      </c>
      <c r="Q177" s="70">
        <v>92.307692307692307</v>
      </c>
      <c r="R177" s="70">
        <f>Table1[[#This Row],[Death Premium]]+Table1[[#This Row],[PD Premium]]+Table1[[#This Row],[Riders'' premium (Burial expenses &amp; Spousal cover)]]</f>
        <v>64526.907692307694</v>
      </c>
      <c r="S177" s="97">
        <v>0</v>
      </c>
    </row>
    <row r="178" spans="1:19" s="98" customFormat="1" x14ac:dyDescent="0.3">
      <c r="A178" s="94" t="s">
        <v>1328</v>
      </c>
      <c r="B178" s="94" t="s">
        <v>520</v>
      </c>
      <c r="C178" s="94" t="s">
        <v>1349</v>
      </c>
      <c r="D178" s="94" t="s">
        <v>359</v>
      </c>
      <c r="E178" s="94" t="s">
        <v>1337</v>
      </c>
      <c r="F178" s="143">
        <v>25691</v>
      </c>
      <c r="G178" s="86" t="s">
        <v>284</v>
      </c>
      <c r="H178" s="140">
        <v>46235</v>
      </c>
      <c r="I178" s="96">
        <v>14050</v>
      </c>
      <c r="J178" s="97">
        <f>Table1[[#This Row],[DAY RATE]]*22*12</f>
        <v>3709200</v>
      </c>
      <c r="K178" s="97">
        <f>Table1[[#This Row],[Annual Salary]]*3</f>
        <v>11127600</v>
      </c>
      <c r="L178" s="97">
        <f>6/1000*Table1[[#This Row],[Sum Assured]]</f>
        <v>66765.600000000006</v>
      </c>
      <c r="M178" s="96">
        <v>50000</v>
      </c>
      <c r="N178" s="96">
        <f>0.09%*Table1[[#This Row],[Permanent Disability]]</f>
        <v>45</v>
      </c>
      <c r="O178" s="96">
        <v>250000</v>
      </c>
      <c r="P178" s="96">
        <v>50000</v>
      </c>
      <c r="Q178" s="70">
        <v>92.307692307692307</v>
      </c>
      <c r="R178" s="70">
        <f>Table1[[#This Row],[Death Premium]]+Table1[[#This Row],[PD Premium]]+Table1[[#This Row],[Riders'' premium (Burial expenses &amp; Spousal cover)]]</f>
        <v>66902.907692307694</v>
      </c>
      <c r="S178" s="97">
        <v>0</v>
      </c>
    </row>
    <row r="179" spans="1:19" s="98" customFormat="1" x14ac:dyDescent="0.3">
      <c r="A179" s="94" t="s">
        <v>1329</v>
      </c>
      <c r="B179" s="94" t="s">
        <v>466</v>
      </c>
      <c r="C179" s="94" t="s">
        <v>465</v>
      </c>
      <c r="D179" s="94" t="s">
        <v>359</v>
      </c>
      <c r="E179" s="94" t="s">
        <v>1337</v>
      </c>
      <c r="F179" s="143">
        <v>30222</v>
      </c>
      <c r="G179" s="86" t="s">
        <v>284</v>
      </c>
      <c r="H179" s="140">
        <v>46296</v>
      </c>
      <c r="I179" s="96">
        <v>14050</v>
      </c>
      <c r="J179" s="97">
        <f>Table1[[#This Row],[DAY RATE]]*22*12</f>
        <v>3709200</v>
      </c>
      <c r="K179" s="97">
        <f>Table1[[#This Row],[Annual Salary]]*3</f>
        <v>11127600</v>
      </c>
      <c r="L179" s="97">
        <f>6/1000*Table1[[#This Row],[Sum Assured]]</f>
        <v>66765.600000000006</v>
      </c>
      <c r="M179" s="96">
        <v>50000</v>
      </c>
      <c r="N179" s="96">
        <f>0.09%*Table1[[#This Row],[Permanent Disability]]</f>
        <v>45</v>
      </c>
      <c r="O179" s="96">
        <v>250000</v>
      </c>
      <c r="P179" s="96">
        <v>50000</v>
      </c>
      <c r="Q179" s="70">
        <v>92.307692307692307</v>
      </c>
      <c r="R179" s="70">
        <f>Table1[[#This Row],[Death Premium]]+Table1[[#This Row],[PD Premium]]+Table1[[#This Row],[Riders'' premium (Burial expenses &amp; Spousal cover)]]</f>
        <v>66902.907692307694</v>
      </c>
      <c r="S179" s="97" t="s">
        <v>1507</v>
      </c>
    </row>
    <row r="180" spans="1:19" s="98" customFormat="1" x14ac:dyDescent="0.3">
      <c r="A180" s="94" t="s">
        <v>1330</v>
      </c>
      <c r="B180" s="94" t="s">
        <v>385</v>
      </c>
      <c r="C180" s="94" t="s">
        <v>81</v>
      </c>
      <c r="D180" s="94" t="s">
        <v>1336</v>
      </c>
      <c r="E180" s="94" t="s">
        <v>1337</v>
      </c>
      <c r="F180" s="143">
        <v>28914</v>
      </c>
      <c r="G180" s="86" t="s">
        <v>284</v>
      </c>
      <c r="H180" s="140">
        <v>46251</v>
      </c>
      <c r="I180" s="96">
        <v>13550</v>
      </c>
      <c r="J180" s="97">
        <f>Table1[[#This Row],[DAY RATE]]*22*12</f>
        <v>3577200</v>
      </c>
      <c r="K180" s="97">
        <f>Table1[[#This Row],[Annual Salary]]*3</f>
        <v>10731600</v>
      </c>
      <c r="L180" s="97">
        <f>6/1000*Table1[[#This Row],[Sum Assured]]</f>
        <v>64389.599999999999</v>
      </c>
      <c r="M180" s="96">
        <v>50000</v>
      </c>
      <c r="N180" s="96">
        <f>0.09%*Table1[[#This Row],[Permanent Disability]]</f>
        <v>45</v>
      </c>
      <c r="O180" s="96">
        <v>250000</v>
      </c>
      <c r="P180" s="96">
        <v>50000</v>
      </c>
      <c r="Q180" s="70">
        <v>92.307692307692307</v>
      </c>
      <c r="R180" s="70">
        <f>Table1[[#This Row],[Death Premium]]+Table1[[#This Row],[PD Premium]]+Table1[[#This Row],[Riders'' premium (Burial expenses &amp; Spousal cover)]]</f>
        <v>64526.907692307694</v>
      </c>
      <c r="S180" s="97">
        <v>0</v>
      </c>
    </row>
    <row r="181" spans="1:19" s="98" customFormat="1" x14ac:dyDescent="0.3">
      <c r="A181" s="94" t="s">
        <v>1331</v>
      </c>
      <c r="B181" s="94" t="s">
        <v>1350</v>
      </c>
      <c r="C181" s="94" t="s">
        <v>545</v>
      </c>
      <c r="D181" s="94" t="s">
        <v>359</v>
      </c>
      <c r="E181" s="94" t="s">
        <v>34</v>
      </c>
      <c r="F181" s="143">
        <v>27589</v>
      </c>
      <c r="G181" s="86" t="s">
        <v>284</v>
      </c>
      <c r="H181" s="140">
        <v>46287</v>
      </c>
      <c r="I181" s="96">
        <v>14050</v>
      </c>
      <c r="J181" s="97">
        <f>Table1[[#This Row],[DAY RATE]]*22*12</f>
        <v>3709200</v>
      </c>
      <c r="K181" s="97">
        <f>Table1[[#This Row],[Annual Salary]]*3</f>
        <v>11127600</v>
      </c>
      <c r="L181" s="97">
        <f>6/1000*Table1[[#This Row],[Sum Assured]]</f>
        <v>66765.600000000006</v>
      </c>
      <c r="M181" s="96">
        <v>50000</v>
      </c>
      <c r="N181" s="96">
        <f>0.09%*Table1[[#This Row],[Permanent Disability]]</f>
        <v>45</v>
      </c>
      <c r="O181" s="96">
        <v>250000</v>
      </c>
      <c r="P181" s="96">
        <v>50000</v>
      </c>
      <c r="Q181" s="70">
        <v>92.307692307692307</v>
      </c>
      <c r="R181" s="70">
        <f>Table1[[#This Row],[Death Premium]]+Table1[[#This Row],[PD Premium]]+Table1[[#This Row],[Riders'' premium (Burial expenses &amp; Spousal cover)]]</f>
        <v>66902.907692307694</v>
      </c>
      <c r="S181" s="97">
        <v>0</v>
      </c>
    </row>
    <row r="182" spans="1:19" s="98" customFormat="1" x14ac:dyDescent="0.3">
      <c r="A182" s="94" t="s">
        <v>1332</v>
      </c>
      <c r="B182" s="94" t="s">
        <v>1351</v>
      </c>
      <c r="C182" s="94" t="s">
        <v>1352</v>
      </c>
      <c r="D182" s="94" t="s">
        <v>524</v>
      </c>
      <c r="E182" s="94" t="s">
        <v>1353</v>
      </c>
      <c r="F182" s="143">
        <v>35751</v>
      </c>
      <c r="G182" s="86" t="s">
        <v>284</v>
      </c>
      <c r="H182" s="140">
        <v>46252</v>
      </c>
      <c r="I182" s="96">
        <v>8100</v>
      </c>
      <c r="J182" s="97">
        <f>Table1[[#This Row],[DAY RATE]]*22*12</f>
        <v>2138400</v>
      </c>
      <c r="K182" s="97">
        <f>Table1[[#This Row],[Annual Salary]]*3</f>
        <v>6415200</v>
      </c>
      <c r="L182" s="97">
        <f>6/1000*Table1[[#This Row],[Sum Assured]]</f>
        <v>38491.200000000004</v>
      </c>
      <c r="M182" s="96">
        <v>50000</v>
      </c>
      <c r="N182" s="96">
        <f>0.09%*Table1[[#This Row],[Permanent Disability]]</f>
        <v>45</v>
      </c>
      <c r="O182" s="96">
        <v>250000</v>
      </c>
      <c r="P182" s="96">
        <v>50000</v>
      </c>
      <c r="Q182" s="70">
        <v>92.307692307692307</v>
      </c>
      <c r="R182" s="70">
        <f>Table1[[#This Row],[Death Premium]]+Table1[[#This Row],[PD Premium]]+Table1[[#This Row],[Riders'' premium (Burial expenses &amp; Spousal cover)]]</f>
        <v>38628.507692307699</v>
      </c>
      <c r="S182" s="97">
        <v>0</v>
      </c>
    </row>
    <row r="183" spans="1:19" s="98" customFormat="1" x14ac:dyDescent="0.3">
      <c r="A183" s="94" t="s">
        <v>1333</v>
      </c>
      <c r="B183" s="94" t="s">
        <v>253</v>
      </c>
      <c r="C183" s="94" t="s">
        <v>1354</v>
      </c>
      <c r="D183" s="94" t="s">
        <v>778</v>
      </c>
      <c r="E183" s="94" t="s">
        <v>1353</v>
      </c>
      <c r="F183" s="143">
        <v>32119</v>
      </c>
      <c r="G183" s="86" t="s">
        <v>284</v>
      </c>
      <c r="H183" s="140">
        <v>46244</v>
      </c>
      <c r="I183" s="96">
        <v>12750</v>
      </c>
      <c r="J183" s="97">
        <f>Table1[[#This Row],[DAY RATE]]*22*12</f>
        <v>3366000</v>
      </c>
      <c r="K183" s="97">
        <f>Table1[[#This Row],[Annual Salary]]*3</f>
        <v>10098000</v>
      </c>
      <c r="L183" s="97">
        <f>6/1000*Table1[[#This Row],[Sum Assured]]</f>
        <v>60588</v>
      </c>
      <c r="M183" s="96">
        <v>50000</v>
      </c>
      <c r="N183" s="96">
        <f>0.09%*Table1[[#This Row],[Permanent Disability]]</f>
        <v>45</v>
      </c>
      <c r="O183" s="96">
        <v>250000</v>
      </c>
      <c r="P183" s="96">
        <v>50000</v>
      </c>
      <c r="Q183" s="70">
        <v>92.307692307692307</v>
      </c>
      <c r="R183" s="70">
        <f>Table1[[#This Row],[Death Premium]]+Table1[[#This Row],[PD Premium]]+Table1[[#This Row],[Riders'' premium (Burial expenses &amp; Spousal cover)]]</f>
        <v>60725.307692307695</v>
      </c>
      <c r="S183" s="97">
        <v>0</v>
      </c>
    </row>
    <row r="184" spans="1:19" s="98" customFormat="1" x14ac:dyDescent="0.3">
      <c r="A184" s="94" t="s">
        <v>1334</v>
      </c>
      <c r="B184" s="94" t="s">
        <v>1355</v>
      </c>
      <c r="C184" s="94" t="s">
        <v>630</v>
      </c>
      <c r="D184" s="94" t="s">
        <v>778</v>
      </c>
      <c r="E184" s="94" t="s">
        <v>1353</v>
      </c>
      <c r="F184" s="143">
        <v>29948</v>
      </c>
      <c r="G184" s="86" t="s">
        <v>284</v>
      </c>
      <c r="H184" s="140">
        <v>46244</v>
      </c>
      <c r="I184" s="96">
        <v>12750</v>
      </c>
      <c r="J184" s="97">
        <f>Table1[[#This Row],[DAY RATE]]*22*12</f>
        <v>3366000</v>
      </c>
      <c r="K184" s="97">
        <f>Table1[[#This Row],[Annual Salary]]*3</f>
        <v>10098000</v>
      </c>
      <c r="L184" s="97">
        <f>6/1000*Table1[[#This Row],[Sum Assured]]</f>
        <v>60588</v>
      </c>
      <c r="M184" s="96">
        <v>50000</v>
      </c>
      <c r="N184" s="96">
        <f>0.09%*Table1[[#This Row],[Permanent Disability]]</f>
        <v>45</v>
      </c>
      <c r="O184" s="96">
        <v>250000</v>
      </c>
      <c r="P184" s="96">
        <v>50000</v>
      </c>
      <c r="Q184" s="70">
        <v>92.307692307692307</v>
      </c>
      <c r="R184" s="70">
        <f>Table1[[#This Row],[Death Premium]]+Table1[[#This Row],[PD Premium]]+Table1[[#This Row],[Riders'' premium (Burial expenses &amp; Spousal cover)]]</f>
        <v>60725.307692307695</v>
      </c>
      <c r="S184" s="97">
        <v>0</v>
      </c>
    </row>
    <row r="185" spans="1:19" s="98" customFormat="1" x14ac:dyDescent="0.3">
      <c r="A185" s="94" t="s">
        <v>1335</v>
      </c>
      <c r="B185" s="94" t="s">
        <v>164</v>
      </c>
      <c r="C185" s="94" t="s">
        <v>61</v>
      </c>
      <c r="D185" s="94" t="s">
        <v>778</v>
      </c>
      <c r="E185" s="94" t="s">
        <v>1353</v>
      </c>
      <c r="F185" s="143">
        <v>27505</v>
      </c>
      <c r="G185" s="86" t="s">
        <v>284</v>
      </c>
      <c r="H185" s="140">
        <v>46244</v>
      </c>
      <c r="I185" s="96">
        <v>12750</v>
      </c>
      <c r="J185" s="97">
        <f>Table1[[#This Row],[DAY RATE]]*22*12</f>
        <v>3366000</v>
      </c>
      <c r="K185" s="97">
        <f>Table1[[#This Row],[Annual Salary]]*3</f>
        <v>10098000</v>
      </c>
      <c r="L185" s="97">
        <f>6/1000*Table1[[#This Row],[Sum Assured]]</f>
        <v>60588</v>
      </c>
      <c r="M185" s="96">
        <v>50000</v>
      </c>
      <c r="N185" s="96">
        <f>0.09%*Table1[[#This Row],[Permanent Disability]]</f>
        <v>45</v>
      </c>
      <c r="O185" s="96">
        <v>250000</v>
      </c>
      <c r="P185" s="96">
        <v>50000</v>
      </c>
      <c r="Q185" s="70">
        <v>92.307692307692307</v>
      </c>
      <c r="R185" s="70">
        <f>Table1[[#This Row],[Death Premium]]+Table1[[#This Row],[PD Premium]]+Table1[[#This Row],[Riders'' premium (Burial expenses &amp; Spousal cover)]]</f>
        <v>60725.307692307695</v>
      </c>
      <c r="S185" s="97">
        <v>0</v>
      </c>
    </row>
    <row r="186" spans="1:19" s="98" customFormat="1" x14ac:dyDescent="0.3">
      <c r="A186" s="99">
        <f>SUBTOTAL(103,Table1[Emp. Code])</f>
        <v>184</v>
      </c>
      <c r="B186" s="99"/>
      <c r="C186" s="99"/>
      <c r="D186" s="99"/>
      <c r="E186" s="99"/>
      <c r="F186" s="100"/>
      <c r="G186" s="100"/>
      <c r="H186" s="100"/>
      <c r="I186" s="101">
        <f>SUBTOTAL(109,Table1[DAY RATE])</f>
        <v>1973462</v>
      </c>
      <c r="J186" s="101">
        <f>SUBTOTAL(109,Table1[Annual Salary])</f>
        <v>520993968</v>
      </c>
      <c r="K186" s="101">
        <f>SUBTOTAL(109,Table1[Sum Assured])</f>
        <v>1562981904</v>
      </c>
      <c r="L186" s="101">
        <f>SUBTOTAL(109,Table1[Death Premium])</f>
        <v>9377891.4239999931</v>
      </c>
      <c r="M186" s="101">
        <f>SUBTOTAL(109,Table1[Permanent Disability])</f>
        <v>9200000</v>
      </c>
      <c r="N186" s="101">
        <f>SUBTOTAL(109,Table1[PD Premium])</f>
        <v>8280</v>
      </c>
      <c r="O186" s="101">
        <f>SUBTOTAL(109,Table1[Burial Expenses])</f>
        <v>46000000</v>
      </c>
      <c r="P186" s="101">
        <f>SUBTOTAL(109,Table1[Spouse Benefits])</f>
        <v>9200000</v>
      </c>
      <c r="Q186" s="101">
        <f>SUBTOTAL(109,Table1[Riders'' premium (Burial expenses &amp; Spousal cover)])</f>
        <v>16984.61538461531</v>
      </c>
      <c r="R186" s="101">
        <f>SUBTOTAL(109,Table1[Total Premium])</f>
        <v>9403156.0393846054</v>
      </c>
      <c r="S186" s="99"/>
    </row>
    <row r="187" spans="1:19" s="98" customFormat="1" x14ac:dyDescent="0.3">
      <c r="A187"/>
      <c r="B187"/>
      <c r="C187"/>
      <c r="D187"/>
      <c r="E187"/>
      <c r="F187" s="85"/>
      <c r="G187" s="85"/>
      <c r="H187" s="85"/>
      <c r="I187"/>
      <c r="J187"/>
      <c r="K187"/>
      <c r="L187"/>
      <c r="M187"/>
      <c r="N187"/>
      <c r="O187"/>
      <c r="P187"/>
      <c r="Q187"/>
      <c r="R187"/>
    </row>
    <row r="188" spans="1:19" s="84" customFormat="1" x14ac:dyDescent="0.3">
      <c r="A188"/>
      <c r="B188"/>
      <c r="C188"/>
      <c r="D188" s="85"/>
      <c r="E188" s="85"/>
      <c r="F188" s="85"/>
      <c r="G188"/>
      <c r="H188"/>
      <c r="I188"/>
      <c r="J188"/>
      <c r="K188"/>
      <c r="L188"/>
      <c r="M188"/>
      <c r="N188"/>
      <c r="O188" s="71"/>
    </row>
  </sheetData>
  <phoneticPr fontId="16" type="noConversion"/>
  <conditionalFormatting sqref="A1:A187">
    <cfRule type="duplicateValues" dxfId="28" priority="1951"/>
    <cfRule type="duplicateValues" dxfId="27" priority="1952"/>
    <cfRule type="duplicateValues" dxfId="26" priority="1953"/>
    <cfRule type="duplicateValues" dxfId="25" priority="1954"/>
    <cfRule type="duplicateValues" dxfId="24" priority="1955"/>
    <cfRule type="duplicateValues" dxfId="23" priority="1956"/>
    <cfRule type="duplicateValues" dxfId="22" priority="1957"/>
    <cfRule type="duplicateValues" dxfId="21" priority="1958" stopIfTrue="1"/>
  </conditionalFormatting>
  <conditionalFormatting sqref="A1:A188">
    <cfRule type="duplicateValues" dxfId="20" priority="1950"/>
  </conditionalFormatting>
  <conditionalFormatting sqref="A1:A1048576">
    <cfRule type="duplicateValues" dxfId="19" priority="56"/>
  </conditionalFormatting>
  <conditionalFormatting sqref="A2:A185">
    <cfRule type="duplicateValues" dxfId="18" priority="1949" stopIfTrue="1"/>
  </conditionalFormatting>
  <pageMargins left="0.7" right="0.7" top="0.75" bottom="0.75" header="0.3" footer="0.3"/>
  <pageSetup paperSize="9" scale="11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8C5F-9ABD-419E-B2FD-BC66DAA6E960}">
  <sheetPr>
    <pageSetUpPr fitToPage="1"/>
  </sheetPr>
  <dimension ref="A1:S74"/>
  <sheetViews>
    <sheetView topLeftCell="I67" zoomScale="80" zoomScaleNormal="80" workbookViewId="0">
      <selection activeCell="O74" sqref="O74"/>
    </sheetView>
  </sheetViews>
  <sheetFormatPr defaultRowHeight="14.4" x14ac:dyDescent="0.3"/>
  <cols>
    <col min="1" max="1" width="17.21875" bestFit="1" customWidth="1"/>
    <col min="2" max="2" width="17.21875" customWidth="1"/>
    <col min="3" max="3" width="21.77734375" bestFit="1" customWidth="1"/>
    <col min="4" max="4" width="44.6640625" bestFit="1" customWidth="1"/>
    <col min="5" max="5" width="28.77734375" customWidth="1"/>
    <col min="6" max="6" width="14.77734375" customWidth="1"/>
    <col min="7" max="7" width="11.77734375" customWidth="1"/>
    <col min="8" max="8" width="19" bestFit="1" customWidth="1"/>
    <col min="9" max="9" width="20.21875" customWidth="1"/>
    <col min="10" max="10" width="22" bestFit="1" customWidth="1"/>
    <col min="11" max="12" width="18.21875" customWidth="1"/>
    <col min="13" max="13" width="17.77734375" bestFit="1" customWidth="1"/>
    <col min="14" max="14" width="17.77734375" customWidth="1"/>
    <col min="15" max="15" width="22.21875" bestFit="1" customWidth="1"/>
    <col min="16" max="16" width="17.44140625" bestFit="1" customWidth="1"/>
    <col min="17" max="17" width="17.44140625" customWidth="1"/>
    <col min="18" max="18" width="17.77734375" bestFit="1" customWidth="1"/>
    <col min="19" max="19" width="13.6640625" customWidth="1"/>
  </cols>
  <sheetData>
    <row r="1" spans="1:19" ht="43.8" thickBot="1" x14ac:dyDescent="0.35">
      <c r="A1" t="s">
        <v>1093</v>
      </c>
      <c r="B1" t="s">
        <v>1094</v>
      </c>
      <c r="C1" t="s">
        <v>1095</v>
      </c>
      <c r="D1" t="s">
        <v>1096</v>
      </c>
      <c r="E1" t="s">
        <v>23</v>
      </c>
      <c r="F1" t="s">
        <v>956</v>
      </c>
      <c r="G1" s="74" t="s">
        <v>17</v>
      </c>
      <c r="H1" s="74" t="s">
        <v>18</v>
      </c>
      <c r="I1" t="s">
        <v>1097</v>
      </c>
      <c r="J1" t="s">
        <v>297</v>
      </c>
      <c r="K1" t="s">
        <v>25</v>
      </c>
      <c r="L1" t="s">
        <v>1562</v>
      </c>
      <c r="M1" t="s">
        <v>298</v>
      </c>
      <c r="N1" t="s">
        <v>1561</v>
      </c>
      <c r="O1" t="s">
        <v>27</v>
      </c>
      <c r="P1" t="s">
        <v>28</v>
      </c>
      <c r="Q1" s="149" t="s">
        <v>1563</v>
      </c>
      <c r="R1" t="s">
        <v>29</v>
      </c>
      <c r="S1" t="s">
        <v>1368</v>
      </c>
    </row>
    <row r="2" spans="1:19" x14ac:dyDescent="0.3">
      <c r="A2" t="s">
        <v>1098</v>
      </c>
      <c r="B2" t="s">
        <v>789</v>
      </c>
      <c r="C2" t="s">
        <v>788</v>
      </c>
      <c r="D2" t="s">
        <v>790</v>
      </c>
      <c r="E2" t="s">
        <v>34</v>
      </c>
      <c r="F2" s="86">
        <v>25934</v>
      </c>
      <c r="G2" s="86" t="s">
        <v>1186</v>
      </c>
      <c r="H2" s="86">
        <v>44621</v>
      </c>
      <c r="I2" s="70">
        <v>368447.2</v>
      </c>
      <c r="J2" s="70">
        <f>Table2[[#This Row],[LUMPSUM AMOUNT]]*12</f>
        <v>4421366.4000000004</v>
      </c>
      <c r="K2" s="70">
        <f>Table2[[#This Row],[Annual Salary]]*3</f>
        <v>13264099.200000001</v>
      </c>
      <c r="L2" s="70">
        <f>6/1000*Table2[[#This Row],[Sum Assured]]</f>
        <v>79584.595200000011</v>
      </c>
      <c r="M2" s="69">
        <v>50000</v>
      </c>
      <c r="N2" s="69">
        <f>0.09%*Table2[[#This Row],[Permanent Disability]]</f>
        <v>45</v>
      </c>
      <c r="O2" s="69">
        <v>250000</v>
      </c>
      <c r="P2" s="69">
        <v>50000</v>
      </c>
      <c r="Q2" s="69">
        <v>92.307692307692307</v>
      </c>
      <c r="R2" s="70">
        <f>Table2[[#This Row],[Death Premium]]+Table2[[#This Row],[PD Premium]]+Table2[[#This Row],[Riders'' premium (Burial expenses &amp; Spousal cover)]]</f>
        <v>79721.902892307698</v>
      </c>
      <c r="S2" s="70" t="s">
        <v>1370</v>
      </c>
    </row>
    <row r="3" spans="1:19" x14ac:dyDescent="0.3">
      <c r="A3" t="s">
        <v>1099</v>
      </c>
      <c r="B3" t="s">
        <v>792</v>
      </c>
      <c r="C3" t="s">
        <v>498</v>
      </c>
      <c r="D3" t="s">
        <v>793</v>
      </c>
      <c r="E3" t="s">
        <v>34</v>
      </c>
      <c r="F3" s="86">
        <v>25272</v>
      </c>
      <c r="G3" s="86" t="s">
        <v>1186</v>
      </c>
      <c r="H3" s="86">
        <v>44564</v>
      </c>
      <c r="I3" s="70">
        <v>186250</v>
      </c>
      <c r="J3" s="70">
        <f>Table2[[#This Row],[LUMPSUM AMOUNT]]*12</f>
        <v>2235000</v>
      </c>
      <c r="K3" s="70">
        <f>Table2[[#This Row],[Annual Salary]]*3</f>
        <v>6705000</v>
      </c>
      <c r="L3" s="70">
        <f>6/1000*Table2[[#This Row],[Sum Assured]]</f>
        <v>40230</v>
      </c>
      <c r="M3" s="69">
        <v>50000</v>
      </c>
      <c r="N3" s="69">
        <f>0.09%*Table2[[#This Row],[Permanent Disability]]</f>
        <v>45</v>
      </c>
      <c r="O3" s="69">
        <v>250000</v>
      </c>
      <c r="P3" s="69">
        <v>50000</v>
      </c>
      <c r="Q3" s="69">
        <v>92.307692307692307</v>
      </c>
      <c r="R3" s="70">
        <f>Table2[[#This Row],[Death Premium]]+Table2[[#This Row],[PD Premium]]+Table2[[#This Row],[Riders'' premium (Burial expenses &amp; Spousal cover)]]</f>
        <v>40367.307692307695</v>
      </c>
      <c r="S3" s="70" t="s">
        <v>1371</v>
      </c>
    </row>
    <row r="4" spans="1:19" x14ac:dyDescent="0.3">
      <c r="A4" t="s">
        <v>1100</v>
      </c>
      <c r="B4" t="s">
        <v>812</v>
      </c>
      <c r="C4" t="s">
        <v>753</v>
      </c>
      <c r="D4" t="s">
        <v>813</v>
      </c>
      <c r="E4" t="s">
        <v>34</v>
      </c>
      <c r="F4" s="86">
        <v>31340</v>
      </c>
      <c r="G4" s="86" t="s">
        <v>1186</v>
      </c>
      <c r="H4" s="86">
        <v>44340</v>
      </c>
      <c r="I4" s="70">
        <v>576650</v>
      </c>
      <c r="J4" s="70">
        <f>Table2[[#This Row],[LUMPSUM AMOUNT]]*12</f>
        <v>6919800</v>
      </c>
      <c r="K4" s="70">
        <f>Table2[[#This Row],[Annual Salary]]*3</f>
        <v>20759400</v>
      </c>
      <c r="L4" s="70">
        <f>6/1000*Table2[[#This Row],[Sum Assured]]</f>
        <v>124556.40000000001</v>
      </c>
      <c r="M4" s="69">
        <v>50000</v>
      </c>
      <c r="N4" s="69">
        <f>0.09%*Table2[[#This Row],[Permanent Disability]]</f>
        <v>45</v>
      </c>
      <c r="O4" s="69">
        <v>250000</v>
      </c>
      <c r="P4" s="69">
        <v>50000</v>
      </c>
      <c r="Q4" s="69">
        <v>92.307692307692307</v>
      </c>
      <c r="R4" s="70">
        <f>Table2[[#This Row],[Death Premium]]+Table2[[#This Row],[PD Premium]]+Table2[[#This Row],[Riders'' premium (Burial expenses &amp; Spousal cover)]]</f>
        <v>124693.7076923077</v>
      </c>
      <c r="S4" s="70" t="s">
        <v>1372</v>
      </c>
    </row>
    <row r="5" spans="1:19" x14ac:dyDescent="0.3">
      <c r="A5" t="s">
        <v>1101</v>
      </c>
      <c r="B5" t="s">
        <v>493</v>
      </c>
      <c r="C5" t="s">
        <v>829</v>
      </c>
      <c r="D5" t="s">
        <v>793</v>
      </c>
      <c r="E5" t="s">
        <v>34</v>
      </c>
      <c r="F5" s="86">
        <v>33925</v>
      </c>
      <c r="G5" s="86" t="s">
        <v>1186</v>
      </c>
      <c r="H5" s="86">
        <v>44564</v>
      </c>
      <c r="I5" s="70">
        <v>186250</v>
      </c>
      <c r="J5" s="70">
        <f>Table2[[#This Row],[LUMPSUM AMOUNT]]*12</f>
        <v>2235000</v>
      </c>
      <c r="K5" s="70">
        <f>Table2[[#This Row],[Annual Salary]]*3</f>
        <v>6705000</v>
      </c>
      <c r="L5" s="70">
        <f>6/1000*Table2[[#This Row],[Sum Assured]]</f>
        <v>40230</v>
      </c>
      <c r="M5" s="69">
        <v>50000</v>
      </c>
      <c r="N5" s="69">
        <f>0.09%*Table2[[#This Row],[Permanent Disability]]</f>
        <v>45</v>
      </c>
      <c r="O5" s="69">
        <v>250000</v>
      </c>
      <c r="P5" s="69">
        <v>50000</v>
      </c>
      <c r="Q5" s="69">
        <v>92.307692307692307</v>
      </c>
      <c r="R5" s="70">
        <f>Table2[[#This Row],[Death Premium]]+Table2[[#This Row],[PD Premium]]+Table2[[#This Row],[Riders'' premium (Burial expenses &amp; Spousal cover)]]</f>
        <v>40367.307692307695</v>
      </c>
      <c r="S5" s="70" t="s">
        <v>1373</v>
      </c>
    </row>
    <row r="6" spans="1:19" x14ac:dyDescent="0.3">
      <c r="A6" t="s">
        <v>1102</v>
      </c>
      <c r="B6" t="s">
        <v>833</v>
      </c>
      <c r="C6" t="s">
        <v>832</v>
      </c>
      <c r="D6" t="s">
        <v>834</v>
      </c>
      <c r="E6" t="s">
        <v>34</v>
      </c>
      <c r="F6" s="86">
        <v>25934</v>
      </c>
      <c r="G6" s="86" t="s">
        <v>1186</v>
      </c>
      <c r="H6" s="86">
        <v>43179</v>
      </c>
      <c r="I6" s="70">
        <v>346342.98</v>
      </c>
      <c r="J6" s="70">
        <f>Table2[[#This Row],[LUMPSUM AMOUNT]]*12</f>
        <v>4156115.76</v>
      </c>
      <c r="K6" s="70">
        <f>Table2[[#This Row],[Annual Salary]]*3</f>
        <v>12468347.279999999</v>
      </c>
      <c r="L6" s="70">
        <f>6/1000*Table2[[#This Row],[Sum Assured]]</f>
        <v>74810.083679999996</v>
      </c>
      <c r="M6" s="69">
        <v>50000</v>
      </c>
      <c r="N6" s="69">
        <f>0.09%*Table2[[#This Row],[Permanent Disability]]</f>
        <v>45</v>
      </c>
      <c r="O6" s="69">
        <v>250000</v>
      </c>
      <c r="P6" s="69">
        <v>50000</v>
      </c>
      <c r="Q6" s="69">
        <v>92.307692307692307</v>
      </c>
      <c r="R6" s="70">
        <f>Table2[[#This Row],[Death Premium]]+Table2[[#This Row],[PD Premium]]+Table2[[#This Row],[Riders'' premium (Burial expenses &amp; Spousal cover)]]</f>
        <v>74947.391372307684</v>
      </c>
      <c r="S6" s="70" t="s">
        <v>1374</v>
      </c>
    </row>
    <row r="7" spans="1:19" x14ac:dyDescent="0.3">
      <c r="A7" t="s">
        <v>1103</v>
      </c>
      <c r="B7" t="s">
        <v>842</v>
      </c>
      <c r="C7" t="s">
        <v>118</v>
      </c>
      <c r="D7" t="s">
        <v>795</v>
      </c>
      <c r="E7" t="s">
        <v>34</v>
      </c>
      <c r="F7" s="86">
        <v>25934</v>
      </c>
      <c r="G7" s="86" t="s">
        <v>1186</v>
      </c>
      <c r="H7" s="86">
        <v>43444</v>
      </c>
      <c r="I7" s="70">
        <v>190000</v>
      </c>
      <c r="J7" s="70">
        <f>Table2[[#This Row],[LUMPSUM AMOUNT]]*12</f>
        <v>2280000</v>
      </c>
      <c r="K7" s="70">
        <f>Table2[[#This Row],[Annual Salary]]*3</f>
        <v>6840000</v>
      </c>
      <c r="L7" s="70">
        <f>6/1000*Table2[[#This Row],[Sum Assured]]</f>
        <v>41040</v>
      </c>
      <c r="M7" s="69">
        <v>50000</v>
      </c>
      <c r="N7" s="69">
        <f>0.09%*Table2[[#This Row],[Permanent Disability]]</f>
        <v>45</v>
      </c>
      <c r="O7" s="69">
        <v>250000</v>
      </c>
      <c r="P7" s="69">
        <v>50000</v>
      </c>
      <c r="Q7" s="69">
        <v>92.307692307692307</v>
      </c>
      <c r="R7" s="70">
        <f>Table2[[#This Row],[Death Premium]]+Table2[[#This Row],[PD Premium]]+Table2[[#This Row],[Riders'' premium (Burial expenses &amp; Spousal cover)]]</f>
        <v>41177.307692307695</v>
      </c>
      <c r="S7" s="70" t="s">
        <v>1375</v>
      </c>
    </row>
    <row r="8" spans="1:19" x14ac:dyDescent="0.3">
      <c r="A8" t="s">
        <v>1104</v>
      </c>
      <c r="B8" t="s">
        <v>854</v>
      </c>
      <c r="C8" t="s">
        <v>185</v>
      </c>
      <c r="D8" t="s">
        <v>795</v>
      </c>
      <c r="E8" t="s">
        <v>34</v>
      </c>
      <c r="F8" s="86">
        <v>25934</v>
      </c>
      <c r="G8" s="86" t="s">
        <v>1186</v>
      </c>
      <c r="H8" s="86">
        <v>44564</v>
      </c>
      <c r="I8" s="70">
        <v>180000</v>
      </c>
      <c r="J8" s="70">
        <f>Table2[[#This Row],[LUMPSUM AMOUNT]]*12</f>
        <v>2160000</v>
      </c>
      <c r="K8" s="70">
        <f>Table2[[#This Row],[Annual Salary]]*3</f>
        <v>6480000</v>
      </c>
      <c r="L8" s="70">
        <f>6/1000*Table2[[#This Row],[Sum Assured]]</f>
        <v>38880</v>
      </c>
      <c r="M8" s="69">
        <v>50000</v>
      </c>
      <c r="N8" s="69">
        <f>0.09%*Table2[[#This Row],[Permanent Disability]]</f>
        <v>45</v>
      </c>
      <c r="O8" s="69">
        <v>250000</v>
      </c>
      <c r="P8" s="69">
        <v>50000</v>
      </c>
      <c r="Q8" s="69">
        <v>92.307692307692307</v>
      </c>
      <c r="R8" s="70">
        <f>Table2[[#This Row],[Death Premium]]+Table2[[#This Row],[PD Premium]]+Table2[[#This Row],[Riders'' premium (Burial expenses &amp; Spousal cover)]]</f>
        <v>39017.307692307695</v>
      </c>
      <c r="S8" s="70">
        <v>0</v>
      </c>
    </row>
    <row r="9" spans="1:19" x14ac:dyDescent="0.3">
      <c r="A9" t="s">
        <v>1105</v>
      </c>
      <c r="B9" t="s">
        <v>379</v>
      </c>
      <c r="C9" t="s">
        <v>858</v>
      </c>
      <c r="D9" t="s">
        <v>795</v>
      </c>
      <c r="E9" t="s">
        <v>34</v>
      </c>
      <c r="F9" s="86">
        <v>25934</v>
      </c>
      <c r="G9" s="86" t="s">
        <v>1186</v>
      </c>
      <c r="H9" s="86">
        <v>44564</v>
      </c>
      <c r="I9" s="70">
        <v>170000</v>
      </c>
      <c r="J9" s="70">
        <f>Table2[[#This Row],[LUMPSUM AMOUNT]]*12</f>
        <v>2040000</v>
      </c>
      <c r="K9" s="70">
        <f>Table2[[#This Row],[Annual Salary]]*3</f>
        <v>6120000</v>
      </c>
      <c r="L9" s="70">
        <f>6/1000*Table2[[#This Row],[Sum Assured]]</f>
        <v>36720</v>
      </c>
      <c r="M9" s="69">
        <v>50000</v>
      </c>
      <c r="N9" s="69">
        <f>0.09%*Table2[[#This Row],[Permanent Disability]]</f>
        <v>45</v>
      </c>
      <c r="O9" s="69">
        <v>250000</v>
      </c>
      <c r="P9" s="69">
        <v>50000</v>
      </c>
      <c r="Q9" s="69">
        <v>92.307692307692307</v>
      </c>
      <c r="R9" s="70">
        <f>Table2[[#This Row],[Death Premium]]+Table2[[#This Row],[PD Premium]]+Table2[[#This Row],[Riders'' premium (Burial expenses &amp; Spousal cover)]]</f>
        <v>36857.307692307695</v>
      </c>
      <c r="S9" s="70">
        <v>0</v>
      </c>
    </row>
    <row r="10" spans="1:19" x14ac:dyDescent="0.3">
      <c r="A10" t="s">
        <v>1106</v>
      </c>
      <c r="B10" t="s">
        <v>860</v>
      </c>
      <c r="C10" t="s">
        <v>859</v>
      </c>
      <c r="D10" t="s">
        <v>861</v>
      </c>
      <c r="E10" t="s">
        <v>34</v>
      </c>
      <c r="F10" s="86">
        <v>25934</v>
      </c>
      <c r="G10" s="86" t="s">
        <v>1186</v>
      </c>
      <c r="H10" s="86">
        <v>44564</v>
      </c>
      <c r="I10" s="70">
        <v>70707.070000000007</v>
      </c>
      <c r="J10" s="70">
        <f>Table2[[#This Row],[LUMPSUM AMOUNT]]*12</f>
        <v>848484.84000000008</v>
      </c>
      <c r="K10" s="70">
        <f>Table2[[#This Row],[Annual Salary]]*3</f>
        <v>2545454.5200000005</v>
      </c>
      <c r="L10" s="70">
        <f>6/1000*Table2[[#This Row],[Sum Assured]]</f>
        <v>15272.727120000003</v>
      </c>
      <c r="M10" s="69">
        <v>50000</v>
      </c>
      <c r="N10" s="69">
        <f>0.09%*Table2[[#This Row],[Permanent Disability]]</f>
        <v>45</v>
      </c>
      <c r="O10" s="69">
        <v>250000</v>
      </c>
      <c r="P10" s="69">
        <v>50000</v>
      </c>
      <c r="Q10" s="69">
        <v>92.307692307692307</v>
      </c>
      <c r="R10" s="70">
        <f>Table2[[#This Row],[Death Premium]]+Table2[[#This Row],[PD Premium]]+Table2[[#This Row],[Riders'' premium (Burial expenses &amp; Spousal cover)]]</f>
        <v>15410.034812307695</v>
      </c>
      <c r="S10" s="70">
        <v>0</v>
      </c>
    </row>
    <row r="11" spans="1:19" x14ac:dyDescent="0.3">
      <c r="A11" t="s">
        <v>1107</v>
      </c>
      <c r="B11" t="s">
        <v>717</v>
      </c>
      <c r="C11" t="s">
        <v>888</v>
      </c>
      <c r="D11" t="s">
        <v>107</v>
      </c>
      <c r="E11" t="s">
        <v>34</v>
      </c>
      <c r="F11" s="86">
        <v>25934</v>
      </c>
      <c r="G11" s="86" t="s">
        <v>1186</v>
      </c>
      <c r="H11" s="86">
        <v>44760</v>
      </c>
      <c r="I11" s="70">
        <v>262500</v>
      </c>
      <c r="J11" s="70">
        <f>Table2[[#This Row],[LUMPSUM AMOUNT]]*12</f>
        <v>3150000</v>
      </c>
      <c r="K11" s="70">
        <f>Table2[[#This Row],[Annual Salary]]*3</f>
        <v>9450000</v>
      </c>
      <c r="L11" s="70">
        <f>6/1000*Table2[[#This Row],[Sum Assured]]</f>
        <v>56700</v>
      </c>
      <c r="M11" s="69">
        <v>50000</v>
      </c>
      <c r="N11" s="69">
        <f>0.09%*Table2[[#This Row],[Permanent Disability]]</f>
        <v>45</v>
      </c>
      <c r="O11" s="69">
        <v>250000</v>
      </c>
      <c r="P11" s="69">
        <v>50000</v>
      </c>
      <c r="Q11" s="69">
        <v>92.307692307692307</v>
      </c>
      <c r="R11" s="70">
        <f>Table2[[#This Row],[Death Premium]]+Table2[[#This Row],[PD Premium]]+Table2[[#This Row],[Riders'' premium (Burial expenses &amp; Spousal cover)]]</f>
        <v>56837.307692307695</v>
      </c>
      <c r="S11" s="70">
        <v>0</v>
      </c>
    </row>
    <row r="12" spans="1:19" x14ac:dyDescent="0.3">
      <c r="A12" t="s">
        <v>1108</v>
      </c>
      <c r="B12" t="s">
        <v>948</v>
      </c>
      <c r="C12" t="s">
        <v>947</v>
      </c>
      <c r="D12" t="s">
        <v>871</v>
      </c>
      <c r="E12" t="s">
        <v>34</v>
      </c>
      <c r="F12" s="86">
        <v>35776</v>
      </c>
      <c r="G12" s="86" t="s">
        <v>1186</v>
      </c>
      <c r="H12" s="86">
        <v>45769</v>
      </c>
      <c r="I12" s="70">
        <v>317358.33</v>
      </c>
      <c r="J12" s="70">
        <f>Table2[[#This Row],[LUMPSUM AMOUNT]]*12</f>
        <v>3808299.96</v>
      </c>
      <c r="K12" s="70">
        <f>Table2[[#This Row],[Annual Salary]]*3</f>
        <v>11424899.879999999</v>
      </c>
      <c r="L12" s="70">
        <f>6/1000*Table2[[#This Row],[Sum Assured]]</f>
        <v>68549.399279999998</v>
      </c>
      <c r="M12" s="69">
        <v>50000</v>
      </c>
      <c r="N12" s="69">
        <f>0.09%*Table2[[#This Row],[Permanent Disability]]</f>
        <v>45</v>
      </c>
      <c r="O12" s="69">
        <v>250000</v>
      </c>
      <c r="P12" s="69">
        <v>50000</v>
      </c>
      <c r="Q12" s="69">
        <v>92.307692307692307</v>
      </c>
      <c r="R12" s="70">
        <f>Table2[[#This Row],[Death Premium]]+Table2[[#This Row],[PD Premium]]+Table2[[#This Row],[Riders'' premium (Burial expenses &amp; Spousal cover)]]</f>
        <v>68686.706972307686</v>
      </c>
      <c r="S12" s="70">
        <v>0</v>
      </c>
    </row>
    <row r="13" spans="1:19" x14ac:dyDescent="0.3">
      <c r="A13" t="s">
        <v>1109</v>
      </c>
      <c r="B13" t="s">
        <v>630</v>
      </c>
      <c r="C13" t="s">
        <v>485</v>
      </c>
      <c r="D13" t="s">
        <v>795</v>
      </c>
      <c r="E13" t="s">
        <v>43</v>
      </c>
      <c r="F13" s="86">
        <v>25934</v>
      </c>
      <c r="G13" s="86" t="s">
        <v>1186</v>
      </c>
      <c r="H13" s="131">
        <v>39882</v>
      </c>
      <c r="I13" s="70">
        <v>194900</v>
      </c>
      <c r="J13" s="70">
        <f>Table2[[#This Row],[LUMPSUM AMOUNT]]*12</f>
        <v>2338800</v>
      </c>
      <c r="K13" s="70">
        <f>Table2[[#This Row],[Annual Salary]]*3</f>
        <v>7016400</v>
      </c>
      <c r="L13" s="70">
        <f>6/1000*Table2[[#This Row],[Sum Assured]]</f>
        <v>42098.400000000001</v>
      </c>
      <c r="M13" s="69">
        <v>50000</v>
      </c>
      <c r="N13" s="69">
        <f>0.09%*Table2[[#This Row],[Permanent Disability]]</f>
        <v>45</v>
      </c>
      <c r="O13" s="69">
        <v>250000</v>
      </c>
      <c r="P13" s="69">
        <v>50000</v>
      </c>
      <c r="Q13" s="69">
        <v>92.307692307692307</v>
      </c>
      <c r="R13" s="70">
        <f>Table2[[#This Row],[Death Premium]]+Table2[[#This Row],[PD Premium]]+Table2[[#This Row],[Riders'' premium (Burial expenses &amp; Spousal cover)]]</f>
        <v>42235.707692307697</v>
      </c>
      <c r="S13" s="70">
        <v>0</v>
      </c>
    </row>
    <row r="14" spans="1:19" x14ac:dyDescent="0.3">
      <c r="A14" t="s">
        <v>1110</v>
      </c>
      <c r="B14" t="s">
        <v>798</v>
      </c>
      <c r="C14" t="s">
        <v>797</v>
      </c>
      <c r="D14" t="s">
        <v>799</v>
      </c>
      <c r="E14" t="s">
        <v>664</v>
      </c>
      <c r="F14" s="86">
        <v>25874</v>
      </c>
      <c r="G14" s="86" t="s">
        <v>1186</v>
      </c>
      <c r="H14" s="131">
        <v>39631</v>
      </c>
      <c r="I14" s="70">
        <v>401172.04</v>
      </c>
      <c r="J14" s="70">
        <f>Table2[[#This Row],[LUMPSUM AMOUNT]]*12</f>
        <v>4814064.4799999995</v>
      </c>
      <c r="K14" s="70">
        <f>Table2[[#This Row],[Annual Salary]]*3</f>
        <v>14442193.439999998</v>
      </c>
      <c r="L14" s="70">
        <f>6/1000*Table2[[#This Row],[Sum Assured]]</f>
        <v>86653.160639999987</v>
      </c>
      <c r="M14" s="69">
        <v>50000</v>
      </c>
      <c r="N14" s="69">
        <f>0.09%*Table2[[#This Row],[Permanent Disability]]</f>
        <v>45</v>
      </c>
      <c r="O14" s="69">
        <v>250000</v>
      </c>
      <c r="P14" s="69">
        <v>50000</v>
      </c>
      <c r="Q14" s="69">
        <v>92.307692307692307</v>
      </c>
      <c r="R14" s="70">
        <f>Table2[[#This Row],[Death Premium]]+Table2[[#This Row],[PD Premium]]+Table2[[#This Row],[Riders'' premium (Burial expenses &amp; Spousal cover)]]</f>
        <v>86790.468332307675</v>
      </c>
      <c r="S14" s="70" t="s">
        <v>1376</v>
      </c>
    </row>
    <row r="15" spans="1:19" x14ac:dyDescent="0.3">
      <c r="A15" t="s">
        <v>1111</v>
      </c>
      <c r="B15" t="s">
        <v>803</v>
      </c>
      <c r="C15" t="s">
        <v>498</v>
      </c>
      <c r="D15" t="s">
        <v>804</v>
      </c>
      <c r="E15" t="s">
        <v>34</v>
      </c>
      <c r="F15" s="86">
        <v>26417</v>
      </c>
      <c r="G15" s="86" t="s">
        <v>1186</v>
      </c>
      <c r="H15" s="131">
        <v>39939</v>
      </c>
      <c r="I15" s="70">
        <v>731080.05</v>
      </c>
      <c r="J15" s="70">
        <f>Table2[[#This Row],[LUMPSUM AMOUNT]]*12</f>
        <v>8772960.6000000015</v>
      </c>
      <c r="K15" s="70">
        <f>Table2[[#This Row],[Annual Salary]]*3</f>
        <v>26318881.800000004</v>
      </c>
      <c r="L15" s="70">
        <f>6/1000*Table2[[#This Row],[Sum Assured]]</f>
        <v>157913.29080000002</v>
      </c>
      <c r="M15" s="69">
        <v>50000</v>
      </c>
      <c r="N15" s="69">
        <f>0.09%*Table2[[#This Row],[Permanent Disability]]</f>
        <v>45</v>
      </c>
      <c r="O15" s="69">
        <v>250000</v>
      </c>
      <c r="P15" s="69">
        <v>50000</v>
      </c>
      <c r="Q15" s="69">
        <v>92.307692307692307</v>
      </c>
      <c r="R15" s="70">
        <f>Table2[[#This Row],[Death Premium]]+Table2[[#This Row],[PD Premium]]+Table2[[#This Row],[Riders'' premium (Burial expenses &amp; Spousal cover)]]</f>
        <v>158050.5984923077</v>
      </c>
      <c r="S15" s="70" t="s">
        <v>1377</v>
      </c>
    </row>
    <row r="16" spans="1:19" x14ac:dyDescent="0.3">
      <c r="A16" t="s">
        <v>1112</v>
      </c>
      <c r="B16" t="s">
        <v>1113</v>
      </c>
      <c r="C16" t="s">
        <v>806</v>
      </c>
      <c r="D16" t="s">
        <v>808</v>
      </c>
      <c r="E16" t="s">
        <v>664</v>
      </c>
      <c r="F16" s="86">
        <v>25934</v>
      </c>
      <c r="G16" s="86" t="s">
        <v>1186</v>
      </c>
      <c r="H16" s="131">
        <v>41106</v>
      </c>
      <c r="I16" s="70">
        <v>351616.88</v>
      </c>
      <c r="J16" s="70">
        <f>Table2[[#This Row],[LUMPSUM AMOUNT]]*12</f>
        <v>4219402.5600000005</v>
      </c>
      <c r="K16" s="70">
        <f>Table2[[#This Row],[Annual Salary]]*3</f>
        <v>12658207.680000002</v>
      </c>
      <c r="L16" s="70">
        <f>6/1000*Table2[[#This Row],[Sum Assured]]</f>
        <v>75949.246080000012</v>
      </c>
      <c r="M16" s="69">
        <v>50000</v>
      </c>
      <c r="N16" s="69">
        <f>0.09%*Table2[[#This Row],[Permanent Disability]]</f>
        <v>45</v>
      </c>
      <c r="O16" s="69">
        <v>250000</v>
      </c>
      <c r="P16" s="69">
        <v>50000</v>
      </c>
      <c r="Q16" s="69">
        <v>92.307692307692307</v>
      </c>
      <c r="R16" s="70">
        <f>Table2[[#This Row],[Death Premium]]+Table2[[#This Row],[PD Premium]]+Table2[[#This Row],[Riders'' premium (Burial expenses &amp; Spousal cover)]]</f>
        <v>76086.5537723077</v>
      </c>
      <c r="S16" s="70">
        <v>0</v>
      </c>
    </row>
    <row r="17" spans="1:19" x14ac:dyDescent="0.3">
      <c r="A17" t="s">
        <v>1114</v>
      </c>
      <c r="B17" t="s">
        <v>810</v>
      </c>
      <c r="C17" t="s">
        <v>809</v>
      </c>
      <c r="D17" t="s">
        <v>811</v>
      </c>
      <c r="E17" t="s">
        <v>43</v>
      </c>
      <c r="F17" s="86">
        <v>25934</v>
      </c>
      <c r="G17" s="86" t="s">
        <v>1186</v>
      </c>
      <c r="H17" s="131">
        <v>41183</v>
      </c>
      <c r="I17" s="70">
        <v>180000</v>
      </c>
      <c r="J17" s="70">
        <f>Table2[[#This Row],[LUMPSUM AMOUNT]]*12</f>
        <v>2160000</v>
      </c>
      <c r="K17" s="70">
        <f>Table2[[#This Row],[Annual Salary]]*3</f>
        <v>6480000</v>
      </c>
      <c r="L17" s="70">
        <f>6/1000*Table2[[#This Row],[Sum Assured]]</f>
        <v>38880</v>
      </c>
      <c r="M17" s="69">
        <v>50000</v>
      </c>
      <c r="N17" s="69">
        <f>0.09%*Table2[[#This Row],[Permanent Disability]]</f>
        <v>45</v>
      </c>
      <c r="O17" s="69">
        <v>250000</v>
      </c>
      <c r="P17" s="69">
        <v>50000</v>
      </c>
      <c r="Q17" s="69">
        <v>92.307692307692307</v>
      </c>
      <c r="R17" s="70">
        <f>Table2[[#This Row],[Death Premium]]+Table2[[#This Row],[PD Premium]]+Table2[[#This Row],[Riders'' premium (Burial expenses &amp; Spousal cover)]]</f>
        <v>39017.307692307695</v>
      </c>
      <c r="S17" s="70">
        <v>0</v>
      </c>
    </row>
    <row r="18" spans="1:19" x14ac:dyDescent="0.3">
      <c r="A18" t="s">
        <v>1115</v>
      </c>
      <c r="B18" t="s">
        <v>670</v>
      </c>
      <c r="C18" t="s">
        <v>94</v>
      </c>
      <c r="D18" t="s">
        <v>818</v>
      </c>
      <c r="E18" t="s">
        <v>664</v>
      </c>
      <c r="F18" s="86">
        <v>25083</v>
      </c>
      <c r="G18" s="86" t="s">
        <v>1186</v>
      </c>
      <c r="H18" s="131">
        <v>42201</v>
      </c>
      <c r="I18" s="70">
        <v>806439.38</v>
      </c>
      <c r="J18" s="70">
        <f>Table2[[#This Row],[LUMPSUM AMOUNT]]*12</f>
        <v>9677272.5600000005</v>
      </c>
      <c r="K18" s="70">
        <f>Table2[[#This Row],[Annual Salary]]*3</f>
        <v>29031817.68</v>
      </c>
      <c r="L18" s="70">
        <f>6/1000*Table2[[#This Row],[Sum Assured]]</f>
        <v>174190.90608000002</v>
      </c>
      <c r="M18" s="69">
        <v>50000</v>
      </c>
      <c r="N18" s="69">
        <f>0.09%*Table2[[#This Row],[Permanent Disability]]</f>
        <v>45</v>
      </c>
      <c r="O18" s="69">
        <v>250000</v>
      </c>
      <c r="P18" s="69">
        <v>50000</v>
      </c>
      <c r="Q18" s="69">
        <v>92.307692307692307</v>
      </c>
      <c r="R18" s="70">
        <f>Table2[[#This Row],[Death Premium]]+Table2[[#This Row],[PD Premium]]+Table2[[#This Row],[Riders'' premium (Burial expenses &amp; Spousal cover)]]</f>
        <v>174328.2137723077</v>
      </c>
      <c r="S18" s="70" t="s">
        <v>1378</v>
      </c>
    </row>
    <row r="19" spans="1:19" x14ac:dyDescent="0.3">
      <c r="A19" t="s">
        <v>1116</v>
      </c>
      <c r="B19" t="s">
        <v>820</v>
      </c>
      <c r="C19" t="s">
        <v>568</v>
      </c>
      <c r="D19" t="s">
        <v>821</v>
      </c>
      <c r="E19" t="s">
        <v>34</v>
      </c>
      <c r="F19" s="86">
        <v>26076</v>
      </c>
      <c r="G19" s="86" t="s">
        <v>1186</v>
      </c>
      <c r="H19" s="131">
        <v>42373</v>
      </c>
      <c r="I19" s="70">
        <v>891578.44</v>
      </c>
      <c r="J19" s="70">
        <f>Table2[[#This Row],[LUMPSUM AMOUNT]]*12</f>
        <v>10698941.279999999</v>
      </c>
      <c r="K19" s="70">
        <f>Table2[[#This Row],[Annual Salary]]*3</f>
        <v>32096823.839999996</v>
      </c>
      <c r="L19" s="70">
        <f>6/1000*Table2[[#This Row],[Sum Assured]]</f>
        <v>192580.94303999998</v>
      </c>
      <c r="M19" s="69">
        <v>50000</v>
      </c>
      <c r="N19" s="69">
        <f>0.09%*Table2[[#This Row],[Permanent Disability]]</f>
        <v>45</v>
      </c>
      <c r="O19" s="69">
        <v>250000</v>
      </c>
      <c r="P19" s="69">
        <v>50000</v>
      </c>
      <c r="Q19" s="69">
        <v>92.307692307692307</v>
      </c>
      <c r="R19" s="70">
        <f>Table2[[#This Row],[Death Premium]]+Table2[[#This Row],[PD Premium]]+Table2[[#This Row],[Riders'' premium (Burial expenses &amp; Spousal cover)]]</f>
        <v>192718.25073230767</v>
      </c>
      <c r="S19" s="70" t="s">
        <v>1379</v>
      </c>
    </row>
    <row r="20" spans="1:19" x14ac:dyDescent="0.3">
      <c r="A20" t="s">
        <v>1117</v>
      </c>
      <c r="B20" t="s">
        <v>823</v>
      </c>
      <c r="C20" t="s">
        <v>447</v>
      </c>
      <c r="D20" t="s">
        <v>795</v>
      </c>
      <c r="E20" t="s">
        <v>43</v>
      </c>
      <c r="F20" s="86">
        <v>25934</v>
      </c>
      <c r="G20" s="86" t="s">
        <v>1186</v>
      </c>
      <c r="H20" s="131">
        <v>42492</v>
      </c>
      <c r="I20" s="70">
        <v>194066</v>
      </c>
      <c r="J20" s="70">
        <f>Table2[[#This Row],[LUMPSUM AMOUNT]]*12</f>
        <v>2328792</v>
      </c>
      <c r="K20" s="70">
        <f>Table2[[#This Row],[Annual Salary]]*3</f>
        <v>6986376</v>
      </c>
      <c r="L20" s="70">
        <f>6/1000*Table2[[#This Row],[Sum Assured]]</f>
        <v>41918.256000000001</v>
      </c>
      <c r="M20" s="69">
        <v>50000</v>
      </c>
      <c r="N20" s="69">
        <f>0.09%*Table2[[#This Row],[Permanent Disability]]</f>
        <v>45</v>
      </c>
      <c r="O20" s="69">
        <v>250000</v>
      </c>
      <c r="P20" s="69">
        <v>50000</v>
      </c>
      <c r="Q20" s="69">
        <v>92.307692307692307</v>
      </c>
      <c r="R20" s="70">
        <f>Table2[[#This Row],[Death Premium]]+Table2[[#This Row],[PD Premium]]+Table2[[#This Row],[Riders'' premium (Burial expenses &amp; Spousal cover)]]</f>
        <v>42055.563692307696</v>
      </c>
      <c r="S20" s="70">
        <v>0</v>
      </c>
    </row>
    <row r="21" spans="1:19" x14ac:dyDescent="0.3">
      <c r="A21" t="s">
        <v>1118</v>
      </c>
      <c r="B21" t="s">
        <v>825</v>
      </c>
      <c r="C21" t="s">
        <v>824</v>
      </c>
      <c r="D21" t="s">
        <v>826</v>
      </c>
      <c r="E21" t="s">
        <v>43</v>
      </c>
      <c r="F21" s="86">
        <v>27906</v>
      </c>
      <c r="G21" s="86" t="s">
        <v>1186</v>
      </c>
      <c r="H21" s="131">
        <v>42639</v>
      </c>
      <c r="I21" s="70">
        <v>1779651.3</v>
      </c>
      <c r="J21" s="70">
        <f>Table2[[#This Row],[LUMPSUM AMOUNT]]*12</f>
        <v>21355815.600000001</v>
      </c>
      <c r="K21" s="70">
        <f>Table2[[#This Row],[Annual Salary]]*3</f>
        <v>64067446.800000004</v>
      </c>
      <c r="L21" s="70">
        <f>6/1000*Table2[[#This Row],[Sum Assured]]</f>
        <v>384404.68080000003</v>
      </c>
      <c r="M21" s="69">
        <v>50000</v>
      </c>
      <c r="N21" s="69">
        <f>0.09%*Table2[[#This Row],[Permanent Disability]]</f>
        <v>45</v>
      </c>
      <c r="O21" s="69">
        <v>250000</v>
      </c>
      <c r="P21" s="69">
        <v>50000</v>
      </c>
      <c r="Q21" s="69">
        <v>92.307692307692307</v>
      </c>
      <c r="R21" s="70">
        <f>Table2[[#This Row],[Death Premium]]+Table2[[#This Row],[PD Premium]]+Table2[[#This Row],[Riders'' premium (Burial expenses &amp; Spousal cover)]]</f>
        <v>384541.98849230772</v>
      </c>
      <c r="S21" s="70" t="s">
        <v>1380</v>
      </c>
    </row>
    <row r="22" spans="1:19" x14ac:dyDescent="0.3">
      <c r="A22" t="s">
        <v>1119</v>
      </c>
      <c r="B22" t="s">
        <v>830</v>
      </c>
      <c r="C22" t="s">
        <v>311</v>
      </c>
      <c r="D22" t="s">
        <v>831</v>
      </c>
      <c r="E22" t="s">
        <v>43</v>
      </c>
      <c r="F22" s="86">
        <v>25934</v>
      </c>
      <c r="G22" s="86" t="s">
        <v>1186</v>
      </c>
      <c r="H22" s="131">
        <v>43144</v>
      </c>
      <c r="I22" s="70">
        <v>899508.55</v>
      </c>
      <c r="J22" s="70">
        <f>Table2[[#This Row],[LUMPSUM AMOUNT]]*12</f>
        <v>10794102.600000001</v>
      </c>
      <c r="K22" s="70">
        <f>Table2[[#This Row],[Annual Salary]]*3</f>
        <v>32382307.800000004</v>
      </c>
      <c r="L22" s="70">
        <f>6/1000*Table2[[#This Row],[Sum Assured]]</f>
        <v>194293.84680000003</v>
      </c>
      <c r="M22" s="69">
        <v>50000</v>
      </c>
      <c r="N22" s="69">
        <f>0.09%*Table2[[#This Row],[Permanent Disability]]</f>
        <v>45</v>
      </c>
      <c r="O22" s="69">
        <v>250000</v>
      </c>
      <c r="P22" s="69">
        <v>50000</v>
      </c>
      <c r="Q22" s="69">
        <v>92.307692307692307</v>
      </c>
      <c r="R22" s="70">
        <f>Table2[[#This Row],[Death Premium]]+Table2[[#This Row],[PD Premium]]+Table2[[#This Row],[Riders'' premium (Burial expenses &amp; Spousal cover)]]</f>
        <v>194431.15449230772</v>
      </c>
      <c r="S22" s="70" t="s">
        <v>1381</v>
      </c>
    </row>
    <row r="23" spans="1:19" x14ac:dyDescent="0.3">
      <c r="A23" t="s">
        <v>1120</v>
      </c>
      <c r="B23" t="s">
        <v>835</v>
      </c>
      <c r="C23" t="s">
        <v>716</v>
      </c>
      <c r="D23" t="s">
        <v>107</v>
      </c>
      <c r="E23" t="s">
        <v>700</v>
      </c>
      <c r="F23" s="86">
        <v>26778</v>
      </c>
      <c r="G23" s="86" t="s">
        <v>1186</v>
      </c>
      <c r="H23" s="131">
        <v>44807</v>
      </c>
      <c r="I23" s="70">
        <v>514876.13</v>
      </c>
      <c r="J23" s="70">
        <f>Table2[[#This Row],[LUMPSUM AMOUNT]]*12</f>
        <v>6178513.5600000005</v>
      </c>
      <c r="K23" s="70">
        <f>Table2[[#This Row],[Annual Salary]]*3</f>
        <v>18535540.68</v>
      </c>
      <c r="L23" s="70">
        <f>6/1000*Table2[[#This Row],[Sum Assured]]</f>
        <v>111213.24408</v>
      </c>
      <c r="M23" s="69">
        <v>50000</v>
      </c>
      <c r="N23" s="69">
        <f>0.09%*Table2[[#This Row],[Permanent Disability]]</f>
        <v>45</v>
      </c>
      <c r="O23" s="69">
        <v>250000</v>
      </c>
      <c r="P23" s="69">
        <v>50000</v>
      </c>
      <c r="Q23" s="69">
        <v>92.307692307692307</v>
      </c>
      <c r="R23" s="70">
        <f>Table2[[#This Row],[Death Premium]]+Table2[[#This Row],[PD Premium]]+Table2[[#This Row],[Riders'' premium (Burial expenses &amp; Spousal cover)]]</f>
        <v>111350.55177230769</v>
      </c>
      <c r="S23" s="70">
        <v>0</v>
      </c>
    </row>
    <row r="24" spans="1:19" x14ac:dyDescent="0.3">
      <c r="A24" t="s">
        <v>1121</v>
      </c>
      <c r="B24" t="s">
        <v>837</v>
      </c>
      <c r="C24" t="s">
        <v>836</v>
      </c>
      <c r="D24" t="s">
        <v>838</v>
      </c>
      <c r="E24" t="s">
        <v>700</v>
      </c>
      <c r="F24" s="86">
        <v>29588</v>
      </c>
      <c r="G24" s="86" t="s">
        <v>1186</v>
      </c>
      <c r="H24" s="131">
        <v>44806</v>
      </c>
      <c r="I24" s="70">
        <v>102750</v>
      </c>
      <c r="J24" s="70">
        <f>Table2[[#This Row],[LUMPSUM AMOUNT]]*12</f>
        <v>1233000</v>
      </c>
      <c r="K24" s="70">
        <f>Table2[[#This Row],[Annual Salary]]*3</f>
        <v>3699000</v>
      </c>
      <c r="L24" s="70">
        <f>6/1000*Table2[[#This Row],[Sum Assured]]</f>
        <v>22194</v>
      </c>
      <c r="M24" s="69">
        <v>50000</v>
      </c>
      <c r="N24" s="69">
        <f>0.09%*Table2[[#This Row],[Permanent Disability]]</f>
        <v>45</v>
      </c>
      <c r="O24" s="69">
        <v>250000</v>
      </c>
      <c r="P24" s="69">
        <v>50000</v>
      </c>
      <c r="Q24" s="69">
        <v>92.307692307692307</v>
      </c>
      <c r="R24" s="70">
        <f>Table2[[#This Row],[Death Premium]]+Table2[[#This Row],[PD Premium]]+Table2[[#This Row],[Riders'' premium (Burial expenses &amp; Spousal cover)]]</f>
        <v>22331.307692307691</v>
      </c>
      <c r="S24" s="70">
        <v>0</v>
      </c>
    </row>
    <row r="25" spans="1:19" x14ac:dyDescent="0.3">
      <c r="A25" t="s">
        <v>1122</v>
      </c>
      <c r="B25" t="s">
        <v>844</v>
      </c>
      <c r="C25" t="s">
        <v>843</v>
      </c>
      <c r="D25" t="s">
        <v>1123</v>
      </c>
      <c r="E25" t="s">
        <v>664</v>
      </c>
      <c r="F25" s="86">
        <v>31249</v>
      </c>
      <c r="G25" s="86" t="s">
        <v>1186</v>
      </c>
      <c r="H25" s="131">
        <v>43476</v>
      </c>
      <c r="I25" s="70">
        <v>1135500</v>
      </c>
      <c r="J25" s="70">
        <f>Table2[[#This Row],[LUMPSUM AMOUNT]]*12</f>
        <v>13626000</v>
      </c>
      <c r="K25" s="70">
        <f>Table2[[#This Row],[Annual Salary]]*3</f>
        <v>40878000</v>
      </c>
      <c r="L25" s="70">
        <f>6/1000*Table2[[#This Row],[Sum Assured]]</f>
        <v>245268</v>
      </c>
      <c r="M25" s="69">
        <v>50000</v>
      </c>
      <c r="N25" s="69">
        <f>0.09%*Table2[[#This Row],[Permanent Disability]]</f>
        <v>45</v>
      </c>
      <c r="O25" s="69">
        <v>250000</v>
      </c>
      <c r="P25" s="69">
        <v>50000</v>
      </c>
      <c r="Q25" s="69">
        <v>92.307692307692307</v>
      </c>
      <c r="R25" s="70">
        <f>Table2[[#This Row],[Death Premium]]+Table2[[#This Row],[PD Premium]]+Table2[[#This Row],[Riders'' premium (Burial expenses &amp; Spousal cover)]]</f>
        <v>245405.30769230769</v>
      </c>
      <c r="S25" s="70" t="s">
        <v>1382</v>
      </c>
    </row>
    <row r="26" spans="1:19" x14ac:dyDescent="0.3">
      <c r="A26" t="s">
        <v>1124</v>
      </c>
      <c r="B26" t="s">
        <v>846</v>
      </c>
      <c r="C26" t="s">
        <v>663</v>
      </c>
      <c r="D26" t="s">
        <v>793</v>
      </c>
      <c r="E26" t="s">
        <v>43</v>
      </c>
      <c r="F26" s="86">
        <v>26561</v>
      </c>
      <c r="G26" s="86" t="s">
        <v>1186</v>
      </c>
      <c r="H26" s="131">
        <v>43543</v>
      </c>
      <c r="I26" s="70">
        <v>228750</v>
      </c>
      <c r="J26" s="70">
        <f>Table2[[#This Row],[LUMPSUM AMOUNT]]*12</f>
        <v>2745000</v>
      </c>
      <c r="K26" s="70">
        <f>Table2[[#This Row],[Annual Salary]]*3</f>
        <v>8235000</v>
      </c>
      <c r="L26" s="70">
        <f>6/1000*Table2[[#This Row],[Sum Assured]]</f>
        <v>49410</v>
      </c>
      <c r="M26" s="69">
        <v>50000</v>
      </c>
      <c r="N26" s="69">
        <f>0.09%*Table2[[#This Row],[Permanent Disability]]</f>
        <v>45</v>
      </c>
      <c r="O26" s="69">
        <v>250000</v>
      </c>
      <c r="P26" s="69">
        <v>50000</v>
      </c>
      <c r="Q26" s="69">
        <v>92.307692307692307</v>
      </c>
      <c r="R26" s="70">
        <f>Table2[[#This Row],[Death Premium]]+Table2[[#This Row],[PD Premium]]+Table2[[#This Row],[Riders'' premium (Burial expenses &amp; Spousal cover)]]</f>
        <v>49547.307692307695</v>
      </c>
      <c r="S26" s="70">
        <v>0</v>
      </c>
    </row>
    <row r="27" spans="1:19" x14ac:dyDescent="0.3">
      <c r="A27" t="s">
        <v>1125</v>
      </c>
      <c r="B27" t="s">
        <v>847</v>
      </c>
      <c r="C27" t="s">
        <v>568</v>
      </c>
      <c r="D27" t="s">
        <v>107</v>
      </c>
      <c r="E27" t="s">
        <v>34</v>
      </c>
      <c r="F27" s="86">
        <v>24788</v>
      </c>
      <c r="G27" s="86" t="s">
        <v>1186</v>
      </c>
      <c r="H27" s="131">
        <v>43650</v>
      </c>
      <c r="I27" s="70">
        <v>388951.46</v>
      </c>
      <c r="J27" s="70">
        <f>Table2[[#This Row],[LUMPSUM AMOUNT]]*12</f>
        <v>4667417.5200000005</v>
      </c>
      <c r="K27" s="70">
        <f>Table2[[#This Row],[Annual Salary]]*3</f>
        <v>14002252.560000002</v>
      </c>
      <c r="L27" s="70">
        <f>6/1000*Table2[[#This Row],[Sum Assured]]</f>
        <v>84013.515360000019</v>
      </c>
      <c r="M27" s="69">
        <v>50000</v>
      </c>
      <c r="N27" s="69">
        <f>0.09%*Table2[[#This Row],[Permanent Disability]]</f>
        <v>45</v>
      </c>
      <c r="O27" s="69">
        <v>250000</v>
      </c>
      <c r="P27" s="69">
        <v>50000</v>
      </c>
      <c r="Q27" s="69">
        <v>92.307692307692307</v>
      </c>
      <c r="R27" s="70">
        <f>Table2[[#This Row],[Death Premium]]+Table2[[#This Row],[PD Premium]]+Table2[[#This Row],[Riders'' premium (Burial expenses &amp; Spousal cover)]]</f>
        <v>84150.823052307707</v>
      </c>
      <c r="S27" s="70" t="s">
        <v>1383</v>
      </c>
    </row>
    <row r="28" spans="1:19" x14ac:dyDescent="0.3">
      <c r="A28" t="s">
        <v>1126</v>
      </c>
      <c r="B28" t="s">
        <v>848</v>
      </c>
      <c r="C28" t="s">
        <v>628</v>
      </c>
      <c r="D28" t="s">
        <v>849</v>
      </c>
      <c r="E28" t="s">
        <v>664</v>
      </c>
      <c r="F28" s="86">
        <v>29825</v>
      </c>
      <c r="G28" s="86" t="s">
        <v>1186</v>
      </c>
      <c r="H28" s="131">
        <v>43682</v>
      </c>
      <c r="I28" s="70">
        <v>1229250</v>
      </c>
      <c r="J28" s="70">
        <f>Table2[[#This Row],[LUMPSUM AMOUNT]]*12</f>
        <v>14751000</v>
      </c>
      <c r="K28" s="70">
        <f>Table2[[#This Row],[Annual Salary]]*3</f>
        <v>44253000</v>
      </c>
      <c r="L28" s="70">
        <f>6/1000*Table2[[#This Row],[Sum Assured]]</f>
        <v>265518</v>
      </c>
      <c r="M28" s="69">
        <v>50000</v>
      </c>
      <c r="N28" s="69">
        <f>0.09%*Table2[[#This Row],[Permanent Disability]]</f>
        <v>45</v>
      </c>
      <c r="O28" s="69">
        <v>250000</v>
      </c>
      <c r="P28" s="69">
        <v>50000</v>
      </c>
      <c r="Q28" s="69">
        <v>92.307692307692307</v>
      </c>
      <c r="R28" s="70">
        <f>Table2[[#This Row],[Death Premium]]+Table2[[#This Row],[PD Premium]]+Table2[[#This Row],[Riders'' premium (Burial expenses &amp; Spousal cover)]]</f>
        <v>265655.30769230769</v>
      </c>
      <c r="S28" s="70" t="s">
        <v>1384</v>
      </c>
    </row>
    <row r="29" spans="1:19" x14ac:dyDescent="0.3">
      <c r="A29" t="s">
        <v>1127</v>
      </c>
      <c r="B29" t="s">
        <v>852</v>
      </c>
      <c r="C29" t="s">
        <v>185</v>
      </c>
      <c r="D29" t="s">
        <v>853</v>
      </c>
      <c r="E29" t="s">
        <v>43</v>
      </c>
      <c r="F29" s="86">
        <v>25934</v>
      </c>
      <c r="G29" s="86" t="s">
        <v>1186</v>
      </c>
      <c r="H29" s="131">
        <v>43908</v>
      </c>
      <c r="I29" s="70">
        <v>204875</v>
      </c>
      <c r="J29" s="70">
        <f>Table2[[#This Row],[LUMPSUM AMOUNT]]*12</f>
        <v>2458500</v>
      </c>
      <c r="K29" s="70">
        <f>Table2[[#This Row],[Annual Salary]]*3</f>
        <v>7375500</v>
      </c>
      <c r="L29" s="70">
        <f>6/1000*Table2[[#This Row],[Sum Assured]]</f>
        <v>44253</v>
      </c>
      <c r="M29" s="69">
        <v>50000</v>
      </c>
      <c r="N29" s="69">
        <f>0.09%*Table2[[#This Row],[Permanent Disability]]</f>
        <v>45</v>
      </c>
      <c r="O29" s="69">
        <v>250000</v>
      </c>
      <c r="P29" s="69">
        <v>50000</v>
      </c>
      <c r="Q29" s="69">
        <v>92.307692307692307</v>
      </c>
      <c r="R29" s="70">
        <f>Table2[[#This Row],[Death Premium]]+Table2[[#This Row],[PD Premium]]+Table2[[#This Row],[Riders'' premium (Burial expenses &amp; Spousal cover)]]</f>
        <v>44390.307692307695</v>
      </c>
      <c r="S29" s="70">
        <v>0</v>
      </c>
    </row>
    <row r="30" spans="1:19" x14ac:dyDescent="0.3">
      <c r="A30" t="s">
        <v>1128</v>
      </c>
      <c r="B30" t="s">
        <v>867</v>
      </c>
      <c r="C30" t="s">
        <v>365</v>
      </c>
      <c r="D30" t="s">
        <v>868</v>
      </c>
      <c r="E30" t="s">
        <v>43</v>
      </c>
      <c r="F30" s="86">
        <v>25934</v>
      </c>
      <c r="G30" s="86" t="s">
        <v>1186</v>
      </c>
      <c r="H30" s="131">
        <v>44481</v>
      </c>
      <c r="I30" s="70">
        <v>186250</v>
      </c>
      <c r="J30" s="70">
        <f>Table2[[#This Row],[LUMPSUM AMOUNT]]*12</f>
        <v>2235000</v>
      </c>
      <c r="K30" s="70">
        <f>Table2[[#This Row],[Annual Salary]]*3</f>
        <v>6705000</v>
      </c>
      <c r="L30" s="70">
        <f>6/1000*Table2[[#This Row],[Sum Assured]]</f>
        <v>40230</v>
      </c>
      <c r="M30" s="69">
        <v>50000</v>
      </c>
      <c r="N30" s="69">
        <f>0.09%*Table2[[#This Row],[Permanent Disability]]</f>
        <v>45</v>
      </c>
      <c r="O30" s="69">
        <v>250000</v>
      </c>
      <c r="P30" s="69">
        <v>50000</v>
      </c>
      <c r="Q30" s="69">
        <v>92.307692307692307</v>
      </c>
      <c r="R30" s="70">
        <f>Table2[[#This Row],[Death Premium]]+Table2[[#This Row],[PD Premium]]+Table2[[#This Row],[Riders'' premium (Burial expenses &amp; Spousal cover)]]</f>
        <v>40367.307692307695</v>
      </c>
      <c r="S30" s="70" t="s">
        <v>1385</v>
      </c>
    </row>
    <row r="31" spans="1:19" x14ac:dyDescent="0.3">
      <c r="A31" t="s">
        <v>1129</v>
      </c>
      <c r="B31" t="s">
        <v>872</v>
      </c>
      <c r="C31" t="s">
        <v>344</v>
      </c>
      <c r="D31" t="s">
        <v>873</v>
      </c>
      <c r="E31" t="s">
        <v>43</v>
      </c>
      <c r="F31" s="86">
        <v>25934</v>
      </c>
      <c r="G31" s="86" t="s">
        <v>1186</v>
      </c>
      <c r="H31" s="131">
        <v>44593</v>
      </c>
      <c r="I31" s="70">
        <v>105500</v>
      </c>
      <c r="J31" s="70">
        <f>Table2[[#This Row],[LUMPSUM AMOUNT]]*12</f>
        <v>1266000</v>
      </c>
      <c r="K31" s="70">
        <f>Table2[[#This Row],[Annual Salary]]*3</f>
        <v>3798000</v>
      </c>
      <c r="L31" s="70">
        <f>6/1000*Table2[[#This Row],[Sum Assured]]</f>
        <v>22788</v>
      </c>
      <c r="M31" s="69">
        <v>50000</v>
      </c>
      <c r="N31" s="69">
        <f>0.09%*Table2[[#This Row],[Permanent Disability]]</f>
        <v>45</v>
      </c>
      <c r="O31" s="69">
        <v>250000</v>
      </c>
      <c r="P31" s="69">
        <v>50000</v>
      </c>
      <c r="Q31" s="69">
        <v>92.307692307692307</v>
      </c>
      <c r="R31" s="70">
        <f>Table2[[#This Row],[Death Premium]]+Table2[[#This Row],[PD Premium]]+Table2[[#This Row],[Riders'' premium (Burial expenses &amp; Spousal cover)]]</f>
        <v>22925.307692307691</v>
      </c>
      <c r="S31" s="70" t="s">
        <v>1386</v>
      </c>
    </row>
    <row r="32" spans="1:19" x14ac:dyDescent="0.3">
      <c r="A32" t="s">
        <v>1130</v>
      </c>
      <c r="B32" t="s">
        <v>545</v>
      </c>
      <c r="C32" t="s">
        <v>877</v>
      </c>
      <c r="D32" t="s">
        <v>107</v>
      </c>
      <c r="E32" t="s">
        <v>700</v>
      </c>
      <c r="F32" s="86">
        <v>25946</v>
      </c>
      <c r="G32" s="86" t="s">
        <v>1186</v>
      </c>
      <c r="H32" s="131">
        <v>44810</v>
      </c>
      <c r="I32" s="70">
        <v>301000</v>
      </c>
      <c r="J32" s="70">
        <f>Table2[[#This Row],[LUMPSUM AMOUNT]]*12</f>
        <v>3612000</v>
      </c>
      <c r="K32" s="70">
        <f>Table2[[#This Row],[Annual Salary]]*3</f>
        <v>10836000</v>
      </c>
      <c r="L32" s="70">
        <f>6/1000*Table2[[#This Row],[Sum Assured]]</f>
        <v>65016</v>
      </c>
      <c r="M32" s="69">
        <v>50000</v>
      </c>
      <c r="N32" s="69">
        <f>0.09%*Table2[[#This Row],[Permanent Disability]]</f>
        <v>45</v>
      </c>
      <c r="O32" s="69">
        <v>250000</v>
      </c>
      <c r="P32" s="69">
        <v>50000</v>
      </c>
      <c r="Q32" s="69">
        <v>92.307692307692307</v>
      </c>
      <c r="R32" s="70">
        <f>Table2[[#This Row],[Death Premium]]+Table2[[#This Row],[PD Premium]]+Table2[[#This Row],[Riders'' premium (Burial expenses &amp; Spousal cover)]]</f>
        <v>65153.307692307695</v>
      </c>
      <c r="S32" s="70">
        <v>0</v>
      </c>
    </row>
    <row r="33" spans="1:19" x14ac:dyDescent="0.3">
      <c r="A33" t="s">
        <v>1131</v>
      </c>
      <c r="B33" t="s">
        <v>315</v>
      </c>
      <c r="C33" t="s">
        <v>891</v>
      </c>
      <c r="D33" t="s">
        <v>892</v>
      </c>
      <c r="E33" t="s">
        <v>43</v>
      </c>
      <c r="F33" s="86">
        <v>26996</v>
      </c>
      <c r="G33" s="86" t="s">
        <v>1186</v>
      </c>
      <c r="H33" s="131">
        <v>44789</v>
      </c>
      <c r="I33" s="70">
        <v>428375</v>
      </c>
      <c r="J33" s="70">
        <f>Table2[[#This Row],[LUMPSUM AMOUNT]]*12</f>
        <v>5140500</v>
      </c>
      <c r="K33" s="70">
        <f>Table2[[#This Row],[Annual Salary]]*3</f>
        <v>15421500</v>
      </c>
      <c r="L33" s="70">
        <f>6/1000*Table2[[#This Row],[Sum Assured]]</f>
        <v>92529</v>
      </c>
      <c r="M33" s="69">
        <v>50000</v>
      </c>
      <c r="N33" s="69">
        <f>0.09%*Table2[[#This Row],[Permanent Disability]]</f>
        <v>45</v>
      </c>
      <c r="O33" s="69">
        <v>250000</v>
      </c>
      <c r="P33" s="69">
        <v>50000</v>
      </c>
      <c r="Q33" s="69">
        <v>92.307692307692307</v>
      </c>
      <c r="R33" s="70">
        <f>Table2[[#This Row],[Death Premium]]+Table2[[#This Row],[PD Premium]]+Table2[[#This Row],[Riders'' premium (Burial expenses &amp; Spousal cover)]]</f>
        <v>92666.307692307688</v>
      </c>
      <c r="S33" s="70" t="s">
        <v>1387</v>
      </c>
    </row>
    <row r="34" spans="1:19" x14ac:dyDescent="0.3">
      <c r="A34" t="s">
        <v>1132</v>
      </c>
      <c r="B34" t="s">
        <v>185</v>
      </c>
      <c r="C34" t="s">
        <v>1133</v>
      </c>
      <c r="D34" t="s">
        <v>894</v>
      </c>
      <c r="E34" t="s">
        <v>43</v>
      </c>
      <c r="F34" s="86">
        <v>25934</v>
      </c>
      <c r="G34" s="86" t="s">
        <v>1186</v>
      </c>
      <c r="H34" s="131">
        <v>44789</v>
      </c>
      <c r="I34" s="70">
        <v>217250</v>
      </c>
      <c r="J34" s="70">
        <f>Table2[[#This Row],[LUMPSUM AMOUNT]]*12</f>
        <v>2607000</v>
      </c>
      <c r="K34" s="70">
        <f>Table2[[#This Row],[Annual Salary]]*3</f>
        <v>7821000</v>
      </c>
      <c r="L34" s="70">
        <f>6/1000*Table2[[#This Row],[Sum Assured]]</f>
        <v>46926</v>
      </c>
      <c r="M34" s="69">
        <v>50000</v>
      </c>
      <c r="N34" s="69">
        <f>0.09%*Table2[[#This Row],[Permanent Disability]]</f>
        <v>45</v>
      </c>
      <c r="O34" s="69">
        <v>250000</v>
      </c>
      <c r="P34" s="69">
        <v>50000</v>
      </c>
      <c r="Q34" s="69">
        <v>92.307692307692307</v>
      </c>
      <c r="R34" s="70">
        <f>Table2[[#This Row],[Death Premium]]+Table2[[#This Row],[PD Premium]]+Table2[[#This Row],[Riders'' premium (Burial expenses &amp; Spousal cover)]]</f>
        <v>47063.307692307695</v>
      </c>
      <c r="S34" s="70">
        <v>0</v>
      </c>
    </row>
    <row r="35" spans="1:19" x14ac:dyDescent="0.3">
      <c r="A35" t="s">
        <v>1134</v>
      </c>
      <c r="B35" t="s">
        <v>896</v>
      </c>
      <c r="C35" t="s">
        <v>895</v>
      </c>
      <c r="D35" t="s">
        <v>873</v>
      </c>
      <c r="E35" t="s">
        <v>43</v>
      </c>
      <c r="F35" s="86">
        <v>25934</v>
      </c>
      <c r="G35" s="86" t="s">
        <v>1186</v>
      </c>
      <c r="H35" s="131">
        <v>44823</v>
      </c>
      <c r="I35" s="70">
        <v>105500</v>
      </c>
      <c r="J35" s="70">
        <f>Table2[[#This Row],[LUMPSUM AMOUNT]]*12</f>
        <v>1266000</v>
      </c>
      <c r="K35" s="70">
        <f>Table2[[#This Row],[Annual Salary]]*3</f>
        <v>3798000</v>
      </c>
      <c r="L35" s="70">
        <f>6/1000*Table2[[#This Row],[Sum Assured]]</f>
        <v>22788</v>
      </c>
      <c r="M35" s="69">
        <v>50000</v>
      </c>
      <c r="N35" s="69">
        <f>0.09%*Table2[[#This Row],[Permanent Disability]]</f>
        <v>45</v>
      </c>
      <c r="O35" s="69">
        <v>250000</v>
      </c>
      <c r="P35" s="69">
        <v>50000</v>
      </c>
      <c r="Q35" s="69">
        <v>92.307692307692307</v>
      </c>
      <c r="R35" s="70">
        <f>Table2[[#This Row],[Death Premium]]+Table2[[#This Row],[PD Premium]]+Table2[[#This Row],[Riders'' premium (Burial expenses &amp; Spousal cover)]]</f>
        <v>22925.307692307691</v>
      </c>
      <c r="S35" s="70">
        <v>0</v>
      </c>
    </row>
    <row r="36" spans="1:19" x14ac:dyDescent="0.3">
      <c r="A36" t="s">
        <v>1135</v>
      </c>
      <c r="B36" t="s">
        <v>898</v>
      </c>
      <c r="C36" t="s">
        <v>897</v>
      </c>
      <c r="D36" t="s">
        <v>1136</v>
      </c>
      <c r="E36" t="s">
        <v>43</v>
      </c>
      <c r="F36" s="86">
        <v>27394</v>
      </c>
      <c r="G36" s="86" t="s">
        <v>1186</v>
      </c>
      <c r="H36" s="131">
        <v>44855</v>
      </c>
      <c r="I36" s="70">
        <v>105000</v>
      </c>
      <c r="J36" s="70">
        <f>Table2[[#This Row],[LUMPSUM AMOUNT]]*12</f>
        <v>1260000</v>
      </c>
      <c r="K36" s="70">
        <f>Table2[[#This Row],[Annual Salary]]*3</f>
        <v>3780000</v>
      </c>
      <c r="L36" s="70">
        <f>6/1000*Table2[[#This Row],[Sum Assured]]</f>
        <v>22680</v>
      </c>
      <c r="M36" s="69">
        <v>50000</v>
      </c>
      <c r="N36" s="69">
        <f>0.09%*Table2[[#This Row],[Permanent Disability]]</f>
        <v>45</v>
      </c>
      <c r="O36" s="69">
        <v>250000</v>
      </c>
      <c r="P36" s="69">
        <v>50000</v>
      </c>
      <c r="Q36" s="69">
        <v>92.307692307692307</v>
      </c>
      <c r="R36" s="70">
        <f>Table2[[#This Row],[Death Premium]]+Table2[[#This Row],[PD Premium]]+Table2[[#This Row],[Riders'' premium (Burial expenses &amp; Spousal cover)]]</f>
        <v>22817.307692307691</v>
      </c>
      <c r="S36" s="70">
        <v>0</v>
      </c>
    </row>
    <row r="37" spans="1:19" x14ac:dyDescent="0.3">
      <c r="A37" t="s">
        <v>1137</v>
      </c>
      <c r="B37" t="s">
        <v>445</v>
      </c>
      <c r="C37" t="s">
        <v>905</v>
      </c>
      <c r="D37" t="s">
        <v>906</v>
      </c>
      <c r="E37" t="s">
        <v>43</v>
      </c>
      <c r="F37" s="86">
        <v>25934</v>
      </c>
      <c r="G37" s="86" t="s">
        <v>1186</v>
      </c>
      <c r="H37" s="131">
        <v>44946</v>
      </c>
      <c r="I37" s="70">
        <v>199800</v>
      </c>
      <c r="J37" s="70">
        <f>Table2[[#This Row],[LUMPSUM AMOUNT]]*12</f>
        <v>2397600</v>
      </c>
      <c r="K37" s="70">
        <f>Table2[[#This Row],[Annual Salary]]*3</f>
        <v>7192800</v>
      </c>
      <c r="L37" s="70">
        <f>6/1000*Table2[[#This Row],[Sum Assured]]</f>
        <v>43156.800000000003</v>
      </c>
      <c r="M37" s="69">
        <v>50000</v>
      </c>
      <c r="N37" s="69">
        <f>0.09%*Table2[[#This Row],[Permanent Disability]]</f>
        <v>45</v>
      </c>
      <c r="O37" s="69">
        <v>250000</v>
      </c>
      <c r="P37" s="69">
        <v>50000</v>
      </c>
      <c r="Q37" s="69">
        <v>92.307692307692307</v>
      </c>
      <c r="R37" s="70">
        <f>Table2[[#This Row],[Death Premium]]+Table2[[#This Row],[PD Premium]]+Table2[[#This Row],[Riders'' premium (Burial expenses &amp; Spousal cover)]]</f>
        <v>43294.107692307698</v>
      </c>
      <c r="S37" s="70" t="s">
        <v>1388</v>
      </c>
    </row>
    <row r="38" spans="1:19" x14ac:dyDescent="0.3">
      <c r="A38" t="s">
        <v>1138</v>
      </c>
      <c r="B38" t="s">
        <v>912</v>
      </c>
      <c r="C38" t="s">
        <v>532</v>
      </c>
      <c r="D38" t="s">
        <v>866</v>
      </c>
      <c r="E38" t="s">
        <v>43</v>
      </c>
      <c r="F38" s="86">
        <v>33522</v>
      </c>
      <c r="G38" s="86" t="s">
        <v>1186</v>
      </c>
      <c r="H38" s="131">
        <v>45008</v>
      </c>
      <c r="I38" s="70">
        <v>924625</v>
      </c>
      <c r="J38" s="70">
        <f>Table2[[#This Row],[LUMPSUM AMOUNT]]*12</f>
        <v>11095500</v>
      </c>
      <c r="K38" s="70">
        <f>Table2[[#This Row],[Annual Salary]]*3</f>
        <v>33286500</v>
      </c>
      <c r="L38" s="70">
        <f>6/1000*Table2[[#This Row],[Sum Assured]]</f>
        <v>199719</v>
      </c>
      <c r="M38" s="69">
        <v>50000</v>
      </c>
      <c r="N38" s="69">
        <f>0.09%*Table2[[#This Row],[Permanent Disability]]</f>
        <v>45</v>
      </c>
      <c r="O38" s="69">
        <v>250000</v>
      </c>
      <c r="P38" s="69">
        <v>50000</v>
      </c>
      <c r="Q38" s="69">
        <v>92.307692307692307</v>
      </c>
      <c r="R38" s="70">
        <f>Table2[[#This Row],[Death Premium]]+Table2[[#This Row],[PD Premium]]+Table2[[#This Row],[Riders'' premium (Burial expenses &amp; Spousal cover)]]</f>
        <v>199856.30769230769</v>
      </c>
      <c r="S38" s="70">
        <v>0</v>
      </c>
    </row>
    <row r="39" spans="1:19" x14ac:dyDescent="0.3">
      <c r="A39" t="s">
        <v>1139</v>
      </c>
      <c r="B39" t="s">
        <v>913</v>
      </c>
      <c r="C39" t="s">
        <v>502</v>
      </c>
      <c r="D39" t="s">
        <v>107</v>
      </c>
      <c r="E39" t="s">
        <v>43</v>
      </c>
      <c r="F39" s="86">
        <v>32495</v>
      </c>
      <c r="G39" s="86" t="s">
        <v>1186</v>
      </c>
      <c r="H39" s="131">
        <v>44814</v>
      </c>
      <c r="I39" s="70">
        <v>261041.25</v>
      </c>
      <c r="J39" s="70">
        <f>Table2[[#This Row],[LUMPSUM AMOUNT]]*12</f>
        <v>3132495</v>
      </c>
      <c r="K39" s="70">
        <f>Table2[[#This Row],[Annual Salary]]*3</f>
        <v>9397485</v>
      </c>
      <c r="L39" s="70">
        <f>6/1000*Table2[[#This Row],[Sum Assured]]</f>
        <v>56384.91</v>
      </c>
      <c r="M39" s="69">
        <v>50000</v>
      </c>
      <c r="N39" s="69">
        <f>0.09%*Table2[[#This Row],[Permanent Disability]]</f>
        <v>45</v>
      </c>
      <c r="O39" s="69">
        <v>250000</v>
      </c>
      <c r="P39" s="69">
        <v>50000</v>
      </c>
      <c r="Q39" s="69">
        <v>92.307692307692307</v>
      </c>
      <c r="R39" s="70">
        <f>Table2[[#This Row],[Death Premium]]+Table2[[#This Row],[PD Premium]]+Table2[[#This Row],[Riders'' premium (Burial expenses &amp; Spousal cover)]]</f>
        <v>56522.217692307699</v>
      </c>
      <c r="S39" s="70" t="s">
        <v>1389</v>
      </c>
    </row>
    <row r="40" spans="1:19" x14ac:dyDescent="0.3">
      <c r="A40" t="s">
        <v>1140</v>
      </c>
      <c r="B40" t="s">
        <v>1141</v>
      </c>
      <c r="C40" t="s">
        <v>919</v>
      </c>
      <c r="D40" t="s">
        <v>921</v>
      </c>
      <c r="E40" t="s">
        <v>700</v>
      </c>
      <c r="F40" s="86">
        <v>33382</v>
      </c>
      <c r="G40" s="86" t="s">
        <v>1186</v>
      </c>
      <c r="H40" s="131">
        <v>45047</v>
      </c>
      <c r="I40" s="70">
        <v>336400</v>
      </c>
      <c r="J40" s="70">
        <f>Table2[[#This Row],[LUMPSUM AMOUNT]]*12</f>
        <v>4036800</v>
      </c>
      <c r="K40" s="70">
        <f>Table2[[#This Row],[Annual Salary]]*3</f>
        <v>12110400</v>
      </c>
      <c r="L40" s="70">
        <f>6/1000*Table2[[#This Row],[Sum Assured]]</f>
        <v>72662.400000000009</v>
      </c>
      <c r="M40" s="69">
        <v>50000</v>
      </c>
      <c r="N40" s="69">
        <f>0.09%*Table2[[#This Row],[Permanent Disability]]</f>
        <v>45</v>
      </c>
      <c r="O40" s="69">
        <v>250000</v>
      </c>
      <c r="P40" s="69">
        <v>50000</v>
      </c>
      <c r="Q40" s="69">
        <v>92.307692307692307</v>
      </c>
      <c r="R40" s="70">
        <f>Table2[[#This Row],[Death Premium]]+Table2[[#This Row],[PD Premium]]+Table2[[#This Row],[Riders'' premium (Burial expenses &amp; Spousal cover)]]</f>
        <v>72799.707692307697</v>
      </c>
      <c r="S40" s="70">
        <v>0</v>
      </c>
    </row>
    <row r="41" spans="1:19" x14ac:dyDescent="0.3">
      <c r="A41" t="s">
        <v>1142</v>
      </c>
      <c r="B41" t="s">
        <v>924</v>
      </c>
      <c r="C41" t="s">
        <v>864</v>
      </c>
      <c r="D41" t="s">
        <v>849</v>
      </c>
      <c r="E41" t="s">
        <v>43</v>
      </c>
      <c r="F41" s="86">
        <v>31778</v>
      </c>
      <c r="G41" s="86" t="s">
        <v>1186</v>
      </c>
      <c r="H41" s="131">
        <v>45092</v>
      </c>
      <c r="I41" s="70">
        <v>747375.75</v>
      </c>
      <c r="J41" s="70">
        <f>Table2[[#This Row],[LUMPSUM AMOUNT]]*12</f>
        <v>8968509</v>
      </c>
      <c r="K41" s="70">
        <f>Table2[[#This Row],[Annual Salary]]*3</f>
        <v>26905527</v>
      </c>
      <c r="L41" s="70">
        <f>6/1000*Table2[[#This Row],[Sum Assured]]</f>
        <v>161433.16200000001</v>
      </c>
      <c r="M41" s="69">
        <v>50000</v>
      </c>
      <c r="N41" s="69">
        <f>0.09%*Table2[[#This Row],[Permanent Disability]]</f>
        <v>45</v>
      </c>
      <c r="O41" s="69">
        <v>250000</v>
      </c>
      <c r="P41" s="69">
        <v>50000</v>
      </c>
      <c r="Q41" s="69">
        <v>92.307692307692307</v>
      </c>
      <c r="R41" s="70">
        <f>Table2[[#This Row],[Death Premium]]+Table2[[#This Row],[PD Premium]]+Table2[[#This Row],[Riders'' premium (Burial expenses &amp; Spousal cover)]]</f>
        <v>161570.4696923077</v>
      </c>
      <c r="S41" s="70" t="s">
        <v>1390</v>
      </c>
    </row>
    <row r="42" spans="1:19" x14ac:dyDescent="0.3">
      <c r="A42" t="s">
        <v>1143</v>
      </c>
      <c r="B42" t="s">
        <v>469</v>
      </c>
      <c r="C42" t="s">
        <v>530</v>
      </c>
      <c r="D42" t="s">
        <v>107</v>
      </c>
      <c r="E42" t="s">
        <v>43</v>
      </c>
      <c r="F42" s="86">
        <v>33622</v>
      </c>
      <c r="G42" s="86" t="s">
        <v>1186</v>
      </c>
      <c r="H42" s="131">
        <v>45108</v>
      </c>
      <c r="I42" s="70">
        <v>233750</v>
      </c>
      <c r="J42" s="70">
        <f>Table2[[#This Row],[LUMPSUM AMOUNT]]*12</f>
        <v>2805000</v>
      </c>
      <c r="K42" s="70">
        <f>Table2[[#This Row],[Annual Salary]]*3</f>
        <v>8415000</v>
      </c>
      <c r="L42" s="70">
        <f>6/1000*Table2[[#This Row],[Sum Assured]]</f>
        <v>50490</v>
      </c>
      <c r="M42" s="69">
        <v>50000</v>
      </c>
      <c r="N42" s="69">
        <f>0.09%*Table2[[#This Row],[Permanent Disability]]</f>
        <v>45</v>
      </c>
      <c r="O42" s="69">
        <v>250000</v>
      </c>
      <c r="P42" s="69">
        <v>50000</v>
      </c>
      <c r="Q42" s="69">
        <v>92.307692307692307</v>
      </c>
      <c r="R42" s="70">
        <f>Table2[[#This Row],[Death Premium]]+Table2[[#This Row],[PD Premium]]+Table2[[#This Row],[Riders'' premium (Burial expenses &amp; Spousal cover)]]</f>
        <v>50627.307692307695</v>
      </c>
      <c r="S42" s="70" t="s">
        <v>1391</v>
      </c>
    </row>
    <row r="43" spans="1:19" x14ac:dyDescent="0.3">
      <c r="A43" t="s">
        <v>1144</v>
      </c>
      <c r="B43" t="s">
        <v>928</v>
      </c>
      <c r="C43" t="s">
        <v>927</v>
      </c>
      <c r="D43" t="s">
        <v>826</v>
      </c>
      <c r="E43" t="s">
        <v>43</v>
      </c>
      <c r="F43" s="86">
        <v>31214</v>
      </c>
      <c r="G43" s="86" t="s">
        <v>1186</v>
      </c>
      <c r="H43" s="131">
        <v>45202</v>
      </c>
      <c r="I43" s="70">
        <v>1170697.79</v>
      </c>
      <c r="J43" s="70">
        <f>Table2[[#This Row],[LUMPSUM AMOUNT]]*12</f>
        <v>14048373.48</v>
      </c>
      <c r="K43" s="70">
        <f>Table2[[#This Row],[Annual Salary]]*3</f>
        <v>42145120.439999998</v>
      </c>
      <c r="L43" s="70">
        <f>6/1000*Table2[[#This Row],[Sum Assured]]</f>
        <v>252870.72263999999</v>
      </c>
      <c r="M43" s="69">
        <v>50000</v>
      </c>
      <c r="N43" s="69">
        <f>0.09%*Table2[[#This Row],[Permanent Disability]]</f>
        <v>45</v>
      </c>
      <c r="O43" s="69">
        <v>250000</v>
      </c>
      <c r="P43" s="69">
        <v>50000</v>
      </c>
      <c r="Q43" s="69">
        <v>92.307692307692307</v>
      </c>
      <c r="R43" s="70">
        <f>Table2[[#This Row],[Death Premium]]+Table2[[#This Row],[PD Premium]]+Table2[[#This Row],[Riders'' premium (Burial expenses &amp; Spousal cover)]]</f>
        <v>253008.03033230768</v>
      </c>
      <c r="S43" s="70" t="s">
        <v>1392</v>
      </c>
    </row>
    <row r="44" spans="1:19" x14ac:dyDescent="0.3">
      <c r="A44" t="s">
        <v>1145</v>
      </c>
      <c r="B44" t="s">
        <v>941</v>
      </c>
      <c r="C44" t="s">
        <v>940</v>
      </c>
      <c r="D44" t="s">
        <v>849</v>
      </c>
      <c r="E44" t="s">
        <v>700</v>
      </c>
      <c r="F44" s="86">
        <v>33212</v>
      </c>
      <c r="G44" s="86" t="s">
        <v>1186</v>
      </c>
      <c r="H44" s="131">
        <v>45425</v>
      </c>
      <c r="I44" s="70">
        <v>746222.35</v>
      </c>
      <c r="J44" s="70">
        <f>Table2[[#This Row],[LUMPSUM AMOUNT]]*12</f>
        <v>8954668.1999999993</v>
      </c>
      <c r="K44" s="70">
        <f>Table2[[#This Row],[Annual Salary]]*3</f>
        <v>26864004.599999998</v>
      </c>
      <c r="L44" s="70">
        <f>6/1000*Table2[[#This Row],[Sum Assured]]</f>
        <v>161184.0276</v>
      </c>
      <c r="M44" s="69">
        <v>50000</v>
      </c>
      <c r="N44" s="69">
        <f>0.09%*Table2[[#This Row],[Permanent Disability]]</f>
        <v>45</v>
      </c>
      <c r="O44" s="69">
        <v>250000</v>
      </c>
      <c r="P44" s="69">
        <v>50000</v>
      </c>
      <c r="Q44" s="69">
        <v>92.307692307692307</v>
      </c>
      <c r="R44" s="70">
        <f>Table2[[#This Row],[Death Premium]]+Table2[[#This Row],[PD Premium]]+Table2[[#This Row],[Riders'' premium (Burial expenses &amp; Spousal cover)]]</f>
        <v>161321.33529230769</v>
      </c>
      <c r="S44" s="70" t="s">
        <v>1393</v>
      </c>
    </row>
    <row r="45" spans="1:19" x14ac:dyDescent="0.3">
      <c r="A45" t="s">
        <v>1146</v>
      </c>
      <c r="B45" t="s">
        <v>944</v>
      </c>
      <c r="C45" t="s">
        <v>943</v>
      </c>
      <c r="D45" t="s">
        <v>945</v>
      </c>
      <c r="E45" t="s">
        <v>43</v>
      </c>
      <c r="F45" s="86">
        <v>37051</v>
      </c>
      <c r="G45" s="86" t="s">
        <v>1186</v>
      </c>
      <c r="H45" s="131">
        <v>45488</v>
      </c>
      <c r="I45" s="70">
        <v>222500</v>
      </c>
      <c r="J45" s="70">
        <f>Table2[[#This Row],[LUMPSUM AMOUNT]]*12</f>
        <v>2670000</v>
      </c>
      <c r="K45" s="70">
        <f>Table2[[#This Row],[Annual Salary]]*3</f>
        <v>8010000</v>
      </c>
      <c r="L45" s="70">
        <f>6/1000*Table2[[#This Row],[Sum Assured]]</f>
        <v>48060</v>
      </c>
      <c r="M45" s="69">
        <v>50000</v>
      </c>
      <c r="N45" s="69">
        <f>0.09%*Table2[[#This Row],[Permanent Disability]]</f>
        <v>45</v>
      </c>
      <c r="O45" s="69">
        <v>250000</v>
      </c>
      <c r="P45" s="69">
        <v>50000</v>
      </c>
      <c r="Q45" s="69">
        <v>92.307692307692307</v>
      </c>
      <c r="R45" s="70">
        <f>Table2[[#This Row],[Death Premium]]+Table2[[#This Row],[PD Premium]]+Table2[[#This Row],[Riders'' premium (Burial expenses &amp; Spousal cover)]]</f>
        <v>48197.307692307695</v>
      </c>
      <c r="S45" s="70" t="s">
        <v>1394</v>
      </c>
    </row>
    <row r="46" spans="1:19" x14ac:dyDescent="0.3">
      <c r="A46" t="s">
        <v>1147</v>
      </c>
      <c r="B46" t="s">
        <v>946</v>
      </c>
      <c r="C46" t="s">
        <v>397</v>
      </c>
      <c r="D46" t="s">
        <v>849</v>
      </c>
      <c r="E46" t="s">
        <v>43</v>
      </c>
      <c r="F46" s="86">
        <v>24806</v>
      </c>
      <c r="G46" s="86" t="s">
        <v>1186</v>
      </c>
      <c r="H46" s="132">
        <v>45488</v>
      </c>
      <c r="I46" s="70">
        <v>708608.93</v>
      </c>
      <c r="J46" s="70">
        <f>Table2[[#This Row],[LUMPSUM AMOUNT]]*12</f>
        <v>8503307.1600000001</v>
      </c>
      <c r="K46" s="70">
        <f>Table2[[#This Row],[Annual Salary]]*3</f>
        <v>25509921.48</v>
      </c>
      <c r="L46" s="70">
        <f>6/1000*Table2[[#This Row],[Sum Assured]]</f>
        <v>153059.52888</v>
      </c>
      <c r="M46" s="69">
        <v>50000</v>
      </c>
      <c r="N46" s="69">
        <f>0.09%*Table2[[#This Row],[Permanent Disability]]</f>
        <v>45</v>
      </c>
      <c r="O46" s="69">
        <v>250000</v>
      </c>
      <c r="P46" s="69">
        <v>50000</v>
      </c>
      <c r="Q46" s="69">
        <v>92.307692307692307</v>
      </c>
      <c r="R46" s="70">
        <f>Table2[[#This Row],[Death Premium]]+Table2[[#This Row],[PD Premium]]+Table2[[#This Row],[Riders'' premium (Burial expenses &amp; Spousal cover)]]</f>
        <v>153196.83657230769</v>
      </c>
      <c r="S46" s="70">
        <v>0</v>
      </c>
    </row>
    <row r="47" spans="1:19" x14ac:dyDescent="0.3">
      <c r="A47" t="s">
        <v>1148</v>
      </c>
      <c r="B47" t="s">
        <v>1149</v>
      </c>
      <c r="C47" t="s">
        <v>1150</v>
      </c>
      <c r="D47" t="s">
        <v>1151</v>
      </c>
      <c r="E47" t="s">
        <v>700</v>
      </c>
      <c r="F47" s="86">
        <v>24361</v>
      </c>
      <c r="G47" s="86" t="s">
        <v>1186</v>
      </c>
      <c r="H47" s="133">
        <v>45575</v>
      </c>
      <c r="I47" s="70">
        <v>881933.99</v>
      </c>
      <c r="J47" s="70">
        <f>Table2[[#This Row],[LUMPSUM AMOUNT]]*12</f>
        <v>10583207.879999999</v>
      </c>
      <c r="K47" s="70">
        <f>Table2[[#This Row],[Annual Salary]]*3</f>
        <v>31749623.639999997</v>
      </c>
      <c r="L47" s="70">
        <f>6/1000*Table2[[#This Row],[Sum Assured]]</f>
        <v>190497.74183999997</v>
      </c>
      <c r="M47" s="69">
        <v>50000</v>
      </c>
      <c r="N47" s="69">
        <f>0.09%*Table2[[#This Row],[Permanent Disability]]</f>
        <v>45</v>
      </c>
      <c r="O47" s="69">
        <v>250000</v>
      </c>
      <c r="P47" s="69">
        <v>50000</v>
      </c>
      <c r="Q47" s="69">
        <v>92.307692307692307</v>
      </c>
      <c r="R47" s="70">
        <f>Table2[[#This Row],[Death Premium]]+Table2[[#This Row],[PD Premium]]+Table2[[#This Row],[Riders'' premium (Burial expenses &amp; Spousal cover)]]</f>
        <v>190635.04953230766</v>
      </c>
      <c r="S47" s="70">
        <v>0</v>
      </c>
    </row>
    <row r="48" spans="1:19" x14ac:dyDescent="0.3">
      <c r="A48" t="s">
        <v>1152</v>
      </c>
      <c r="B48" t="s">
        <v>1153</v>
      </c>
      <c r="C48" t="s">
        <v>512</v>
      </c>
      <c r="D48" t="s">
        <v>1154</v>
      </c>
      <c r="E48" s="6" t="s">
        <v>664</v>
      </c>
      <c r="F48" s="87">
        <v>26892</v>
      </c>
      <c r="G48" s="86" t="s">
        <v>1186</v>
      </c>
      <c r="H48" s="133">
        <v>45659</v>
      </c>
      <c r="I48" s="70">
        <v>1829695.86</v>
      </c>
      <c r="J48" s="70">
        <f>Table2[[#This Row],[LUMPSUM AMOUNT]]*12</f>
        <v>21956350.32</v>
      </c>
      <c r="K48" s="70">
        <f>Table2[[#This Row],[Annual Salary]]*3</f>
        <v>65869050.960000001</v>
      </c>
      <c r="L48" s="70">
        <f>6/1000*Table2[[#This Row],[Sum Assured]]</f>
        <v>395214.30576000002</v>
      </c>
      <c r="M48" s="69">
        <v>50000</v>
      </c>
      <c r="N48" s="69">
        <f>0.09%*Table2[[#This Row],[Permanent Disability]]</f>
        <v>45</v>
      </c>
      <c r="O48" s="69">
        <v>250000</v>
      </c>
      <c r="P48" s="69">
        <v>50000</v>
      </c>
      <c r="Q48" s="69">
        <v>92.307692307692307</v>
      </c>
      <c r="R48" s="70">
        <f>Table2[[#This Row],[Death Premium]]+Table2[[#This Row],[PD Premium]]+Table2[[#This Row],[Riders'' premium (Burial expenses &amp; Spousal cover)]]</f>
        <v>395351.61345230771</v>
      </c>
      <c r="S48" s="70" t="s">
        <v>1395</v>
      </c>
    </row>
    <row r="49" spans="1:19" s="94" customFormat="1" x14ac:dyDescent="0.3">
      <c r="A49" s="94" t="s">
        <v>1155</v>
      </c>
      <c r="B49" s="89" t="s">
        <v>481</v>
      </c>
      <c r="C49" s="89" t="s">
        <v>270</v>
      </c>
      <c r="D49" s="94" t="s">
        <v>841</v>
      </c>
      <c r="E49" s="102" t="s">
        <v>34</v>
      </c>
      <c r="F49" s="90">
        <v>33028</v>
      </c>
      <c r="G49" s="86" t="s">
        <v>1186</v>
      </c>
      <c r="H49" s="86">
        <v>45769</v>
      </c>
      <c r="I49" s="70">
        <v>716171.62</v>
      </c>
      <c r="J49" s="96">
        <f>Table2[[#This Row],[LUMPSUM AMOUNT]]*12</f>
        <v>8594059.4399999995</v>
      </c>
      <c r="K49" s="96">
        <f>Table2[[#This Row],[Annual Salary]]*3</f>
        <v>25782178.32</v>
      </c>
      <c r="L49" s="96">
        <f>6/1000*Table2[[#This Row],[Sum Assured]]</f>
        <v>154693.06992000001</v>
      </c>
      <c r="M49" s="103">
        <v>50000</v>
      </c>
      <c r="N49" s="103">
        <f>0.09%*Table2[[#This Row],[Permanent Disability]]</f>
        <v>45</v>
      </c>
      <c r="O49" s="103">
        <v>250000</v>
      </c>
      <c r="P49" s="103">
        <v>50000</v>
      </c>
      <c r="Q49" s="69">
        <v>92.307692307692307</v>
      </c>
      <c r="R49" s="70">
        <f>Table2[[#This Row],[Death Premium]]+Table2[[#This Row],[PD Premium]]+Table2[[#This Row],[Riders'' premium (Burial expenses &amp; Spousal cover)]]</f>
        <v>154830.3776123077</v>
      </c>
      <c r="S49" s="96" t="s">
        <v>1396</v>
      </c>
    </row>
    <row r="50" spans="1:19" s="94" customFormat="1" x14ac:dyDescent="0.3">
      <c r="A50" s="125" t="s">
        <v>1158</v>
      </c>
      <c r="B50" s="125" t="s">
        <v>1159</v>
      </c>
      <c r="C50" s="125" t="s">
        <v>581</v>
      </c>
      <c r="D50" s="94" t="s">
        <v>1160</v>
      </c>
      <c r="E50" s="102" t="s">
        <v>43</v>
      </c>
      <c r="F50" s="90">
        <v>35567</v>
      </c>
      <c r="G50" s="86" t="s">
        <v>1186</v>
      </c>
      <c r="H50" s="135">
        <v>45838</v>
      </c>
      <c r="I50" s="70">
        <v>468749.25</v>
      </c>
      <c r="J50" s="96">
        <f>Table2[[#This Row],[LUMPSUM AMOUNT]]*12</f>
        <v>5624991</v>
      </c>
      <c r="K50" s="96">
        <f>Table2[[#This Row],[Annual Salary]]*3</f>
        <v>16874973</v>
      </c>
      <c r="L50" s="96">
        <f>6/1000*Table2[[#This Row],[Sum Assured]]</f>
        <v>101249.838</v>
      </c>
      <c r="M50" s="103">
        <v>50000</v>
      </c>
      <c r="N50" s="103">
        <f>0.09%*Table2[[#This Row],[Permanent Disability]]</f>
        <v>45</v>
      </c>
      <c r="O50" s="103">
        <v>250000</v>
      </c>
      <c r="P50" s="103">
        <v>50000</v>
      </c>
      <c r="Q50" s="69">
        <v>92.307692307692307</v>
      </c>
      <c r="R50" s="70">
        <f>Table2[[#This Row],[Death Premium]]+Table2[[#This Row],[PD Premium]]+Table2[[#This Row],[Riders'' premium (Burial expenses &amp; Spousal cover)]]</f>
        <v>101387.14569230769</v>
      </c>
      <c r="S50" s="96" t="s">
        <v>1397</v>
      </c>
    </row>
    <row r="51" spans="1:19" s="94" customFormat="1" x14ac:dyDescent="0.3">
      <c r="A51" s="125" t="s">
        <v>1161</v>
      </c>
      <c r="B51" s="125" t="s">
        <v>1162</v>
      </c>
      <c r="C51" s="125" t="s">
        <v>1163</v>
      </c>
      <c r="D51" s="94" t="s">
        <v>1164</v>
      </c>
      <c r="E51" s="102" t="s">
        <v>700</v>
      </c>
      <c r="F51" s="90">
        <v>33727</v>
      </c>
      <c r="G51" s="86" t="s">
        <v>1186</v>
      </c>
      <c r="H51" s="134">
        <v>45852</v>
      </c>
      <c r="I51" s="70">
        <v>350500</v>
      </c>
      <c r="J51" s="96">
        <f>Table2[[#This Row],[LUMPSUM AMOUNT]]*12</f>
        <v>4206000</v>
      </c>
      <c r="K51" s="96">
        <f>Table2[[#This Row],[Annual Salary]]*3</f>
        <v>12618000</v>
      </c>
      <c r="L51" s="96">
        <f>6/1000*Table2[[#This Row],[Sum Assured]]</f>
        <v>75708</v>
      </c>
      <c r="M51" s="103">
        <v>50000</v>
      </c>
      <c r="N51" s="103">
        <f>0.09%*Table2[[#This Row],[Permanent Disability]]</f>
        <v>45</v>
      </c>
      <c r="O51" s="103">
        <v>250000</v>
      </c>
      <c r="P51" s="103">
        <v>50000</v>
      </c>
      <c r="Q51" s="69">
        <v>92.307692307692307</v>
      </c>
      <c r="R51" s="70">
        <f>Table2[[#This Row],[Death Premium]]+Table2[[#This Row],[PD Premium]]+Table2[[#This Row],[Riders'' premium (Burial expenses &amp; Spousal cover)]]</f>
        <v>75845.307692307688</v>
      </c>
      <c r="S51" s="96" t="s">
        <v>1398</v>
      </c>
    </row>
    <row r="52" spans="1:19" s="94" customFormat="1" x14ac:dyDescent="0.3">
      <c r="A52" s="125" t="s">
        <v>1165</v>
      </c>
      <c r="B52" s="123" t="s">
        <v>1166</v>
      </c>
      <c r="C52" s="127" t="s">
        <v>856</v>
      </c>
      <c r="D52" s="94" t="s">
        <v>1167</v>
      </c>
      <c r="E52" s="102" t="s">
        <v>700</v>
      </c>
      <c r="F52" s="90">
        <v>35618</v>
      </c>
      <c r="G52" s="86" t="s">
        <v>1186</v>
      </c>
      <c r="H52" s="134">
        <v>45880</v>
      </c>
      <c r="I52" s="70">
        <v>344278.83</v>
      </c>
      <c r="J52" s="96">
        <f>Table2[[#This Row],[LUMPSUM AMOUNT]]*12</f>
        <v>4131345.96</v>
      </c>
      <c r="K52" s="96">
        <f>Table2[[#This Row],[Annual Salary]]*3</f>
        <v>12394037.879999999</v>
      </c>
      <c r="L52" s="96">
        <f>6/1000*Table2[[#This Row],[Sum Assured]]</f>
        <v>74364.227279999992</v>
      </c>
      <c r="M52" s="103">
        <v>50000</v>
      </c>
      <c r="N52" s="103">
        <f>0.09%*Table2[[#This Row],[Permanent Disability]]</f>
        <v>45</v>
      </c>
      <c r="O52" s="103">
        <v>250000</v>
      </c>
      <c r="P52" s="103">
        <v>50000</v>
      </c>
      <c r="Q52" s="69">
        <v>92.307692307692307</v>
      </c>
      <c r="R52" s="70">
        <f>Table2[[#This Row],[Death Premium]]+Table2[[#This Row],[PD Premium]]+Table2[[#This Row],[Riders'' premium (Burial expenses &amp; Spousal cover)]]</f>
        <v>74501.53497230768</v>
      </c>
      <c r="S52" s="96" t="s">
        <v>1399</v>
      </c>
    </row>
    <row r="53" spans="1:19" s="94" customFormat="1" x14ac:dyDescent="0.3">
      <c r="A53" s="125" t="s">
        <v>1168</v>
      </c>
      <c r="B53" s="123" t="s">
        <v>1169</v>
      </c>
      <c r="C53" s="127" t="s">
        <v>599</v>
      </c>
      <c r="D53" s="94" t="s">
        <v>1170</v>
      </c>
      <c r="E53" s="102" t="s">
        <v>700</v>
      </c>
      <c r="F53" s="90">
        <v>31416</v>
      </c>
      <c r="G53" s="86" t="s">
        <v>1186</v>
      </c>
      <c r="H53" s="134">
        <v>45887</v>
      </c>
      <c r="I53" s="70">
        <v>371500</v>
      </c>
      <c r="J53" s="96">
        <f>Table2[[#This Row],[LUMPSUM AMOUNT]]*12</f>
        <v>4458000</v>
      </c>
      <c r="K53" s="96">
        <f>Table2[[#This Row],[Annual Salary]]*3</f>
        <v>13374000</v>
      </c>
      <c r="L53" s="96">
        <f>6/1000*Table2[[#This Row],[Sum Assured]]</f>
        <v>80244</v>
      </c>
      <c r="M53" s="103">
        <v>50000</v>
      </c>
      <c r="N53" s="103">
        <f>0.09%*Table2[[#This Row],[Permanent Disability]]</f>
        <v>45</v>
      </c>
      <c r="O53" s="103">
        <v>250000</v>
      </c>
      <c r="P53" s="103">
        <v>50000</v>
      </c>
      <c r="Q53" s="69">
        <v>92.307692307692307</v>
      </c>
      <c r="R53" s="70">
        <f>Table2[[#This Row],[Death Premium]]+Table2[[#This Row],[PD Premium]]+Table2[[#This Row],[Riders'' premium (Burial expenses &amp; Spousal cover)]]</f>
        <v>80381.307692307688</v>
      </c>
      <c r="S53" s="96" t="s">
        <v>1400</v>
      </c>
    </row>
    <row r="54" spans="1:19" s="94" customFormat="1" x14ac:dyDescent="0.3">
      <c r="A54" s="126" t="s">
        <v>1171</v>
      </c>
      <c r="B54" s="123" t="s">
        <v>311</v>
      </c>
      <c r="C54" s="127" t="s">
        <v>1172</v>
      </c>
      <c r="D54" s="94" t="s">
        <v>795</v>
      </c>
      <c r="E54" s="102" t="s">
        <v>43</v>
      </c>
      <c r="F54" s="90">
        <v>31605</v>
      </c>
      <c r="G54" s="86" t="s">
        <v>1186</v>
      </c>
      <c r="H54" s="90">
        <v>45887</v>
      </c>
      <c r="I54" s="70">
        <v>209992.25</v>
      </c>
      <c r="J54" s="96">
        <f>Table2[[#This Row],[LUMPSUM AMOUNT]]*12</f>
        <v>2519907</v>
      </c>
      <c r="K54" s="96">
        <f>Table2[[#This Row],[Annual Salary]]*3</f>
        <v>7559721</v>
      </c>
      <c r="L54" s="96">
        <f>6/1000*Table2[[#This Row],[Sum Assured]]</f>
        <v>45358.326000000001</v>
      </c>
      <c r="M54" s="103">
        <v>50000</v>
      </c>
      <c r="N54" s="103">
        <f>0.09%*Table2[[#This Row],[Permanent Disability]]</f>
        <v>45</v>
      </c>
      <c r="O54" s="103">
        <v>250000</v>
      </c>
      <c r="P54" s="103">
        <v>50000</v>
      </c>
      <c r="Q54" s="69">
        <v>92.307692307692307</v>
      </c>
      <c r="R54" s="70">
        <f>Table2[[#This Row],[Death Premium]]+Table2[[#This Row],[PD Premium]]+Table2[[#This Row],[Riders'' premium (Burial expenses &amp; Spousal cover)]]</f>
        <v>45495.633692307696</v>
      </c>
      <c r="S54" s="96" t="s">
        <v>1401</v>
      </c>
    </row>
    <row r="55" spans="1:19" s="94" customFormat="1" x14ac:dyDescent="0.3">
      <c r="A55" s="125" t="s">
        <v>1173</v>
      </c>
      <c r="B55" s="127" t="s">
        <v>1174</v>
      </c>
      <c r="C55" s="123" t="s">
        <v>1175</v>
      </c>
      <c r="D55" s="123" t="s">
        <v>1176</v>
      </c>
      <c r="E55" s="102" t="s">
        <v>34</v>
      </c>
      <c r="F55" s="90">
        <v>37693</v>
      </c>
      <c r="G55" s="90" t="s">
        <v>1186</v>
      </c>
      <c r="H55" s="90">
        <v>45962</v>
      </c>
      <c r="I55" s="70">
        <v>182490</v>
      </c>
      <c r="J55" s="96">
        <f>Table2[[#This Row],[LUMPSUM AMOUNT]]*12</f>
        <v>2189880</v>
      </c>
      <c r="K55" s="96">
        <f>Table2[[#This Row],[Annual Salary]]*3</f>
        <v>6569640</v>
      </c>
      <c r="L55" s="96">
        <f>6/1000*Table2[[#This Row],[Sum Assured]]</f>
        <v>39417.840000000004</v>
      </c>
      <c r="M55" s="103">
        <v>50000</v>
      </c>
      <c r="N55" s="103">
        <f>0.09%*Table2[[#This Row],[Permanent Disability]]</f>
        <v>45</v>
      </c>
      <c r="O55" s="103">
        <v>250000</v>
      </c>
      <c r="P55" s="103">
        <v>50000</v>
      </c>
      <c r="Q55" s="69">
        <v>92.307692307692307</v>
      </c>
      <c r="R55" s="70">
        <f>Table2[[#This Row],[Death Premium]]+Table2[[#This Row],[PD Premium]]+Table2[[#This Row],[Riders'' premium (Burial expenses &amp; Spousal cover)]]</f>
        <v>39555.147692307699</v>
      </c>
      <c r="S55" s="96" t="s">
        <v>1402</v>
      </c>
    </row>
    <row r="56" spans="1:19" s="94" customFormat="1" x14ac:dyDescent="0.3">
      <c r="A56" s="125" t="s">
        <v>1177</v>
      </c>
      <c r="B56" s="127" t="s">
        <v>1178</v>
      </c>
      <c r="C56" s="123" t="s">
        <v>32</v>
      </c>
      <c r="D56" s="123" t="s">
        <v>795</v>
      </c>
      <c r="E56" s="102" t="s">
        <v>43</v>
      </c>
      <c r="F56" s="90">
        <v>27834</v>
      </c>
      <c r="G56" s="90" t="s">
        <v>1186</v>
      </c>
      <c r="H56" s="90">
        <v>45962</v>
      </c>
      <c r="I56" s="70">
        <v>187084</v>
      </c>
      <c r="J56" s="96">
        <f>Table2[[#This Row],[LUMPSUM AMOUNT]]*12</f>
        <v>2245008</v>
      </c>
      <c r="K56" s="96">
        <f>Table2[[#This Row],[Annual Salary]]*3</f>
        <v>6735024</v>
      </c>
      <c r="L56" s="96">
        <f>6/1000*Table2[[#This Row],[Sum Assured]]</f>
        <v>40410.144</v>
      </c>
      <c r="M56" s="103">
        <v>50000</v>
      </c>
      <c r="N56" s="103">
        <f>0.09%*Table2[[#This Row],[Permanent Disability]]</f>
        <v>45</v>
      </c>
      <c r="O56" s="103">
        <v>250000</v>
      </c>
      <c r="P56" s="103">
        <v>50000</v>
      </c>
      <c r="Q56" s="69">
        <v>92.307692307692307</v>
      </c>
      <c r="R56" s="70">
        <f>Table2[[#This Row],[Death Premium]]+Table2[[#This Row],[PD Premium]]+Table2[[#This Row],[Riders'' premium (Burial expenses &amp; Spousal cover)]]</f>
        <v>40547.451692307695</v>
      </c>
      <c r="S56" s="96">
        <v>0</v>
      </c>
    </row>
    <row r="57" spans="1:19" s="94" customFormat="1" x14ac:dyDescent="0.3">
      <c r="A57" s="125" t="s">
        <v>1295</v>
      </c>
      <c r="B57" s="127" t="s">
        <v>907</v>
      </c>
      <c r="C57" s="123" t="s">
        <v>541</v>
      </c>
      <c r="D57" s="123" t="s">
        <v>908</v>
      </c>
      <c r="E57" s="102" t="s">
        <v>700</v>
      </c>
      <c r="F57" s="139">
        <v>31945</v>
      </c>
      <c r="G57" s="90" t="s">
        <v>1186</v>
      </c>
      <c r="H57" s="139">
        <v>44805</v>
      </c>
      <c r="I57" s="70">
        <v>740511.56</v>
      </c>
      <c r="J57" s="96">
        <f>Table2[[#This Row],[LUMPSUM AMOUNT]]*12</f>
        <v>8886138.7200000007</v>
      </c>
      <c r="K57" s="96">
        <f>Table2[[#This Row],[Annual Salary]]*3</f>
        <v>26658416.160000004</v>
      </c>
      <c r="L57" s="96">
        <f>6/1000*Table2[[#This Row],[Sum Assured]]</f>
        <v>159950.49696000002</v>
      </c>
      <c r="M57" s="103">
        <v>50000</v>
      </c>
      <c r="N57" s="103">
        <f>0.09%*Table2[[#This Row],[Permanent Disability]]</f>
        <v>45</v>
      </c>
      <c r="O57" s="103">
        <v>250000</v>
      </c>
      <c r="P57" s="103">
        <v>50000</v>
      </c>
      <c r="Q57" s="69">
        <v>92.307692307692307</v>
      </c>
      <c r="R57" s="70">
        <f>Table2[[#This Row],[Death Premium]]+Table2[[#This Row],[PD Premium]]+Table2[[#This Row],[Riders'' premium (Burial expenses &amp; Spousal cover)]]</f>
        <v>160087.80465230771</v>
      </c>
      <c r="S57" s="96">
        <v>0</v>
      </c>
    </row>
    <row r="58" spans="1:19" s="94" customFormat="1" x14ac:dyDescent="0.3">
      <c r="A58" s="125" t="s">
        <v>1296</v>
      </c>
      <c r="B58" s="127" t="s">
        <v>1304</v>
      </c>
      <c r="C58" s="123" t="s">
        <v>1305</v>
      </c>
      <c r="D58" s="123" t="s">
        <v>1316</v>
      </c>
      <c r="E58" s="102" t="s">
        <v>43</v>
      </c>
      <c r="F58" s="139">
        <v>35224</v>
      </c>
      <c r="G58" s="90" t="s">
        <v>1186</v>
      </c>
      <c r="H58" s="139">
        <v>46023</v>
      </c>
      <c r="I58" s="70">
        <v>398780.49</v>
      </c>
      <c r="J58" s="96">
        <f>Table2[[#This Row],[LUMPSUM AMOUNT]]*12</f>
        <v>4785365.88</v>
      </c>
      <c r="K58" s="96">
        <f>Table2[[#This Row],[Annual Salary]]*3</f>
        <v>14356097.640000001</v>
      </c>
      <c r="L58" s="96">
        <f>6/1000*Table2[[#This Row],[Sum Assured]]</f>
        <v>86136.58584</v>
      </c>
      <c r="M58" s="103">
        <v>50000</v>
      </c>
      <c r="N58" s="103">
        <f>0.09%*Table2[[#This Row],[Permanent Disability]]</f>
        <v>45</v>
      </c>
      <c r="O58" s="103">
        <v>250000</v>
      </c>
      <c r="P58" s="103">
        <v>50000</v>
      </c>
      <c r="Q58" s="69">
        <v>92.307692307692307</v>
      </c>
      <c r="R58" s="70">
        <f>Table2[[#This Row],[Death Premium]]+Table2[[#This Row],[PD Premium]]+Table2[[#This Row],[Riders'' premium (Burial expenses &amp; Spousal cover)]]</f>
        <v>86273.893532307688</v>
      </c>
      <c r="S58" s="96" t="s">
        <v>1403</v>
      </c>
    </row>
    <row r="59" spans="1:19" s="94" customFormat="1" x14ac:dyDescent="0.3">
      <c r="A59" s="125" t="s">
        <v>1297</v>
      </c>
      <c r="B59" s="127" t="s">
        <v>1306</v>
      </c>
      <c r="C59" s="123" t="s">
        <v>1307</v>
      </c>
      <c r="D59" s="123" t="s">
        <v>1316</v>
      </c>
      <c r="E59" s="102" t="s">
        <v>43</v>
      </c>
      <c r="F59" s="139">
        <v>36924</v>
      </c>
      <c r="G59" s="90" t="s">
        <v>1186</v>
      </c>
      <c r="H59" s="139">
        <v>46023</v>
      </c>
      <c r="I59" s="70">
        <v>398780.49</v>
      </c>
      <c r="J59" s="96">
        <f>Table2[[#This Row],[LUMPSUM AMOUNT]]*12</f>
        <v>4785365.88</v>
      </c>
      <c r="K59" s="96">
        <f>Table2[[#This Row],[Annual Salary]]*3</f>
        <v>14356097.640000001</v>
      </c>
      <c r="L59" s="96">
        <f>6/1000*Table2[[#This Row],[Sum Assured]]</f>
        <v>86136.58584</v>
      </c>
      <c r="M59" s="103">
        <v>50000</v>
      </c>
      <c r="N59" s="103">
        <f>0.09%*Table2[[#This Row],[Permanent Disability]]</f>
        <v>45</v>
      </c>
      <c r="O59" s="103">
        <v>250000</v>
      </c>
      <c r="P59" s="103">
        <v>50000</v>
      </c>
      <c r="Q59" s="69">
        <v>92.307692307692307</v>
      </c>
      <c r="R59" s="70">
        <f>Table2[[#This Row],[Death Premium]]+Table2[[#This Row],[PD Premium]]+Table2[[#This Row],[Riders'' premium (Burial expenses &amp; Spousal cover)]]</f>
        <v>86273.893532307688</v>
      </c>
      <c r="S59" s="96">
        <v>0</v>
      </c>
    </row>
    <row r="60" spans="1:19" s="94" customFormat="1" x14ac:dyDescent="0.3">
      <c r="A60" s="125" t="s">
        <v>1298</v>
      </c>
      <c r="B60" s="127" t="s">
        <v>1308</v>
      </c>
      <c r="C60" s="123" t="s">
        <v>311</v>
      </c>
      <c r="D60" s="123" t="s">
        <v>1316</v>
      </c>
      <c r="E60" s="102" t="s">
        <v>43</v>
      </c>
      <c r="F60" s="139">
        <v>36245</v>
      </c>
      <c r="G60" s="90" t="s">
        <v>1186</v>
      </c>
      <c r="H60" s="139">
        <v>46054</v>
      </c>
      <c r="I60" s="70">
        <v>398780.49</v>
      </c>
      <c r="J60" s="96">
        <f>Table2[[#This Row],[LUMPSUM AMOUNT]]*12</f>
        <v>4785365.88</v>
      </c>
      <c r="K60" s="96">
        <f>Table2[[#This Row],[Annual Salary]]*3</f>
        <v>14356097.640000001</v>
      </c>
      <c r="L60" s="96">
        <f>6/1000*Table2[[#This Row],[Sum Assured]]</f>
        <v>86136.58584</v>
      </c>
      <c r="M60" s="103">
        <v>50000</v>
      </c>
      <c r="N60" s="103">
        <f>0.09%*Table2[[#This Row],[Permanent Disability]]</f>
        <v>45</v>
      </c>
      <c r="O60" s="103">
        <v>250000</v>
      </c>
      <c r="P60" s="103">
        <v>50000</v>
      </c>
      <c r="Q60" s="69">
        <v>92.307692307692307</v>
      </c>
      <c r="R60" s="70">
        <f>Table2[[#This Row],[Death Premium]]+Table2[[#This Row],[PD Premium]]+Table2[[#This Row],[Riders'' premium (Burial expenses &amp; Spousal cover)]]</f>
        <v>86273.893532307688</v>
      </c>
      <c r="S60" s="96">
        <v>0</v>
      </c>
    </row>
    <row r="61" spans="1:19" s="94" customFormat="1" x14ac:dyDescent="0.3">
      <c r="A61" s="125" t="s">
        <v>1299</v>
      </c>
      <c r="B61" s="127" t="s">
        <v>386</v>
      </c>
      <c r="C61" s="123" t="s">
        <v>1309</v>
      </c>
      <c r="D61" s="123" t="s">
        <v>1316</v>
      </c>
      <c r="E61" s="102" t="s">
        <v>43</v>
      </c>
      <c r="F61" s="139">
        <v>37057</v>
      </c>
      <c r="G61" s="90" t="s">
        <v>1186</v>
      </c>
      <c r="H61" s="139">
        <v>46063</v>
      </c>
      <c r="I61" s="70">
        <v>398780.49</v>
      </c>
      <c r="J61" s="96">
        <f>Table2[[#This Row],[LUMPSUM AMOUNT]]*12</f>
        <v>4785365.88</v>
      </c>
      <c r="K61" s="96">
        <f>Table2[[#This Row],[Annual Salary]]*3</f>
        <v>14356097.640000001</v>
      </c>
      <c r="L61" s="96">
        <f>6/1000*Table2[[#This Row],[Sum Assured]]</f>
        <v>86136.58584</v>
      </c>
      <c r="M61" s="103">
        <v>50000</v>
      </c>
      <c r="N61" s="103">
        <f>0.09%*Table2[[#This Row],[Permanent Disability]]</f>
        <v>45</v>
      </c>
      <c r="O61" s="103">
        <v>250000</v>
      </c>
      <c r="P61" s="103">
        <v>50000</v>
      </c>
      <c r="Q61" s="69">
        <v>92.307692307692307</v>
      </c>
      <c r="R61" s="70">
        <f>Table2[[#This Row],[Death Premium]]+Table2[[#This Row],[PD Premium]]+Table2[[#This Row],[Riders'' premium (Burial expenses &amp; Spousal cover)]]</f>
        <v>86273.893532307688</v>
      </c>
      <c r="S61" s="96">
        <v>0</v>
      </c>
    </row>
    <row r="62" spans="1:19" s="94" customFormat="1" x14ac:dyDescent="0.3">
      <c r="A62" s="125" t="s">
        <v>1300</v>
      </c>
      <c r="B62" s="127" t="s">
        <v>1276</v>
      </c>
      <c r="C62" s="123" t="s">
        <v>1310</v>
      </c>
      <c r="D62" s="123" t="s">
        <v>1316</v>
      </c>
      <c r="E62" s="102" t="s">
        <v>43</v>
      </c>
      <c r="F62" s="139">
        <v>37284</v>
      </c>
      <c r="G62" s="90" t="s">
        <v>1186</v>
      </c>
      <c r="H62" s="139">
        <v>46143</v>
      </c>
      <c r="I62" s="70">
        <v>398780.49</v>
      </c>
      <c r="J62" s="96">
        <f>Table2[[#This Row],[LUMPSUM AMOUNT]]*12</f>
        <v>4785365.88</v>
      </c>
      <c r="K62" s="96">
        <f>Table2[[#This Row],[Annual Salary]]*3</f>
        <v>14356097.640000001</v>
      </c>
      <c r="L62" s="96">
        <f>6/1000*Table2[[#This Row],[Sum Assured]]</f>
        <v>86136.58584</v>
      </c>
      <c r="M62" s="103">
        <v>50000</v>
      </c>
      <c r="N62" s="103">
        <f>0.09%*Table2[[#This Row],[Permanent Disability]]</f>
        <v>45</v>
      </c>
      <c r="O62" s="103">
        <v>250000</v>
      </c>
      <c r="P62" s="103">
        <v>50000</v>
      </c>
      <c r="Q62" s="69">
        <v>92.307692307692307</v>
      </c>
      <c r="R62" s="70">
        <f>Table2[[#This Row],[Death Premium]]+Table2[[#This Row],[PD Premium]]+Table2[[#This Row],[Riders'' premium (Burial expenses &amp; Spousal cover)]]</f>
        <v>86273.893532307688</v>
      </c>
      <c r="S62" s="96">
        <v>0</v>
      </c>
    </row>
    <row r="63" spans="1:19" s="94" customFormat="1" x14ac:dyDescent="0.3">
      <c r="A63" s="125" t="s">
        <v>1301</v>
      </c>
      <c r="B63" s="127" t="s">
        <v>1311</v>
      </c>
      <c r="C63" s="123" t="s">
        <v>130</v>
      </c>
      <c r="D63" s="123" t="s">
        <v>1316</v>
      </c>
      <c r="E63" s="102" t="s">
        <v>43</v>
      </c>
      <c r="F63" s="139">
        <v>36298</v>
      </c>
      <c r="G63" s="90" t="s">
        <v>1186</v>
      </c>
      <c r="H63" s="139">
        <v>46174</v>
      </c>
      <c r="I63" s="70">
        <v>491829.27</v>
      </c>
      <c r="J63" s="96">
        <f>Table2[[#This Row],[LUMPSUM AMOUNT]]*12</f>
        <v>5901951.2400000002</v>
      </c>
      <c r="K63" s="96">
        <f>Table2[[#This Row],[Annual Salary]]*3</f>
        <v>17705853.719999999</v>
      </c>
      <c r="L63" s="96">
        <f>6/1000*Table2[[#This Row],[Sum Assured]]</f>
        <v>106235.12231999999</v>
      </c>
      <c r="M63" s="103">
        <v>50000</v>
      </c>
      <c r="N63" s="103">
        <f>0.09%*Table2[[#This Row],[Permanent Disability]]</f>
        <v>45</v>
      </c>
      <c r="O63" s="103">
        <v>250000</v>
      </c>
      <c r="P63" s="103">
        <v>50000</v>
      </c>
      <c r="Q63" s="69">
        <v>92.307692307692307</v>
      </c>
      <c r="R63" s="70">
        <f>Table2[[#This Row],[Death Premium]]+Table2[[#This Row],[PD Premium]]+Table2[[#This Row],[Riders'' premium (Burial expenses &amp; Spousal cover)]]</f>
        <v>106372.43001230768</v>
      </c>
      <c r="S63" s="96">
        <v>0</v>
      </c>
    </row>
    <row r="64" spans="1:19" s="94" customFormat="1" x14ac:dyDescent="0.3">
      <c r="A64" s="125" t="s">
        <v>1302</v>
      </c>
      <c r="B64" s="127" t="s">
        <v>1312</v>
      </c>
      <c r="C64" s="123" t="s">
        <v>1313</v>
      </c>
      <c r="D64" s="123" t="s">
        <v>1316</v>
      </c>
      <c r="E64" s="102" t="s">
        <v>43</v>
      </c>
      <c r="F64" s="139">
        <v>36479</v>
      </c>
      <c r="G64" s="90" t="s">
        <v>1186</v>
      </c>
      <c r="H64" s="139">
        <v>46174</v>
      </c>
      <c r="I64" s="70">
        <v>398780.49</v>
      </c>
      <c r="J64" s="96">
        <f>Table2[[#This Row],[LUMPSUM AMOUNT]]*12</f>
        <v>4785365.88</v>
      </c>
      <c r="K64" s="96">
        <f>Table2[[#This Row],[Annual Salary]]*3</f>
        <v>14356097.640000001</v>
      </c>
      <c r="L64" s="96">
        <f>6/1000*Table2[[#This Row],[Sum Assured]]</f>
        <v>86136.58584</v>
      </c>
      <c r="M64" s="103">
        <v>50000</v>
      </c>
      <c r="N64" s="103">
        <f>0.09%*Table2[[#This Row],[Permanent Disability]]</f>
        <v>45</v>
      </c>
      <c r="O64" s="103">
        <v>250000</v>
      </c>
      <c r="P64" s="103">
        <v>50000</v>
      </c>
      <c r="Q64" s="69">
        <v>92.307692307692307</v>
      </c>
      <c r="R64" s="70">
        <f>Table2[[#This Row],[Death Premium]]+Table2[[#This Row],[PD Premium]]+Table2[[#This Row],[Riders'' premium (Burial expenses &amp; Spousal cover)]]</f>
        <v>86273.893532307688</v>
      </c>
      <c r="S64" s="96">
        <v>0</v>
      </c>
    </row>
    <row r="65" spans="1:19" s="94" customFormat="1" x14ac:dyDescent="0.3">
      <c r="A65" s="125" t="s">
        <v>1303</v>
      </c>
      <c r="B65" s="127" t="s">
        <v>1314</v>
      </c>
      <c r="C65" s="123" t="s">
        <v>1315</v>
      </c>
      <c r="D65" s="123" t="s">
        <v>1316</v>
      </c>
      <c r="E65" s="102" t="s">
        <v>43</v>
      </c>
      <c r="F65" s="141">
        <v>37076</v>
      </c>
      <c r="G65" s="90" t="s">
        <v>284</v>
      </c>
      <c r="H65" s="141">
        <v>46174</v>
      </c>
      <c r="I65" s="70">
        <v>212682.93</v>
      </c>
      <c r="J65" s="96">
        <f>Table2[[#This Row],[LUMPSUM AMOUNT]]*12</f>
        <v>2552195.16</v>
      </c>
      <c r="K65" s="96">
        <f>Table2[[#This Row],[Annual Salary]]*3</f>
        <v>7656585.4800000004</v>
      </c>
      <c r="L65" s="96">
        <f>6/1000*Table2[[#This Row],[Sum Assured]]</f>
        <v>45939.512880000002</v>
      </c>
      <c r="M65" s="103">
        <v>50000</v>
      </c>
      <c r="N65" s="103">
        <f>0.09%*Table2[[#This Row],[Permanent Disability]]</f>
        <v>45</v>
      </c>
      <c r="O65" s="103">
        <v>250000</v>
      </c>
      <c r="P65" s="103">
        <v>50000</v>
      </c>
      <c r="Q65" s="69">
        <v>92.307692307692307</v>
      </c>
      <c r="R65" s="70">
        <f>Table2[[#This Row],[Death Premium]]+Table2[[#This Row],[PD Premium]]+Table2[[#This Row],[Riders'' premium (Burial expenses &amp; Spousal cover)]]</f>
        <v>46076.820572307697</v>
      </c>
      <c r="S65" s="96">
        <v>0</v>
      </c>
    </row>
    <row r="66" spans="1:19" s="94" customFormat="1" x14ac:dyDescent="0.3">
      <c r="A66" s="125" t="s">
        <v>1179</v>
      </c>
      <c r="B66" s="127" t="s">
        <v>1361</v>
      </c>
      <c r="C66" s="123" t="s">
        <v>1180</v>
      </c>
      <c r="D66" s="123" t="s">
        <v>795</v>
      </c>
      <c r="E66" s="102" t="s">
        <v>43</v>
      </c>
      <c r="F66" s="139">
        <v>35745</v>
      </c>
      <c r="G66" s="90" t="s">
        <v>284</v>
      </c>
      <c r="H66" s="142">
        <v>46023</v>
      </c>
      <c r="I66" s="2">
        <v>177084</v>
      </c>
      <c r="J66" s="96">
        <f>Table2[[#This Row],[LUMPSUM AMOUNT]]*12</f>
        <v>2125008</v>
      </c>
      <c r="K66" s="96">
        <f>Table2[[#This Row],[Annual Salary]]*3</f>
        <v>6375024</v>
      </c>
      <c r="L66" s="96">
        <f>6/1000*Table2[[#This Row],[Sum Assured]]</f>
        <v>38250.144</v>
      </c>
      <c r="M66" s="103">
        <v>50000</v>
      </c>
      <c r="N66" s="103">
        <f>0.09%*Table2[[#This Row],[Permanent Disability]]</f>
        <v>45</v>
      </c>
      <c r="O66" s="103">
        <v>250000</v>
      </c>
      <c r="P66" s="103">
        <v>50000</v>
      </c>
      <c r="Q66" s="69">
        <v>92.307692307692307</v>
      </c>
      <c r="R66" s="70">
        <f>Table2[[#This Row],[Death Premium]]+Table2[[#This Row],[PD Premium]]+Table2[[#This Row],[Riders'' premium (Burial expenses &amp; Spousal cover)]]</f>
        <v>38387.451692307695</v>
      </c>
      <c r="S66" s="96" t="s">
        <v>1404</v>
      </c>
    </row>
    <row r="67" spans="1:19" s="94" customFormat="1" x14ac:dyDescent="0.3">
      <c r="A67" s="125" t="s">
        <v>1356</v>
      </c>
      <c r="B67" s="127" t="s">
        <v>469</v>
      </c>
      <c r="C67" s="123" t="s">
        <v>564</v>
      </c>
      <c r="D67" s="123" t="s">
        <v>1292</v>
      </c>
      <c r="E67" s="102" t="s">
        <v>43</v>
      </c>
      <c r="F67" s="139">
        <v>34243</v>
      </c>
      <c r="G67" s="90" t="s">
        <v>284</v>
      </c>
      <c r="H67" s="142">
        <v>46204</v>
      </c>
      <c r="I67" s="70">
        <v>260000</v>
      </c>
      <c r="J67" s="96">
        <f>Table2[[#This Row],[LUMPSUM AMOUNT]]*12</f>
        <v>3120000</v>
      </c>
      <c r="K67" s="96">
        <f>Table2[[#This Row],[Annual Salary]]*3</f>
        <v>9360000</v>
      </c>
      <c r="L67" s="96">
        <f>6/1000*Table2[[#This Row],[Sum Assured]]</f>
        <v>56160</v>
      </c>
      <c r="M67" s="103">
        <v>50000</v>
      </c>
      <c r="N67" s="103">
        <f>0.09%*Table2[[#This Row],[Permanent Disability]]</f>
        <v>45</v>
      </c>
      <c r="O67" s="103">
        <v>250000</v>
      </c>
      <c r="P67" s="103">
        <v>50000</v>
      </c>
      <c r="Q67" s="69">
        <v>92.307692307692307</v>
      </c>
      <c r="R67" s="70">
        <f>Table2[[#This Row],[Death Premium]]+Table2[[#This Row],[PD Premium]]+Table2[[#This Row],[Riders'' premium (Burial expenses &amp; Spousal cover)]]</f>
        <v>56297.307692307695</v>
      </c>
      <c r="S67" s="96">
        <v>0</v>
      </c>
    </row>
    <row r="68" spans="1:19" s="94" customFormat="1" x14ac:dyDescent="0.3">
      <c r="A68" s="125" t="s">
        <v>1357</v>
      </c>
      <c r="B68" s="127" t="s">
        <v>1362</v>
      </c>
      <c r="C68" s="123" t="s">
        <v>1363</v>
      </c>
      <c r="D68" s="123" t="s">
        <v>795</v>
      </c>
      <c r="E68" s="102" t="s">
        <v>43</v>
      </c>
      <c r="F68" s="141">
        <v>35013</v>
      </c>
      <c r="G68" s="90" t="s">
        <v>284</v>
      </c>
      <c r="H68" s="142">
        <v>46204</v>
      </c>
      <c r="I68" s="70">
        <v>177084</v>
      </c>
      <c r="J68" s="96">
        <f>Table2[[#This Row],[LUMPSUM AMOUNT]]*12</f>
        <v>2125008</v>
      </c>
      <c r="K68" s="96">
        <f>Table2[[#This Row],[Annual Salary]]*3</f>
        <v>6375024</v>
      </c>
      <c r="L68" s="96">
        <f>6/1000*Table2[[#This Row],[Sum Assured]]</f>
        <v>38250.144</v>
      </c>
      <c r="M68" s="103">
        <v>50000</v>
      </c>
      <c r="N68" s="103">
        <f>0.09%*Table2[[#This Row],[Permanent Disability]]</f>
        <v>45</v>
      </c>
      <c r="O68" s="103">
        <v>250000</v>
      </c>
      <c r="P68" s="103">
        <v>50000</v>
      </c>
      <c r="Q68" s="69">
        <v>92.307692307692307</v>
      </c>
      <c r="R68" s="70">
        <f>Table2[[#This Row],[Death Premium]]+Table2[[#This Row],[PD Premium]]+Table2[[#This Row],[Riders'' premium (Burial expenses &amp; Spousal cover)]]</f>
        <v>38387.451692307695</v>
      </c>
      <c r="S68" s="96">
        <v>0</v>
      </c>
    </row>
    <row r="69" spans="1:19" s="94" customFormat="1" x14ac:dyDescent="0.3">
      <c r="A69" s="125" t="s">
        <v>1358</v>
      </c>
      <c r="B69" s="127" t="s">
        <v>779</v>
      </c>
      <c r="C69" s="123" t="s">
        <v>1364</v>
      </c>
      <c r="D69" s="123" t="s">
        <v>795</v>
      </c>
      <c r="E69" s="102" t="s">
        <v>43</v>
      </c>
      <c r="F69" s="141">
        <v>34927</v>
      </c>
      <c r="G69" s="90" t="s">
        <v>284</v>
      </c>
      <c r="H69" s="142">
        <v>46237</v>
      </c>
      <c r="I69" s="70">
        <v>177084</v>
      </c>
      <c r="J69" s="96">
        <f>Table2[[#This Row],[LUMPSUM AMOUNT]]*12</f>
        <v>2125008</v>
      </c>
      <c r="K69" s="96">
        <f>Table2[[#This Row],[Annual Salary]]*3</f>
        <v>6375024</v>
      </c>
      <c r="L69" s="96">
        <f>6/1000*Table2[[#This Row],[Sum Assured]]</f>
        <v>38250.144</v>
      </c>
      <c r="M69" s="103">
        <v>50000</v>
      </c>
      <c r="N69" s="103">
        <f>0.09%*Table2[[#This Row],[Permanent Disability]]</f>
        <v>45</v>
      </c>
      <c r="O69" s="103">
        <v>250000</v>
      </c>
      <c r="P69" s="103">
        <v>50000</v>
      </c>
      <c r="Q69" s="69">
        <v>92.307692307692307</v>
      </c>
      <c r="R69" s="70">
        <f>Table2[[#This Row],[Death Premium]]+Table2[[#This Row],[PD Premium]]+Table2[[#This Row],[Riders'' premium (Burial expenses &amp; Spousal cover)]]</f>
        <v>38387.451692307695</v>
      </c>
      <c r="S69" s="96">
        <v>0</v>
      </c>
    </row>
    <row r="70" spans="1:19" s="94" customFormat="1" x14ac:dyDescent="0.3">
      <c r="A70" s="125" t="s">
        <v>1359</v>
      </c>
      <c r="B70" s="127" t="s">
        <v>564</v>
      </c>
      <c r="C70" s="123" t="s">
        <v>1169</v>
      </c>
      <c r="D70" s="123" t="s">
        <v>1366</v>
      </c>
      <c r="E70" s="102" t="s">
        <v>43</v>
      </c>
      <c r="F70" s="142">
        <v>25123</v>
      </c>
      <c r="G70" s="90" t="s">
        <v>284</v>
      </c>
      <c r="H70" s="142">
        <v>46030</v>
      </c>
      <c r="I70" s="70">
        <v>4157467.53</v>
      </c>
      <c r="J70" s="96">
        <f>Table2[[#This Row],[LUMPSUM AMOUNT]]*12</f>
        <v>49889610.359999999</v>
      </c>
      <c r="K70" s="96">
        <f>Table2[[#This Row],[Annual Salary]]*3</f>
        <v>149668831.07999998</v>
      </c>
      <c r="L70" s="96">
        <f>6/1000*Table2[[#This Row],[Sum Assured]]</f>
        <v>898012.98647999996</v>
      </c>
      <c r="M70" s="103">
        <v>50000</v>
      </c>
      <c r="N70" s="103">
        <f>0.09%*Table2[[#This Row],[Permanent Disability]]</f>
        <v>45</v>
      </c>
      <c r="O70" s="103">
        <v>250000</v>
      </c>
      <c r="P70" s="103">
        <v>50000</v>
      </c>
      <c r="Q70" s="69">
        <v>92.307692307692307</v>
      </c>
      <c r="R70" s="70">
        <f>Table2[[#This Row],[Death Premium]]+Table2[[#This Row],[PD Premium]]+Table2[[#This Row],[Riders'' premium (Burial expenses &amp; Spousal cover)]]</f>
        <v>898150.29417230771</v>
      </c>
      <c r="S70" s="96">
        <v>0</v>
      </c>
    </row>
    <row r="71" spans="1:19" s="94" customFormat="1" x14ac:dyDescent="0.3">
      <c r="A71" s="125" t="s">
        <v>1360</v>
      </c>
      <c r="B71" s="127" t="s">
        <v>1365</v>
      </c>
      <c r="C71" s="123" t="s">
        <v>1347</v>
      </c>
      <c r="D71" s="123" t="s">
        <v>1316</v>
      </c>
      <c r="E71" s="102" t="s">
        <v>43</v>
      </c>
      <c r="F71" s="142">
        <v>37534</v>
      </c>
      <c r="G71" s="90" t="s">
        <v>284</v>
      </c>
      <c r="H71" s="142">
        <v>46030</v>
      </c>
      <c r="I71" s="70">
        <v>398780.49</v>
      </c>
      <c r="J71" s="96">
        <f>Table2[[#This Row],[LUMPSUM AMOUNT]]*12</f>
        <v>4785365.88</v>
      </c>
      <c r="K71" s="96">
        <f>Table2[[#This Row],[Annual Salary]]*3</f>
        <v>14356097.640000001</v>
      </c>
      <c r="L71" s="96">
        <f>6/1000*Table2[[#This Row],[Sum Assured]]</f>
        <v>86136.58584</v>
      </c>
      <c r="M71" s="103">
        <v>50000</v>
      </c>
      <c r="N71" s="103">
        <f>0.09%*Table2[[#This Row],[Permanent Disability]]</f>
        <v>45</v>
      </c>
      <c r="O71" s="103">
        <v>250000</v>
      </c>
      <c r="P71" s="103">
        <v>50000</v>
      </c>
      <c r="Q71" s="69">
        <v>92.307692307692307</v>
      </c>
      <c r="R71" s="70">
        <f>Table2[[#This Row],[Death Premium]]+Table2[[#This Row],[PD Premium]]+Table2[[#This Row],[Riders'' premium (Burial expenses &amp; Spousal cover)]]</f>
        <v>86273.893532307688</v>
      </c>
      <c r="S71" s="96">
        <v>0</v>
      </c>
    </row>
    <row r="72" spans="1:19" s="94" customFormat="1" x14ac:dyDescent="0.3">
      <c r="A72">
        <f>SUBTOTAL(103,Table2[Employee Code])</f>
        <v>70</v>
      </c>
      <c r="B72">
        <f>SUBTOTAL(103,Table2[EmployeeSurname])</f>
        <v>70</v>
      </c>
      <c r="C72"/>
      <c r="D72"/>
      <c r="E72"/>
      <c r="F72"/>
      <c r="G72"/>
      <c r="H72"/>
      <c r="I72" s="71">
        <f>SUBTOTAL(109,Table2[LUMPSUM AMOUNT])</f>
        <v>34816969.399999991</v>
      </c>
      <c r="J72" s="71">
        <f>SUBTOTAL(109,Table2[Annual Salary])</f>
        <v>417803632.80000001</v>
      </c>
      <c r="K72" s="71">
        <f>SUBTOTAL(109,Table2[Sum Assured])</f>
        <v>1253410898.4000003</v>
      </c>
      <c r="L72" s="71">
        <f>SUBTOTAL(109,Table2[Death Premium])</f>
        <v>7520465.3904000018</v>
      </c>
      <c r="M72" s="71">
        <f>SUBTOTAL(109,Table2[Permanent Disability])</f>
        <v>3500000</v>
      </c>
      <c r="N72" s="71">
        <f>SUBTOTAL(109,Table2[PD Premium])</f>
        <v>3150</v>
      </c>
      <c r="O72" s="71">
        <f>SUBTOTAL(109,Table2[Burial Expenses])</f>
        <v>17500000</v>
      </c>
      <c r="P72" s="71">
        <f>SUBTOTAL(109,Table2[Spouse Benefits])</f>
        <v>3500000</v>
      </c>
      <c r="Q72" s="71">
        <f>SUBTOTAL(109,Table2[Riders'' premium (Burial expenses &amp; Spousal cover)])</f>
        <v>6461.5384615384646</v>
      </c>
      <c r="R72" s="71">
        <f>SUBTOTAL(109,Table2[Annual Premium])</f>
        <v>7530076.9288615352</v>
      </c>
      <c r="S72"/>
    </row>
    <row r="74" spans="1:19" x14ac:dyDescent="0.3">
      <c r="O74" s="71"/>
    </row>
  </sheetData>
  <phoneticPr fontId="16" type="noConversion"/>
  <conditionalFormatting sqref="A1:A1048576">
    <cfRule type="duplicateValues" dxfId="17" priority="13"/>
    <cfRule type="duplicateValues" dxfId="16" priority="15"/>
  </conditionalFormatting>
  <conditionalFormatting sqref="A72:A1048576 A1:A49">
    <cfRule type="duplicateValues" dxfId="15" priority="16"/>
  </conditionalFormatting>
  <conditionalFormatting sqref="A73:B1048576 A1:A49 A72">
    <cfRule type="duplicateValues" dxfId="14" priority="17"/>
    <cfRule type="duplicateValues" dxfId="13" priority="20"/>
    <cfRule type="duplicateValues" dxfId="12" priority="21" stopIfTrue="1"/>
  </conditionalFormatting>
  <conditionalFormatting sqref="C137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 stopIfTrue="1"/>
  </conditionalFormatting>
  <conditionalFormatting sqref="C138:C142"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  <cfRule type="duplicateValues" dxfId="0" priority="12" stopIfTrue="1"/>
  </conditionalFormatting>
  <pageMargins left="0.7" right="0.7" top="0.75" bottom="0.75" header="0.3" footer="0.3"/>
  <pageSetup paperSize="9" scale="45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4F39-2E58-482B-BAB8-50BA170D0DEB}">
  <dimension ref="A1:E55"/>
  <sheetViews>
    <sheetView workbookViewId="0">
      <selection activeCell="H24" sqref="H24"/>
    </sheetView>
  </sheetViews>
  <sheetFormatPr defaultRowHeight="14.4" x14ac:dyDescent="0.3"/>
  <cols>
    <col min="2" max="2" width="12.109375" customWidth="1"/>
    <col min="3" max="3" width="12.109375" bestFit="1" customWidth="1"/>
    <col min="4" max="4" width="12.21875" customWidth="1"/>
    <col min="5" max="5" width="29.33203125" bestFit="1" customWidth="1"/>
  </cols>
  <sheetData>
    <row r="1" spans="1:5" x14ac:dyDescent="0.3">
      <c r="A1" s="146" t="s">
        <v>11</v>
      </c>
      <c r="B1" s="146" t="s">
        <v>12</v>
      </c>
      <c r="C1" s="146" t="s">
        <v>13</v>
      </c>
      <c r="D1" s="146" t="s">
        <v>14</v>
      </c>
      <c r="E1" s="146" t="s">
        <v>15</v>
      </c>
    </row>
    <row r="2" spans="1:5" x14ac:dyDescent="0.3">
      <c r="A2" s="146">
        <v>1</v>
      </c>
      <c r="B2" s="146" t="s">
        <v>48</v>
      </c>
      <c r="C2" s="146" t="s">
        <v>49</v>
      </c>
      <c r="D2" s="146" t="s">
        <v>50</v>
      </c>
      <c r="E2" s="146" t="s">
        <v>51</v>
      </c>
    </row>
    <row r="3" spans="1:5" x14ac:dyDescent="0.3">
      <c r="A3" s="146">
        <v>2</v>
      </c>
      <c r="B3" s="146" t="s">
        <v>52</v>
      </c>
      <c r="C3" s="146" t="s">
        <v>53</v>
      </c>
      <c r="D3" s="146" t="s">
        <v>54</v>
      </c>
      <c r="E3" s="146" t="s">
        <v>55</v>
      </c>
    </row>
    <row r="4" spans="1:5" x14ac:dyDescent="0.3">
      <c r="A4" s="146">
        <v>3</v>
      </c>
      <c r="B4" s="146" t="s">
        <v>56</v>
      </c>
      <c r="C4" s="146" t="s">
        <v>57</v>
      </c>
      <c r="D4" s="146" t="s">
        <v>58</v>
      </c>
      <c r="E4" s="146" t="s">
        <v>59</v>
      </c>
    </row>
    <row r="5" spans="1:5" x14ac:dyDescent="0.3">
      <c r="A5" s="146">
        <v>4</v>
      </c>
      <c r="B5" s="146" t="s">
        <v>64</v>
      </c>
      <c r="C5" s="146" t="s">
        <v>65</v>
      </c>
      <c r="D5" s="146" t="s">
        <v>66</v>
      </c>
      <c r="E5" s="146" t="s">
        <v>67</v>
      </c>
    </row>
    <row r="6" spans="1:5" x14ac:dyDescent="0.3">
      <c r="A6" s="146">
        <v>5</v>
      </c>
      <c r="B6" s="146" t="s">
        <v>72</v>
      </c>
      <c r="C6" s="146" t="s">
        <v>73</v>
      </c>
      <c r="D6" s="146" t="s">
        <v>74</v>
      </c>
      <c r="E6" s="146" t="s">
        <v>75</v>
      </c>
    </row>
    <row r="7" spans="1:5" x14ac:dyDescent="0.3">
      <c r="A7" s="146">
        <v>6</v>
      </c>
      <c r="B7" s="146" t="s">
        <v>80</v>
      </c>
      <c r="C7" s="146" t="s">
        <v>81</v>
      </c>
      <c r="D7" s="146" t="s">
        <v>82</v>
      </c>
      <c r="E7" s="146" t="s">
        <v>83</v>
      </c>
    </row>
    <row r="8" spans="1:5" x14ac:dyDescent="0.3">
      <c r="A8" s="146">
        <v>7</v>
      </c>
      <c r="B8" s="146" t="s">
        <v>132</v>
      </c>
      <c r="C8" s="146" t="s">
        <v>133</v>
      </c>
      <c r="D8" s="146" t="s">
        <v>134</v>
      </c>
      <c r="E8" s="146" t="s">
        <v>135</v>
      </c>
    </row>
    <row r="9" spans="1:5" x14ac:dyDescent="0.3">
      <c r="A9" s="146">
        <v>8</v>
      </c>
      <c r="B9" s="146" t="s">
        <v>152</v>
      </c>
      <c r="C9" s="146" t="s">
        <v>153</v>
      </c>
      <c r="D9" s="146" t="s">
        <v>154</v>
      </c>
      <c r="E9" s="146" t="s">
        <v>91</v>
      </c>
    </row>
    <row r="10" spans="1:5" x14ac:dyDescent="0.3">
      <c r="A10" s="146">
        <v>9</v>
      </c>
      <c r="B10" s="146" t="s">
        <v>174</v>
      </c>
      <c r="C10" s="146" t="s">
        <v>175</v>
      </c>
      <c r="D10" s="146" t="s">
        <v>176</v>
      </c>
      <c r="E10" s="146" t="s">
        <v>177</v>
      </c>
    </row>
    <row r="11" spans="1:5" x14ac:dyDescent="0.3">
      <c r="A11" s="146">
        <v>10</v>
      </c>
      <c r="B11" s="146" t="s">
        <v>221</v>
      </c>
      <c r="C11" s="146" t="s">
        <v>222</v>
      </c>
      <c r="D11" s="146" t="s">
        <v>223</v>
      </c>
      <c r="E11" s="146" t="s">
        <v>224</v>
      </c>
    </row>
    <row r="12" spans="1:5" x14ac:dyDescent="0.3">
      <c r="A12" s="146">
        <v>11</v>
      </c>
      <c r="B12" s="146" t="s">
        <v>247</v>
      </c>
      <c r="C12" s="146" t="s">
        <v>248</v>
      </c>
      <c r="D12" s="146" t="s">
        <v>249</v>
      </c>
      <c r="E12" s="146" t="s">
        <v>250</v>
      </c>
    </row>
    <row r="13" spans="1:5" x14ac:dyDescent="0.3">
      <c r="A13" s="146">
        <v>12</v>
      </c>
      <c r="B13" s="146" t="s">
        <v>251</v>
      </c>
      <c r="C13" s="146" t="s">
        <v>252</v>
      </c>
      <c r="D13" s="146" t="s">
        <v>253</v>
      </c>
      <c r="E13" s="146" t="s">
        <v>254</v>
      </c>
    </row>
    <row r="14" spans="1:5" x14ac:dyDescent="0.3">
      <c r="A14" s="146">
        <v>13</v>
      </c>
      <c r="B14" s="146" t="s">
        <v>272</v>
      </c>
      <c r="C14" s="146" t="s">
        <v>273</v>
      </c>
      <c r="D14" s="146" t="s">
        <v>274</v>
      </c>
      <c r="E14" s="146" t="s">
        <v>275</v>
      </c>
    </row>
    <row r="15" spans="1:5" x14ac:dyDescent="0.3">
      <c r="A15" s="146">
        <v>14</v>
      </c>
      <c r="B15" s="146" t="s">
        <v>1187</v>
      </c>
      <c r="C15" s="146" t="s">
        <v>932</v>
      </c>
      <c r="D15" s="146" t="s">
        <v>1192</v>
      </c>
      <c r="E15" s="146" t="s">
        <v>208</v>
      </c>
    </row>
    <row r="16" spans="1:5" x14ac:dyDescent="0.3">
      <c r="A16" s="146">
        <v>15</v>
      </c>
      <c r="B16" s="146" t="s">
        <v>1188</v>
      </c>
      <c r="C16" s="146" t="s">
        <v>935</v>
      </c>
      <c r="D16" s="146" t="s">
        <v>934</v>
      </c>
      <c r="E16" s="146" t="s">
        <v>936</v>
      </c>
    </row>
    <row r="17" spans="1:5" x14ac:dyDescent="0.3">
      <c r="A17" s="146">
        <v>16</v>
      </c>
      <c r="B17" s="146" t="s">
        <v>1189</v>
      </c>
      <c r="C17" s="146" t="s">
        <v>1193</v>
      </c>
      <c r="D17" s="146" t="s">
        <v>202</v>
      </c>
      <c r="E17" s="146" t="s">
        <v>903</v>
      </c>
    </row>
    <row r="18" spans="1:5" x14ac:dyDescent="0.3">
      <c r="A18" s="146">
        <v>17</v>
      </c>
      <c r="B18" s="146" t="s">
        <v>1190</v>
      </c>
      <c r="C18" s="146" t="s">
        <v>1194</v>
      </c>
      <c r="D18" s="146" t="s">
        <v>1195</v>
      </c>
      <c r="E18" s="146" t="s">
        <v>1196</v>
      </c>
    </row>
    <row r="19" spans="1:5" x14ac:dyDescent="0.3">
      <c r="A19" s="146">
        <v>18</v>
      </c>
      <c r="B19" s="146" t="s">
        <v>1191</v>
      </c>
      <c r="C19" s="146" t="s">
        <v>566</v>
      </c>
      <c r="D19" s="146" t="s">
        <v>925</v>
      </c>
      <c r="E19" s="146" t="s">
        <v>1197</v>
      </c>
    </row>
    <row r="20" spans="1:5" x14ac:dyDescent="0.3">
      <c r="A20" s="146">
        <v>19</v>
      </c>
      <c r="B20" s="146" t="s">
        <v>1317</v>
      </c>
      <c r="C20" s="146" t="s">
        <v>1157</v>
      </c>
      <c r="D20" s="146" t="s">
        <v>1156</v>
      </c>
      <c r="E20" s="146" t="s">
        <v>1369</v>
      </c>
    </row>
    <row r="21" spans="1:5" x14ac:dyDescent="0.3">
      <c r="A21" s="146">
        <v>20</v>
      </c>
      <c r="B21" s="146" t="s">
        <v>1104</v>
      </c>
      <c r="C21" s="146" t="s">
        <v>854</v>
      </c>
      <c r="D21" s="146" t="s">
        <v>185</v>
      </c>
      <c r="E21" s="146" t="s">
        <v>795</v>
      </c>
    </row>
    <row r="22" spans="1:5" x14ac:dyDescent="0.3">
      <c r="A22" s="146">
        <v>21</v>
      </c>
      <c r="B22" s="146" t="s">
        <v>1105</v>
      </c>
      <c r="C22" s="146" t="s">
        <v>379</v>
      </c>
      <c r="D22" s="146" t="s">
        <v>858</v>
      </c>
      <c r="E22" s="146" t="s">
        <v>795</v>
      </c>
    </row>
    <row r="23" spans="1:5" x14ac:dyDescent="0.3">
      <c r="A23" s="146">
        <v>22</v>
      </c>
      <c r="B23" s="146" t="s">
        <v>1106</v>
      </c>
      <c r="C23" s="146" t="s">
        <v>860</v>
      </c>
      <c r="D23" s="146" t="s">
        <v>859</v>
      </c>
      <c r="E23" s="146" t="s">
        <v>861</v>
      </c>
    </row>
    <row r="24" spans="1:5" x14ac:dyDescent="0.3">
      <c r="A24" s="146">
        <v>23</v>
      </c>
      <c r="B24" s="146" t="s">
        <v>1107</v>
      </c>
      <c r="C24" s="146" t="s">
        <v>717</v>
      </c>
      <c r="D24" s="146" t="s">
        <v>888</v>
      </c>
      <c r="E24" s="146" t="s">
        <v>107</v>
      </c>
    </row>
    <row r="25" spans="1:5" x14ac:dyDescent="0.3">
      <c r="A25" s="146">
        <v>24</v>
      </c>
      <c r="B25" s="146" t="s">
        <v>1108</v>
      </c>
      <c r="C25" s="146" t="s">
        <v>948</v>
      </c>
      <c r="D25" s="146" t="s">
        <v>947</v>
      </c>
      <c r="E25" s="146" t="s">
        <v>871</v>
      </c>
    </row>
    <row r="26" spans="1:5" x14ac:dyDescent="0.3">
      <c r="A26" s="146">
        <v>25</v>
      </c>
      <c r="B26" s="146" t="s">
        <v>1109</v>
      </c>
      <c r="C26" s="146" t="s">
        <v>630</v>
      </c>
      <c r="D26" s="146" t="s">
        <v>485</v>
      </c>
      <c r="E26" s="146" t="s">
        <v>795</v>
      </c>
    </row>
    <row r="27" spans="1:5" x14ac:dyDescent="0.3">
      <c r="A27" s="146">
        <v>26</v>
      </c>
      <c r="B27" s="146" t="s">
        <v>1112</v>
      </c>
      <c r="C27" s="146" t="s">
        <v>1113</v>
      </c>
      <c r="D27" s="146" t="s">
        <v>806</v>
      </c>
      <c r="E27" s="146" t="s">
        <v>808</v>
      </c>
    </row>
    <row r="28" spans="1:5" x14ac:dyDescent="0.3">
      <c r="A28" s="146">
        <v>27</v>
      </c>
      <c r="B28" s="146" t="s">
        <v>1114</v>
      </c>
      <c r="C28" s="146" t="s">
        <v>810</v>
      </c>
      <c r="D28" s="146" t="s">
        <v>809</v>
      </c>
      <c r="E28" s="146" t="s">
        <v>811</v>
      </c>
    </row>
    <row r="29" spans="1:5" x14ac:dyDescent="0.3">
      <c r="A29" s="146">
        <v>28</v>
      </c>
      <c r="B29" s="146" t="s">
        <v>1117</v>
      </c>
      <c r="C29" s="146" t="s">
        <v>823</v>
      </c>
      <c r="D29" s="146" t="s">
        <v>447</v>
      </c>
      <c r="E29" s="146" t="s">
        <v>795</v>
      </c>
    </row>
    <row r="30" spans="1:5" x14ac:dyDescent="0.3">
      <c r="A30" s="146">
        <v>29</v>
      </c>
      <c r="B30" s="146" t="s">
        <v>1120</v>
      </c>
      <c r="C30" s="146" t="s">
        <v>835</v>
      </c>
      <c r="D30" s="146" t="s">
        <v>716</v>
      </c>
      <c r="E30" s="146" t="s">
        <v>107</v>
      </c>
    </row>
    <row r="31" spans="1:5" x14ac:dyDescent="0.3">
      <c r="A31" s="146">
        <v>30</v>
      </c>
      <c r="B31" s="146" t="s">
        <v>1121</v>
      </c>
      <c r="C31" s="146" t="s">
        <v>837</v>
      </c>
      <c r="D31" s="146" t="s">
        <v>836</v>
      </c>
      <c r="E31" s="146" t="s">
        <v>838</v>
      </c>
    </row>
    <row r="32" spans="1:5" x14ac:dyDescent="0.3">
      <c r="A32" s="146">
        <v>31</v>
      </c>
      <c r="B32" s="146" t="s">
        <v>1124</v>
      </c>
      <c r="C32" s="146" t="s">
        <v>846</v>
      </c>
      <c r="D32" s="146" t="s">
        <v>663</v>
      </c>
      <c r="E32" s="146" t="s">
        <v>793</v>
      </c>
    </row>
    <row r="33" spans="1:5" x14ac:dyDescent="0.3">
      <c r="A33" s="146">
        <v>32</v>
      </c>
      <c r="B33" s="146" t="s">
        <v>1127</v>
      </c>
      <c r="C33" s="146" t="s">
        <v>852</v>
      </c>
      <c r="D33" s="146" t="s">
        <v>185</v>
      </c>
      <c r="E33" s="146" t="s">
        <v>853</v>
      </c>
    </row>
    <row r="34" spans="1:5" x14ac:dyDescent="0.3">
      <c r="A34" s="146">
        <v>33</v>
      </c>
      <c r="B34" s="146" t="s">
        <v>1130</v>
      </c>
      <c r="C34" s="146" t="s">
        <v>545</v>
      </c>
      <c r="D34" s="146" t="s">
        <v>877</v>
      </c>
      <c r="E34" s="146" t="s">
        <v>107</v>
      </c>
    </row>
    <row r="35" spans="1:5" x14ac:dyDescent="0.3">
      <c r="A35" s="146">
        <v>34</v>
      </c>
      <c r="B35" s="146" t="s">
        <v>1132</v>
      </c>
      <c r="C35" s="146" t="s">
        <v>185</v>
      </c>
      <c r="D35" s="146" t="s">
        <v>1133</v>
      </c>
      <c r="E35" s="146" t="s">
        <v>894</v>
      </c>
    </row>
    <row r="36" spans="1:5" x14ac:dyDescent="0.3">
      <c r="A36" s="146">
        <v>35</v>
      </c>
      <c r="B36" s="146" t="s">
        <v>1134</v>
      </c>
      <c r="C36" s="146" t="s">
        <v>896</v>
      </c>
      <c r="D36" s="146" t="s">
        <v>895</v>
      </c>
      <c r="E36" s="146" t="s">
        <v>873</v>
      </c>
    </row>
    <row r="37" spans="1:5" x14ac:dyDescent="0.3">
      <c r="A37" s="146">
        <v>36</v>
      </c>
      <c r="B37" s="146" t="s">
        <v>1135</v>
      </c>
      <c r="C37" s="146" t="s">
        <v>898</v>
      </c>
      <c r="D37" s="146" t="s">
        <v>897</v>
      </c>
      <c r="E37" s="146" t="s">
        <v>1136</v>
      </c>
    </row>
    <row r="38" spans="1:5" x14ac:dyDescent="0.3">
      <c r="A38" s="146">
        <v>37</v>
      </c>
      <c r="B38" s="146" t="s">
        <v>1138</v>
      </c>
      <c r="C38" s="146" t="s">
        <v>912</v>
      </c>
      <c r="D38" s="146" t="s">
        <v>532</v>
      </c>
      <c r="E38" s="146" t="s">
        <v>866</v>
      </c>
    </row>
    <row r="39" spans="1:5" x14ac:dyDescent="0.3">
      <c r="A39" s="146">
        <v>38</v>
      </c>
      <c r="B39" s="146" t="s">
        <v>1140</v>
      </c>
      <c r="C39" s="146" t="s">
        <v>1141</v>
      </c>
      <c r="D39" s="146" t="s">
        <v>919</v>
      </c>
      <c r="E39" s="146" t="s">
        <v>921</v>
      </c>
    </row>
    <row r="40" spans="1:5" x14ac:dyDescent="0.3">
      <c r="A40" s="146">
        <v>39</v>
      </c>
      <c r="B40" s="146" t="s">
        <v>1147</v>
      </c>
      <c r="C40" s="146" t="s">
        <v>946</v>
      </c>
      <c r="D40" s="146" t="s">
        <v>397</v>
      </c>
      <c r="E40" s="146" t="s">
        <v>849</v>
      </c>
    </row>
    <row r="41" spans="1:5" x14ac:dyDescent="0.3">
      <c r="A41" s="146">
        <v>40</v>
      </c>
      <c r="B41" s="146" t="s">
        <v>1148</v>
      </c>
      <c r="C41" s="146" t="s">
        <v>1149</v>
      </c>
      <c r="D41" s="146" t="s">
        <v>1150</v>
      </c>
      <c r="E41" s="146" t="s">
        <v>1151</v>
      </c>
    </row>
    <row r="42" spans="1:5" x14ac:dyDescent="0.3">
      <c r="A42" s="146">
        <v>41</v>
      </c>
      <c r="B42" s="146" t="s">
        <v>1177</v>
      </c>
      <c r="C42" s="146" t="s">
        <v>1178</v>
      </c>
      <c r="D42" s="146" t="s">
        <v>32</v>
      </c>
      <c r="E42" s="146" t="s">
        <v>795</v>
      </c>
    </row>
    <row r="43" spans="1:5" x14ac:dyDescent="0.3">
      <c r="A43" s="146">
        <v>42</v>
      </c>
      <c r="B43" s="146" t="s">
        <v>1295</v>
      </c>
      <c r="C43" s="146" t="s">
        <v>907</v>
      </c>
      <c r="D43" s="146" t="s">
        <v>541</v>
      </c>
      <c r="E43" s="146" t="s">
        <v>908</v>
      </c>
    </row>
    <row r="44" spans="1:5" x14ac:dyDescent="0.3">
      <c r="A44" s="146">
        <v>43</v>
      </c>
      <c r="B44" s="146" t="s">
        <v>1297</v>
      </c>
      <c r="C44" s="146" t="s">
        <v>1306</v>
      </c>
      <c r="D44" s="146" t="s">
        <v>1307</v>
      </c>
      <c r="E44" s="146" t="s">
        <v>1316</v>
      </c>
    </row>
    <row r="45" spans="1:5" x14ac:dyDescent="0.3">
      <c r="A45" s="146">
        <v>44</v>
      </c>
      <c r="B45" s="146" t="s">
        <v>1298</v>
      </c>
      <c r="C45" s="146" t="s">
        <v>1308</v>
      </c>
      <c r="D45" s="146" t="s">
        <v>311</v>
      </c>
      <c r="E45" s="146" t="s">
        <v>1316</v>
      </c>
    </row>
    <row r="46" spans="1:5" x14ac:dyDescent="0.3">
      <c r="A46" s="146">
        <v>45</v>
      </c>
      <c r="B46" s="146" t="s">
        <v>1299</v>
      </c>
      <c r="C46" s="146" t="s">
        <v>386</v>
      </c>
      <c r="D46" s="146" t="s">
        <v>1309</v>
      </c>
      <c r="E46" s="146" t="s">
        <v>1316</v>
      </c>
    </row>
    <row r="47" spans="1:5" x14ac:dyDescent="0.3">
      <c r="A47" s="146">
        <v>46</v>
      </c>
      <c r="B47" s="146" t="s">
        <v>1300</v>
      </c>
      <c r="C47" s="146" t="s">
        <v>1276</v>
      </c>
      <c r="D47" s="146" t="s">
        <v>1310</v>
      </c>
      <c r="E47" s="146" t="s">
        <v>1316</v>
      </c>
    </row>
    <row r="48" spans="1:5" x14ac:dyDescent="0.3">
      <c r="A48" s="146">
        <v>47</v>
      </c>
      <c r="B48" s="146" t="s">
        <v>1301</v>
      </c>
      <c r="C48" s="146" t="s">
        <v>1311</v>
      </c>
      <c r="D48" s="146" t="s">
        <v>130</v>
      </c>
      <c r="E48" s="146" t="s">
        <v>1316</v>
      </c>
    </row>
    <row r="49" spans="1:5" x14ac:dyDescent="0.3">
      <c r="A49" s="146">
        <v>48</v>
      </c>
      <c r="B49" s="146" t="s">
        <v>1302</v>
      </c>
      <c r="C49" s="146" t="s">
        <v>1312</v>
      </c>
      <c r="D49" s="146" t="s">
        <v>1313</v>
      </c>
      <c r="E49" s="146" t="s">
        <v>1316</v>
      </c>
    </row>
    <row r="50" spans="1:5" x14ac:dyDescent="0.3">
      <c r="A50" s="146">
        <v>49</v>
      </c>
      <c r="B50" s="146" t="s">
        <v>1303</v>
      </c>
      <c r="C50" s="146" t="s">
        <v>1314</v>
      </c>
      <c r="D50" s="146" t="s">
        <v>1315</v>
      </c>
      <c r="E50" s="146" t="s">
        <v>1316</v>
      </c>
    </row>
    <row r="51" spans="1:5" x14ac:dyDescent="0.3">
      <c r="A51" s="146">
        <v>50</v>
      </c>
      <c r="B51" s="146" t="s">
        <v>1356</v>
      </c>
      <c r="C51" s="146" t="s">
        <v>469</v>
      </c>
      <c r="D51" s="146" t="s">
        <v>564</v>
      </c>
      <c r="E51" s="146" t="s">
        <v>1292</v>
      </c>
    </row>
    <row r="52" spans="1:5" x14ac:dyDescent="0.3">
      <c r="A52" s="146">
        <v>51</v>
      </c>
      <c r="B52" s="146" t="s">
        <v>1357</v>
      </c>
      <c r="C52" s="146" t="s">
        <v>1362</v>
      </c>
      <c r="D52" s="146" t="s">
        <v>1363</v>
      </c>
      <c r="E52" s="146" t="s">
        <v>795</v>
      </c>
    </row>
    <row r="53" spans="1:5" x14ac:dyDescent="0.3">
      <c r="A53" s="146">
        <v>52</v>
      </c>
      <c r="B53" s="146" t="s">
        <v>1358</v>
      </c>
      <c r="C53" s="146" t="s">
        <v>779</v>
      </c>
      <c r="D53" s="146" t="s">
        <v>1364</v>
      </c>
      <c r="E53" s="146" t="s">
        <v>795</v>
      </c>
    </row>
    <row r="54" spans="1:5" x14ac:dyDescent="0.3">
      <c r="A54" s="146">
        <v>53</v>
      </c>
      <c r="B54" s="146" t="s">
        <v>1359</v>
      </c>
      <c r="C54" s="146" t="s">
        <v>564</v>
      </c>
      <c r="D54" s="146" t="s">
        <v>1169</v>
      </c>
      <c r="E54" s="146" t="s">
        <v>1366</v>
      </c>
    </row>
    <row r="55" spans="1:5" x14ac:dyDescent="0.3">
      <c r="A55" s="146">
        <v>54</v>
      </c>
      <c r="B55" s="146" t="s">
        <v>1360</v>
      </c>
      <c r="C55" s="146" t="s">
        <v>1365</v>
      </c>
      <c r="D55" s="146" t="s">
        <v>1347</v>
      </c>
      <c r="E55" s="146" t="s">
        <v>1316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SyracuseOfficeCustomData>{"createMode":"plain_doc","forceRefresh":"0"}</SyracuseOfficeCustomDat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86709E46FE3A4F8875A9E4004BCAF3" ma:contentTypeVersion="8" ma:contentTypeDescription="Create a new document." ma:contentTypeScope="" ma:versionID="5a5389d81f872fb2f8a48cabe6ae56cc">
  <xsd:schema xmlns:xsd="http://www.w3.org/2001/XMLSchema" xmlns:xs="http://www.w3.org/2001/XMLSchema" xmlns:p="http://schemas.microsoft.com/office/2006/metadata/properties" xmlns:ns2="478bd55f-f0ba-466b-930f-e80ca30b1540" targetNamespace="http://schemas.microsoft.com/office/2006/metadata/properties" ma:root="true" ma:fieldsID="b8ddff25a158613e114f5efd655d4952" ns2:_="">
    <xsd:import namespace="478bd55f-f0ba-466b-930f-e80ca30b15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bd55f-f0ba-466b-930f-e80ca30b15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984F1E01-6B2B-4793-8D32-72BB05D9F3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F0E985-CAF8-41AA-ABB6-62FA63BE97BD}">
  <ds:schemaRefs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478bd55f-f0ba-466b-930f-e80ca30b1540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7BED2D5-A123-4C3B-BE0F-A790D94EA606}">
  <ds:schemaRefs/>
</ds:datastoreItem>
</file>

<file path=customXml/itemProps4.xml><?xml version="1.0" encoding="utf-8"?>
<ds:datastoreItem xmlns:ds="http://schemas.openxmlformats.org/officeDocument/2006/customXml" ds:itemID="{22A964D3-8C2D-4A7E-A99A-F7410D3E9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8bd55f-f0ba-466b-930f-e80ca30b15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D77BCAE4-0AE2-42D1-AAE7-CC68EE688C5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Permanent</vt:lpstr>
      <vt:lpstr>Sheet1</vt:lpstr>
      <vt:lpstr>contract </vt:lpstr>
      <vt:lpstr>contact 01</vt:lpstr>
      <vt:lpstr>Dayrate</vt:lpstr>
      <vt:lpstr>Lump Sum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Okechukwu Nwachukwu</dc:creator>
  <cp:keywords/>
  <dc:description/>
  <cp:lastModifiedBy>Fawaz Adeshina</cp:lastModifiedBy>
  <cp:revision/>
  <cp:lastPrinted>2026-07-08T10:38:19Z</cp:lastPrinted>
  <dcterms:created xsi:type="dcterms:W3CDTF">2023-11-14T08:45:32Z</dcterms:created>
  <dcterms:modified xsi:type="dcterms:W3CDTF">2026-10-08T10:57:17Z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17.2.8.0</vt:lpwstr>
  </property>
  <property fmtid="{D5CDD505-2E9C-101B-9397-08002B2CF9AE}" pid="3" name="ContentTypeId">
    <vt:lpwstr>0x010100AD86709E46FE3A4F8875A9E4004BCAF3</vt:lpwstr>
  </property>
</Properties>
</file>