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MESTIC TRAVEL ALLOWANCE/DOMESTIC TRAVEL ALLOWANCE/"/>
    </mc:Choice>
  </mc:AlternateContent>
  <xr:revisionPtr revIDLastSave="1" documentId="8_{241F8B44-5032-482C-96EA-A18BE669A9CF}" xr6:coauthVersionLast="47" xr6:coauthVersionMax="47" xr10:uidLastSave="{692222D1-D728-4F4D-A1A8-E37E54C3D374}"/>
  <bookViews>
    <workbookView xWindow="28665" yWindow="-135" windowWidth="29070" windowHeight="15750" firstSheet="1" activeTab="1" xr2:uid="{9DCBAF53-D269-4DBA-8842-4A9D0E601B3A}"/>
  </bookViews>
  <sheets>
    <sheet name="Sheet1" sheetId="1" state="hidden" r:id="rId1"/>
    <sheet name="Domestic Travel allowanc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6" i="2" s="1"/>
  <c r="I3" i="2" a="1"/>
  <c r="I4" i="2" a="1"/>
  <c r="I5" i="2" a="1"/>
  <c r="B17" i="1"/>
  <c r="B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<sst xmlns="http://schemas.openxmlformats.org/spreadsheetml/2006/main" count="34" uniqueCount="22">
  <si>
    <t>Airport Taxi (one-off)</t>
  </si>
  <si>
    <t>Hotel Rates (per nights)</t>
  </si>
  <si>
    <t>Meal Allowance ( per day)</t>
  </si>
  <si>
    <t>Local Taxi (per day)</t>
  </si>
  <si>
    <t>Out of station (per day)</t>
  </si>
  <si>
    <t>Total</t>
  </si>
  <si>
    <t>SENIOR STAFF</t>
  </si>
  <si>
    <t>MANAGEMENT STAFF</t>
  </si>
  <si>
    <t>N</t>
  </si>
  <si>
    <t>Job Level</t>
  </si>
  <si>
    <t>Employee Name</t>
  </si>
  <si>
    <t>S/N</t>
  </si>
  <si>
    <t>Okpe Daniel</t>
  </si>
  <si>
    <t>Contract</t>
  </si>
  <si>
    <t>Meal</t>
  </si>
  <si>
    <t>Outstation</t>
  </si>
  <si>
    <t>Friday Onaji</t>
  </si>
  <si>
    <t>Adewale Adekoya</t>
  </si>
  <si>
    <t>Richard Onyebueke</t>
  </si>
  <si>
    <t>No of days</t>
  </si>
  <si>
    <t>No of night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</si>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</sst>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6">
    <dxf>
      <alignment horizontal="general" vertical="bottom" textRotation="0" wrapText="0" indent="0" justifyLastLine="0" shrinkToFit="0" readingOrder="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4" formatCode="#,##0.00"/>
    </dxf>
    <dxf>
      <numFmt numFmtId="4" formatCode="#,##0.0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776A41-40E6-43C7-AFD9-FF127EE26143}" name="Table1" displayName="Table1" ref="A1:I6" totalsRowCount="1" headerRowDxfId="2">
  <autoFilter ref="A1:I5" xr:uid="{A1776A41-40E6-43C7-AFD9-FF127EE26143}"/>
  <tableColumns count="9">
    <tableColumn id="1" xr3:uid="{32FAB75A-13D2-4E53-998A-DDA726D3C421}" name="S/N" totalsRowLabel="Total"/>
    <tableColumn id="2" xr3:uid="{9BE4C6F9-FF7A-4A0C-8323-A4EE9C6A69DD}" name="Employee Name" dataDxfId="5" totalsRowDxfId="0"/>
    <tableColumn id="3" xr3:uid="{F4C568E7-E728-47E5-9F97-DCCC8E8F2954}" name="Job Level"/>
    <tableColumn id="4" xr3:uid="{C51B639E-0725-4B46-8175-957AF3E57C00}" name="Airport Taxi (one-off)"/>
    <tableColumn id="5" xr3:uid="{E80D115B-61C9-437A-AECA-F0BD190D0CC3}" name="Meal" dataDxfId="4"/>
    <tableColumn id="6" xr3:uid="{D0097981-186A-4789-BA5C-504AD9BEB9B1}" name="Outstation" dataDxfId="3"/>
    <tableColumn id="7" xr3:uid="{A69A87B9-F577-4FC1-A44D-260FA02BD100}" name="No of days"/>
    <tableColumn id="8" xr3:uid="{4D527361-DA8D-4460-85A0-210026C9B968}" name="No of night"/>
    <tableColumn id="9" xr3:uid="{312F09B2-044F-44E6-9FE1-523C7732F64E}" name="Amount" totalsRowFunction="sum" dataDxfId="1">
      <calculatedColumnFormula array="1">SUM(Table1[[#This Row],[Airport Taxi (one-off)]],Table1[[#This Row],[Meal]:[Outstation]]*Table1[[#This Row],[No of night]])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A063-3D27-4278-9F54-7AC1CC6DCDE0}">
  <dimension ref="A1:B17"/>
  <sheetViews>
    <sheetView workbookViewId="0">
      <selection activeCell="B4" sqref="B4"/>
    </sheetView>
  </sheetViews>
  <sheetFormatPr defaultRowHeight="14.4" x14ac:dyDescent="0.3"/>
  <cols>
    <col min="1" max="1" width="24.77734375" customWidth="1"/>
    <col min="2" max="2" width="8.44140625" bestFit="1" customWidth="1"/>
  </cols>
  <sheetData>
    <row r="1" spans="1:2" x14ac:dyDescent="0.3">
      <c r="A1" s="3" t="s">
        <v>6</v>
      </c>
      <c r="B1" s="1" t="s">
        <v>8</v>
      </c>
    </row>
    <row r="2" spans="1:2" x14ac:dyDescent="0.3">
      <c r="A2" s="1" t="s">
        <v>0</v>
      </c>
      <c r="B2" s="2">
        <v>80000</v>
      </c>
    </row>
    <row r="3" spans="1:2" x14ac:dyDescent="0.3">
      <c r="A3" s="1" t="s">
        <v>1</v>
      </c>
      <c r="B3" s="2">
        <v>45000</v>
      </c>
    </row>
    <row r="4" spans="1:2" x14ac:dyDescent="0.3">
      <c r="A4" s="1" t="s">
        <v>2</v>
      </c>
      <c r="B4" s="2">
        <v>15000</v>
      </c>
    </row>
    <row r="5" spans="1:2" x14ac:dyDescent="0.3">
      <c r="A5" s="1" t="s">
        <v>3</v>
      </c>
      <c r="B5" s="2">
        <v>10000</v>
      </c>
    </row>
    <row r="6" spans="1:2" x14ac:dyDescent="0.3">
      <c r="A6" s="1" t="s">
        <v>4</v>
      </c>
      <c r="B6" s="2">
        <v>10000</v>
      </c>
    </row>
    <row r="7" spans="1:2" x14ac:dyDescent="0.3">
      <c r="A7" s="1" t="s">
        <v>5</v>
      </c>
      <c r="B7" s="2">
        <f>SUM(B2:B6)</f>
        <v>160000</v>
      </c>
    </row>
    <row r="11" spans="1:2" x14ac:dyDescent="0.3">
      <c r="A11" s="3" t="s">
        <v>7</v>
      </c>
      <c r="B11" s="1" t="s">
        <v>8</v>
      </c>
    </row>
    <row r="12" spans="1:2" x14ac:dyDescent="0.3">
      <c r="A12" s="1" t="s">
        <v>0</v>
      </c>
      <c r="B12" s="1">
        <v>80000</v>
      </c>
    </row>
    <row r="13" spans="1:2" x14ac:dyDescent="0.3">
      <c r="A13" s="1" t="s">
        <v>1</v>
      </c>
      <c r="B13" s="2">
        <v>60000</v>
      </c>
    </row>
    <row r="14" spans="1:2" x14ac:dyDescent="0.3">
      <c r="A14" s="1" t="s">
        <v>2</v>
      </c>
      <c r="B14" s="2">
        <v>30000</v>
      </c>
    </row>
    <row r="15" spans="1:2" x14ac:dyDescent="0.3">
      <c r="A15" s="1" t="s">
        <v>3</v>
      </c>
      <c r="B15" s="1">
        <v>10000</v>
      </c>
    </row>
    <row r="16" spans="1:2" x14ac:dyDescent="0.3">
      <c r="A16" s="1" t="s">
        <v>4</v>
      </c>
      <c r="B16" s="2">
        <v>15000</v>
      </c>
    </row>
    <row r="17" spans="1:2" x14ac:dyDescent="0.3">
      <c r="A17" s="1" t="s">
        <v>5</v>
      </c>
      <c r="B17" s="1">
        <f>SUM(B12:B16)</f>
        <v>195000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7FB6-CACD-47AA-9840-F0BAE0D6F5E3}">
  <dimension ref="A1:I12"/>
  <sheetViews>
    <sheetView tabSelected="1" workbookViewId="0">
      <selection activeCell="I2" sqref="I2"/>
    </sheetView>
  </sheetViews>
  <sheetFormatPr defaultRowHeight="14.4" x14ac:dyDescent="0.3"/>
  <cols>
    <col min="1" max="1" width="6.109375" customWidth="1"/>
    <col min="2" max="2" width="18" bestFit="1" customWidth="1"/>
    <col min="3" max="3" width="12.88671875" customWidth="1"/>
    <col min="4" max="4" width="21.21875" customWidth="1"/>
    <col min="5" max="5" width="13.77734375" customWidth="1"/>
    <col min="6" max="6" width="13.21875" customWidth="1"/>
    <col min="7" max="7" width="12" customWidth="1"/>
    <col min="8" max="8" width="12.88671875" customWidth="1"/>
    <col min="9" max="9" width="13" customWidth="1"/>
  </cols>
  <sheetData>
    <row r="1" spans="1:9" s="4" customFormat="1" ht="28.8" x14ac:dyDescent="0.3">
      <c r="A1" s="3" t="s">
        <v>11</v>
      </c>
      <c r="B1" s="3" t="s">
        <v>10</v>
      </c>
      <c r="C1" s="3" t="s">
        <v>9</v>
      </c>
      <c r="D1" s="7" t="s">
        <v>0</v>
      </c>
      <c r="E1" s="4" t="s">
        <v>14</v>
      </c>
      <c r="F1" s="4" t="s">
        <v>15</v>
      </c>
      <c r="G1" s="4" t="s">
        <v>19</v>
      </c>
      <c r="H1" s="4" t="s">
        <v>20</v>
      </c>
      <c r="I1" s="4" t="s">
        <v>21</v>
      </c>
    </row>
    <row r="2" spans="1:9" x14ac:dyDescent="0.3">
      <c r="A2" s="1">
        <v>1</v>
      </c>
      <c r="B2" s="11" t="s">
        <v>12</v>
      </c>
      <c r="C2" s="8" t="s">
        <v>13</v>
      </c>
      <c r="D2" s="13">
        <v>40000</v>
      </c>
      <c r="E2" s="16">
        <v>20000</v>
      </c>
      <c r="F2" s="16">
        <v>10000</v>
      </c>
      <c r="G2">
        <v>2</v>
      </c>
      <c r="H2">
        <v>2</v>
      </c>
      <c r="I2" s="16" cm="1">
        <f t="array" ref="I2">SUM(Table1[[#This Row],[Airport Taxi (one-off)]],Table1[[#This Row],[Meal]:[Outstation]]*Table1[[#This Row],[No of night]])</f>
        <v>100000</v>
      </c>
    </row>
    <row r="3" spans="1:9" x14ac:dyDescent="0.3">
      <c r="A3">
        <v>2</v>
      </c>
      <c r="B3" s="12" t="s">
        <v>16</v>
      </c>
      <c r="C3" s="9" t="s">
        <v>13</v>
      </c>
      <c r="D3" s="14">
        <v>40000</v>
      </c>
      <c r="E3" s="16">
        <v>20000</v>
      </c>
      <c r="F3" s="16">
        <v>10000</v>
      </c>
      <c r="G3">
        <v>2</v>
      </c>
      <c r="H3">
        <v>2</v>
      </c>
      <c r="I3" s="16" cm="1">
        <f t="array" ref="I3">SUM(Table1[[#This Row],[Airport Taxi (one-off)]],Table1[[#This Row],[Meal]:[Outstation]]*Table1[[#This Row],[No of night]])</f>
        <v>100000</v>
      </c>
    </row>
    <row r="4" spans="1:9" x14ac:dyDescent="0.3">
      <c r="A4">
        <v>3</v>
      </c>
      <c r="B4" s="12" t="s">
        <v>17</v>
      </c>
      <c r="C4" s="9" t="s">
        <v>13</v>
      </c>
      <c r="D4" s="14">
        <v>40000</v>
      </c>
      <c r="E4" s="16">
        <v>20000</v>
      </c>
      <c r="F4" s="16">
        <v>10000</v>
      </c>
      <c r="G4">
        <v>2</v>
      </c>
      <c r="H4">
        <v>2</v>
      </c>
      <c r="I4" s="16" cm="1">
        <f t="array" ref="I4">SUM(Table1[[#This Row],[Airport Taxi (one-off)]],Table1[[#This Row],[Meal]:[Outstation]]*Table1[[#This Row],[No of night]])</f>
        <v>100000</v>
      </c>
    </row>
    <row r="5" spans="1:9" x14ac:dyDescent="0.3">
      <c r="A5">
        <v>4</v>
      </c>
      <c r="B5" s="12" t="s">
        <v>18</v>
      </c>
      <c r="C5" s="10" t="s">
        <v>13</v>
      </c>
      <c r="D5" s="15">
        <v>40000</v>
      </c>
      <c r="E5" s="16">
        <v>20000</v>
      </c>
      <c r="F5" s="16">
        <v>10000</v>
      </c>
      <c r="G5">
        <v>2</v>
      </c>
      <c r="H5">
        <v>2</v>
      </c>
      <c r="I5" s="16" cm="1">
        <f t="array" ref="I5">SUM(Table1[[#This Row],[Airport Taxi (one-off)]],Table1[[#This Row],[Meal]:[Outstation]]*Table1[[#This Row],[No of night]])</f>
        <v>100000</v>
      </c>
    </row>
    <row r="6" spans="1:9" ht="13.8" customHeight="1" x14ac:dyDescent="0.3">
      <c r="A6" t="s">
        <v>5</v>
      </c>
      <c r="B6" s="12"/>
      <c r="I6" s="16">
        <f>SUBTOTAL(109,Table1[Amount])</f>
        <v>400000</v>
      </c>
    </row>
    <row r="7" spans="1:9" x14ac:dyDescent="0.3">
      <c r="C7" s="5"/>
    </row>
    <row r="8" spans="1:9" x14ac:dyDescent="0.3">
      <c r="C8" s="5"/>
    </row>
    <row r="9" spans="1:9" x14ac:dyDescent="0.3">
      <c r="C9" s="5"/>
    </row>
    <row r="10" spans="1:9" x14ac:dyDescent="0.3">
      <c r="C10" s="5"/>
    </row>
    <row r="11" spans="1:9" x14ac:dyDescent="0.3">
      <c r="C11" s="5"/>
    </row>
    <row r="12" spans="1:9" x14ac:dyDescent="0.3">
      <c r="C12" s="6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Domestic Travel allowance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cp:lastPrinted>2026-05-26T12:09:38Z</cp:lastPrinted>
  <dcterms:created xsi:type="dcterms:W3CDTF">2025-07-08T07:50:55Z</dcterms:created>
  <dcterms:modified xsi:type="dcterms:W3CDTF">2026-10-09T14:58:50Z</dcterms:modified>
</cp:coreProperties>
</file>