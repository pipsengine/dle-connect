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MESTIC TRAVEL ALLOWANCE/DOMESTIC TRAVEL ALLOWANCE/"/>
    </mc:Choice>
  </mc:AlternateContent>
  <xr:revisionPtr revIDLastSave="23" documentId="8_{241F8B44-5032-482C-96EA-A18BE669A9CF}" xr6:coauthVersionLast="47" xr6:coauthVersionMax="47" xr10:uidLastSave="{2E6E4A21-A535-429B-9BBE-A53210DF55E0}"/>
  <bookViews>
    <workbookView xWindow="28680" yWindow="-120" windowWidth="29040" windowHeight="15720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 a="1"/>
  <c r="K3" i="2" a="1"/>
  <c r="K4" i="2" a="1"/>
  <c r="K5" i="2" a="1"/>
  <c r="B17" i="1"/>
  <c r="B7" i="1"/>
  <c r="K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<sst xmlns="http://schemas.openxmlformats.org/spreadsheetml/2006/main" count="36" uniqueCount="24">
  <si>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</si>
  <si>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</si>
  <si>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</si>
  <si>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</si>
  <si>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</si>
  <si>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</si>
  <si>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</si>
  <si>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</si>
  <si>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</si>
  <si>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</si>
  <si>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</si>
  <si>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</si>
  <si>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Okpe Daniel</t>
  </si>
  <si>
    <t>Contract</t>
  </si>
  <si>
    <t>Meal</t>
  </si>
  <si>
    <t>Outstation</t>
  </si>
  <si>
    <t>Friday Onaji</t>
  </si>
  <si>
    <t>Adewale Adekoya</t>
  </si>
  <si>
    <t>Richard Onyebueke</t>
  </si>
  <si>
    <t>No of days</t>
  </si>
  <si>
    <t>No of night</t>
  </si>
  <si>
    <t>Amount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</si>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</sst>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76A41-40E6-43C7-AFD9-FF127EE26143}" name="Table1" displayName="Table1" ref="A1:K6" totalsRowCount="1" headerRowDxfId="7">
  <autoFilter ref="A1:K5" xr:uid="{A1776A41-40E6-43C7-AFD9-FF127EE26143}"/>
  <tableColumns count="11">
    <tableColumn id="1" xr3:uid="{32FAB75A-13D2-4E53-998A-DDA726D3C421}" name="S/N" totalsRowLabel="Total"/>
    <tableColumn id="2" xr3:uid="{9BE4C6F9-FF7A-4A0C-8323-A4EE9C6A69DD}" name="Employee Name" dataDxfId="6"/>
    <tableColumn id="3" xr3:uid="{F4C568E7-E728-47E5-9F97-DCCC8E8F2954}" name="Job Level"/>
    <tableColumn id="4" xr3:uid="{C51B639E-0725-4B46-8175-957AF3E57C00}" name="Airport Taxi (one-off)"/>
    <tableColumn id="5" xr3:uid="{E80D115B-61C9-437A-AECA-F0BD190D0CC3}" name="Meal" dataDxfId="5"/>
    <tableColumn id="6" xr3:uid="{D0097981-186A-4789-BA5C-504AD9BEB9B1}" name="Outstation" dataDxfId="4"/>
    <tableColumn id="10" xr3:uid="{6C7A057D-9167-4F6D-9874-21658731FF66}" name="Start date" dataDxfId="2"/>
    <tableColumn id="11" xr3:uid="{568979F9-8E1D-4C26-8420-417EA4F39B91}" name="End date" dataDxfId="0"/>
    <tableColumn id="7" xr3:uid="{A69A87B9-F577-4FC1-A44D-260FA02BD100}" name="No of days"/>
    <tableColumn id="8" xr3:uid="{4D527361-DA8D-4460-85A0-210026C9B968}" name="No of night"/>
    <tableColumn id="9" xr3:uid="{312F09B2-044F-44E6-9FE1-523C7732F64E}" name="Amount" totalsRowFunction="sum" dataDxfId="3" totalsRowDxfId="1">
      <calculatedColumnFormula array="1">SUM(Table1[[#This Row],[Airport Taxi (one-off)]],Table1[[#This Row],[Meal]:[Outstation]]*Table1[[#This Row],[No of night]])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dimension ref="A1:K12"/>
  <sheetViews>
    <sheetView tabSelected="1" workbookViewId="0">
      <selection activeCell="D11" sqref="D11:D12"/>
    </sheetView>
  </sheetViews>
  <sheetFormatPr defaultRowHeight="14.4" x14ac:dyDescent="0.3"/>
  <cols>
    <col min="1" max="1" width="6.109375" customWidth="1"/>
    <col min="2" max="2" width="18" bestFit="1" customWidth="1"/>
    <col min="3" max="3" width="12.88671875" customWidth="1"/>
    <col min="4" max="4" width="21.21875" customWidth="1"/>
    <col min="5" max="5" width="13.77734375" customWidth="1"/>
    <col min="6" max="8" width="13.21875" customWidth="1"/>
    <col min="9" max="9" width="12" customWidth="1"/>
    <col min="10" max="10" width="12.88671875" customWidth="1"/>
    <col min="11" max="11" width="13" customWidth="1"/>
  </cols>
  <sheetData>
    <row r="1" spans="1:11" s="4" customFormat="1" x14ac:dyDescent="0.3">
      <c r="A1" s="3" t="s">
        <v>11</v>
      </c>
      <c r="B1" s="3" t="s">
        <v>10</v>
      </c>
      <c r="C1" s="3" t="s">
        <v>9</v>
      </c>
      <c r="D1" s="7" t="s">
        <v>0</v>
      </c>
      <c r="E1" s="4" t="s">
        <v>14</v>
      </c>
      <c r="F1" s="4" t="s">
        <v>15</v>
      </c>
      <c r="G1" s="4" t="s">
        <v>22</v>
      </c>
      <c r="H1" s="4" t="s">
        <v>23</v>
      </c>
      <c r="I1" s="4" t="s">
        <v>19</v>
      </c>
      <c r="J1" s="4" t="s">
        <v>20</v>
      </c>
      <c r="K1" s="4" t="s">
        <v>21</v>
      </c>
    </row>
    <row r="2" spans="1:11" x14ac:dyDescent="0.3">
      <c r="A2" s="1">
        <v>1</v>
      </c>
      <c r="B2" s="1" t="s">
        <v>12</v>
      </c>
      <c r="C2" s="8" t="s">
        <v>13</v>
      </c>
      <c r="D2" s="11">
        <v>40000</v>
      </c>
      <c r="E2" s="14">
        <v>20000</v>
      </c>
      <c r="F2" s="14">
        <v>10000</v>
      </c>
      <c r="G2" s="15">
        <v>46213</v>
      </c>
      <c r="H2" s="15">
        <v>46366</v>
      </c>
      <c r="I2">
        <v>5</v>
      </c>
      <c r="J2">
        <v>5</v>
      </c>
      <c r="K2" s="14" cm="1">
        <f t="array" ref="K2">SUM(Table1[[#This Row],[Airport Taxi (one-off)]],Table1[[#This Row],[Meal]:[Outstation]]*Table1[[#This Row],[No of night]])</f>
        <v>190000</v>
      </c>
    </row>
    <row r="3" spans="1:11" x14ac:dyDescent="0.3">
      <c r="A3">
        <v>2</v>
      </c>
      <c r="B3" t="s">
        <v>16</v>
      </c>
      <c r="C3" s="9" t="s">
        <v>13</v>
      </c>
      <c r="D3" s="12">
        <v>40000</v>
      </c>
      <c r="E3" s="14">
        <v>20000</v>
      </c>
      <c r="F3" s="14">
        <v>10000</v>
      </c>
      <c r="G3" s="15">
        <v>46213</v>
      </c>
      <c r="H3" s="15">
        <v>46366</v>
      </c>
      <c r="I3">
        <v>5</v>
      </c>
      <c r="J3">
        <v>5</v>
      </c>
      <c r="K3" s="14" cm="1">
        <f t="array" ref="K3">SUM(Table1[[#This Row],[Airport Taxi (one-off)]],Table1[[#This Row],[Meal]:[Outstation]]*Table1[[#This Row],[No of night]])</f>
        <v>190000</v>
      </c>
    </row>
    <row r="4" spans="1:11" x14ac:dyDescent="0.3">
      <c r="A4">
        <v>3</v>
      </c>
      <c r="B4" t="s">
        <v>17</v>
      </c>
      <c r="C4" s="9" t="s">
        <v>13</v>
      </c>
      <c r="D4" s="12">
        <v>40000</v>
      </c>
      <c r="E4" s="14">
        <v>20000</v>
      </c>
      <c r="F4" s="14">
        <v>10000</v>
      </c>
      <c r="G4" s="15">
        <v>46213</v>
      </c>
      <c r="H4" s="15">
        <v>46366</v>
      </c>
      <c r="I4">
        <v>5</v>
      </c>
      <c r="J4">
        <v>5</v>
      </c>
      <c r="K4" s="14" cm="1">
        <f t="array" ref="K4">SUM(Table1[[#This Row],[Airport Taxi (one-off)]],Table1[[#This Row],[Meal]:[Outstation]]*Table1[[#This Row],[No of night]])</f>
        <v>190000</v>
      </c>
    </row>
    <row r="5" spans="1:11" x14ac:dyDescent="0.3">
      <c r="A5">
        <v>4</v>
      </c>
      <c r="B5" t="s">
        <v>18</v>
      </c>
      <c r="C5" s="10" t="s">
        <v>13</v>
      </c>
      <c r="D5" s="13">
        <v>40000</v>
      </c>
      <c r="E5" s="14">
        <v>20000</v>
      </c>
      <c r="F5" s="14">
        <v>10000</v>
      </c>
      <c r="G5" s="15">
        <v>46213</v>
      </c>
      <c r="H5" s="15">
        <v>46366</v>
      </c>
      <c r="I5">
        <v>5</v>
      </c>
      <c r="J5">
        <v>5</v>
      </c>
      <c r="K5" s="14" cm="1">
        <f t="array" ref="K5">SUM(Table1[[#This Row],[Airport Taxi (one-off)]],Table1[[#This Row],[Meal]:[Outstation]]*Table1[[#This Row],[No of night]])</f>
        <v>190000</v>
      </c>
    </row>
    <row r="6" spans="1:11" ht="13.8" customHeight="1" x14ac:dyDescent="0.3">
      <c r="A6" t="s">
        <v>5</v>
      </c>
      <c r="K6" s="14">
        <f>SUBTOTAL(109,Table1[Amount])</f>
        <v>760000</v>
      </c>
    </row>
    <row r="7" spans="1:11" x14ac:dyDescent="0.3">
      <c r="C7" s="5"/>
    </row>
    <row r="8" spans="1:11" x14ac:dyDescent="0.3">
      <c r="C8" s="5"/>
    </row>
    <row r="9" spans="1:11" x14ac:dyDescent="0.3">
      <c r="C9" s="5"/>
    </row>
    <row r="10" spans="1:11" x14ac:dyDescent="0.3">
      <c r="C10" s="5"/>
    </row>
    <row r="11" spans="1:11" x14ac:dyDescent="0.3">
      <c r="C11" s="5"/>
    </row>
    <row r="12" spans="1:11" x14ac:dyDescent="0.3">
      <c r="C12" s="6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2026-05-26T12:09:38Z</cp:lastPrinted>
  <dcterms:created xsi:type="dcterms:W3CDTF">2025-07-08T07:50:55Z</dcterms:created>
  <dcterms:modified xsi:type="dcterms:W3CDTF">2026-10-12T08:44:30Z</dcterms:modified>
</cp:coreProperties>
</file>