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idrisabubakar_dormanlongeng_com/Documents/Desktop/yinson/ADMIN/"/>
    </mc:Choice>
  </mc:AlternateContent>
  <xr:revisionPtr revIDLastSave="1" documentId="8_{B44C347B-9E99-427A-BC0F-6558DBB49F6F}" xr6:coauthVersionLast="47" xr6:coauthVersionMax="47" xr10:uidLastSave="{F0CED19B-EA18-48CC-B8CF-59D6E23B468F}"/>
  <bookViews>
    <workbookView xWindow="-108" yWindow="-108" windowWidth="23256" windowHeight="12456" firstSheet="1" activeTab="1" xr2:uid="{9DCBAF53-D269-4DBA-8842-4A9D0E601B3A}"/>
  </bookViews>
  <sheets>
    <sheet name="Sheet1" sheetId="1" state="hidden" r:id="rId1"/>
    <sheet name="Domestic Travel allowance  1" sheetId="3" r:id="rId2"/>
    <sheet name="Domestic Travel allowance 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3" i="4" s="1"/>
  <c r="J2" i="3" a="1"/>
  <c r="J3" i="3" s="1"/>
  <c r="B17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<sst xmlns="http://schemas.openxmlformats.org/spreadsheetml/2006/main" count="41" uniqueCount="22">
  <si>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</si>
  <si>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</si>
  <si>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</si>
  <si>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</si>
  <si>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</si>
  <si>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</si>
  <si>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</si>
  <si>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</si>
  <si>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</si>
  <si>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</si>
  <si>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</si>
  <si>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</si>
  <si>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Idris Abubakar</t>
  </si>
  <si>
    <t>Management</t>
  </si>
  <si>
    <t>No of days</t>
  </si>
  <si>
    <t>Outstation</t>
  </si>
  <si>
    <t>No of nights</t>
  </si>
  <si>
    <t>Airport Taxi</t>
  </si>
  <si>
    <t>Local Taxi</t>
  </si>
  <si>
    <t>Meal</t>
  </si>
  <si>
    <t xml:space="preserve">Airport </t>
  </si>
  <si>
    <t>Meal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</si>
</sst>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2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border outline="0">
        <left style="thin">
          <color indexed="64"/>
        </left>
      </border>
    </dxf>
    <dxf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left style="thin">
          <color indexed="64"/>
        </left>
      </border>
    </dxf>
    <dxf>
      <numFmt numFmtId="4" formatCode="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712C3-3A73-4A7F-ACDA-4AEC506AA993}" name="Table13" displayName="Table13" ref="A1:J3" totalsRowCount="1" headerRowDxfId="24" tableBorderDxfId="23">
  <autoFilter ref="A1:J2" xr:uid="{53B6BC3A-FF97-49F6-BFBF-4D98E108358F}"/>
  <tableColumns count="10">
    <tableColumn id="1" xr3:uid="{2492D3FB-AA6B-4EE3-9E48-2FE6F9E5D01E}" name="S/N" totalsRowLabel="Total" dataDxfId="22" totalsRowDxfId="3"/>
    <tableColumn id="2" xr3:uid="{A1B81F57-62CB-4CBE-A438-D8284CF49486}" name="Employee Name" dataDxfId="21" totalsRowDxfId="2"/>
    <tableColumn id="3" xr3:uid="{61D3BCAB-E336-4596-83FB-3B71A98DA5D6}" name="Job Level" dataDxfId="20"/>
    <tableColumn id="9" xr3:uid="{2A257B40-E6CC-4EE4-8D5B-2768F3A1E41E}" name="Airport Taxi" dataDxfId="19"/>
    <tableColumn id="4" xr3:uid="{AD3F9AC2-CDD6-45CE-AE11-6FC73612FD51}" name="Outstation" dataDxfId="18"/>
    <tableColumn id="5" xr3:uid="{28474260-500D-41FC-90D0-7D751E25E4F7}" name="Meal" dataDxfId="17"/>
    <tableColumn id="10" xr3:uid="{616FA6A6-16B8-428B-8F60-04EB811F6F94}" name="Local Taxi" dataDxfId="16"/>
    <tableColumn id="7" xr3:uid="{7D2D79DA-652A-44A8-B115-C252E2DA09FF}" name="No of days"/>
    <tableColumn id="8" xr3:uid="{C5667471-F27C-4869-91B7-053CBB7DABD9}" name="No of nights"/>
    <tableColumn id="6" xr3:uid="{449C8B92-861B-44E5-9703-505886712312}" name="Total" totalsRowFunction="sum" dataDxfId="15" totalsRowDxfId="14">
      <calculatedColumnFormula array="1">SUM(Table13[[#This Row],[Airport Taxi]],Table13[[#This Row],[Outstation]]*Table13[[#This Row],[No of nights]],Table13[[#This Row],[Meal]:[Local Taxi]]*Table13[[#This Row],[No of days]])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6E89A-10B7-45CD-8A4E-E88A69EE66C1}" name="Table132" displayName="Table132" ref="A1:I3" totalsRowCount="1" headerRowDxfId="13" tableBorderDxfId="12">
  <autoFilter ref="A1:I2" xr:uid="{53B6BC3A-FF97-49F6-BFBF-4D98E108358F}"/>
  <tableColumns count="9">
    <tableColumn id="1" xr3:uid="{8918719D-0494-4073-8182-4A9ABAC7A435}" name="S/N" totalsRowLabel="Total" dataDxfId="11" totalsRowDxfId="1"/>
    <tableColumn id="2" xr3:uid="{FAF6F9C7-FEC7-4D81-84D5-276530CC1210}" name="Employee Name" dataDxfId="10" totalsRowDxfId="0"/>
    <tableColumn id="3" xr3:uid="{7075CF17-747E-48B6-A0E4-A63F9CEBB54D}" name="Job Level" dataDxfId="9"/>
    <tableColumn id="9" xr3:uid="{AE254467-0941-4BFB-A697-2514BC05CB04}" name="Airport " dataDxfId="8"/>
    <tableColumn id="4" xr3:uid="{A5488EA6-1746-4725-B9C6-22D440AC21F5}" name="Meal allowance" dataDxfId="7">
      <calculatedColumnFormula>SUM(E1:E1)</calculatedColumnFormula>
    </tableColumn>
    <tableColumn id="5" xr3:uid="{E43959B0-4E8F-4994-8725-DA54718D992F}" name="Outstation" dataDxfId="6"/>
    <tableColumn id="7" xr3:uid="{7B378D4D-5BF3-4BE9-94A2-956F22922446}" name="No of days"/>
    <tableColumn id="8" xr3:uid="{0FC3A8DF-3ED5-4E35-921F-E67BABF65691}" name="No of nights"/>
    <tableColumn id="6" xr3:uid="{8DCB1DF4-07FA-4749-BBB6-725E6C33BB4C}" name="Total" totalsRowFunction="sum" dataDxfId="4" totalsRowDxfId="5">
      <calculatedColumnFormula>SUM(Table132[[#This Row],[Airport ]],Table132[[#This Row],[Meal allowance]]*Table132[[#This Row],[No of nights]],Table132[[#This Row],[Outstation]]*Table132[[#This Row],[No of days]])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9739-7737-44DC-904B-138403134D09}">
  <sheetPr>
    <pageSetUpPr fitToPage="1"/>
  </sheetPr>
  <dimension ref="A1:J12"/>
  <sheetViews>
    <sheetView tabSelected="1" workbookViewId="0">
      <selection activeCell="F5" sqref="F5"/>
    </sheetView>
  </sheetViews>
  <sheetFormatPr defaultRowHeight="14.4" x14ac:dyDescent="0.3"/>
  <cols>
    <col min="1" max="1" width="5.88671875" customWidth="1"/>
    <col min="2" max="2" width="16.6640625" customWidth="1"/>
    <col min="3" max="4" width="18.21875" customWidth="1"/>
    <col min="5" max="5" width="16.21875" customWidth="1"/>
    <col min="6" max="9" width="14" customWidth="1"/>
    <col min="10" max="10" width="14.44140625" customWidth="1"/>
  </cols>
  <sheetData>
    <row r="1" spans="1:10" s="4" customFormat="1" x14ac:dyDescent="0.3">
      <c r="A1" s="8" t="s">
        <v>11</v>
      </c>
      <c r="B1" s="3" t="s">
        <v>10</v>
      </c>
      <c r="C1" s="3" t="s">
        <v>9</v>
      </c>
      <c r="D1" s="3" t="s">
        <v>17</v>
      </c>
      <c r="E1" s="7" t="s">
        <v>15</v>
      </c>
      <c r="F1" s="4" t="s">
        <v>19</v>
      </c>
      <c r="G1" s="4" t="s">
        <v>18</v>
      </c>
      <c r="H1" s="4" t="s">
        <v>14</v>
      </c>
      <c r="I1" s="4" t="s">
        <v>16</v>
      </c>
      <c r="J1" s="12" t="s">
        <v>5</v>
      </c>
    </row>
    <row r="2" spans="1:10" x14ac:dyDescent="0.3">
      <c r="A2" s="9">
        <v>1</v>
      </c>
      <c r="B2" s="1" t="s">
        <v>12</v>
      </c>
      <c r="C2" s="1" t="s">
        <v>13</v>
      </c>
      <c r="D2" s="14">
        <v>80000</v>
      </c>
      <c r="E2" s="2">
        <v>20000</v>
      </c>
      <c r="F2" s="13">
        <v>40000</v>
      </c>
      <c r="G2" s="13">
        <v>15000</v>
      </c>
      <c r="H2">
        <v>13</v>
      </c>
      <c r="I2">
        <v>12</v>
      </c>
      <c r="J2" s="13" cm="1">
        <f t="array" ref="J2">SUM(Table13[[#This Row],[Airport Taxi]],Table13[[#This Row],[Outstation]]*Table13[[#This Row],[No of nights]],Table13[[#This Row],[Meal]:[Local Taxi]]*Table13[[#This Row],[No of days]])</f>
        <v>1035000</v>
      </c>
    </row>
    <row r="3" spans="1:10" x14ac:dyDescent="0.3">
      <c r="A3" s="10" t="s">
        <v>5</v>
      </c>
      <c r="B3" s="11"/>
      <c r="J3" s="13">
        <f>SUBTOTAL(109,Table13[Total])</f>
        <v>1035000</v>
      </c>
    </row>
    <row r="6" spans="1:10" x14ac:dyDescent="0.3">
      <c r="C6" s="5"/>
      <c r="D6" s="5"/>
      <c r="E6" s="5"/>
    </row>
    <row r="7" spans="1:10" x14ac:dyDescent="0.3">
      <c r="C7" s="5"/>
      <c r="D7" s="5"/>
    </row>
    <row r="8" spans="1:10" x14ac:dyDescent="0.3">
      <c r="C8" s="5"/>
      <c r="D8" s="5"/>
    </row>
    <row r="9" spans="1:10" x14ac:dyDescent="0.3">
      <c r="C9" s="5"/>
      <c r="D9" s="5"/>
    </row>
    <row r="10" spans="1:10" x14ac:dyDescent="0.3">
      <c r="C10" s="5"/>
      <c r="D10" s="5"/>
    </row>
    <row r="11" spans="1:10" x14ac:dyDescent="0.3">
      <c r="C11" s="5"/>
      <c r="D11" s="5"/>
    </row>
    <row r="12" spans="1:10" x14ac:dyDescent="0.3">
      <c r="C12" s="6"/>
      <c r="D12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9BCA-57EE-4BA5-92C9-5E1769C72491}">
  <sheetPr>
    <pageSetUpPr fitToPage="1"/>
  </sheetPr>
  <dimension ref="A1:I12"/>
  <sheetViews>
    <sheetView workbookViewId="0">
      <selection activeCell="F2" sqref="F2"/>
    </sheetView>
  </sheetViews>
  <sheetFormatPr defaultRowHeight="14.4" x14ac:dyDescent="0.3"/>
  <cols>
    <col min="1" max="1" width="5.88671875" customWidth="1"/>
    <col min="2" max="2" width="16.6640625" customWidth="1"/>
    <col min="3" max="4" width="18.21875" customWidth="1"/>
    <col min="5" max="5" width="16.21875" customWidth="1"/>
    <col min="6" max="8" width="14" customWidth="1"/>
    <col min="9" max="9" width="11.6640625" bestFit="1" customWidth="1"/>
  </cols>
  <sheetData>
    <row r="1" spans="1:9" s="4" customFormat="1" x14ac:dyDescent="0.3">
      <c r="A1" s="8" t="s">
        <v>11</v>
      </c>
      <c r="B1" s="3" t="s">
        <v>10</v>
      </c>
      <c r="C1" s="3" t="s">
        <v>9</v>
      </c>
      <c r="D1" s="3" t="s">
        <v>20</v>
      </c>
      <c r="E1" s="7" t="s">
        <v>21</v>
      </c>
      <c r="F1" s="4" t="s">
        <v>15</v>
      </c>
      <c r="G1" s="4" t="s">
        <v>14</v>
      </c>
      <c r="H1" s="4" t="s">
        <v>16</v>
      </c>
      <c r="I1" s="12" t="s">
        <v>5</v>
      </c>
    </row>
    <row r="2" spans="1:9" x14ac:dyDescent="0.3">
      <c r="A2" s="9">
        <v>1</v>
      </c>
      <c r="B2" s="1" t="s">
        <v>12</v>
      </c>
      <c r="C2" s="1" t="s">
        <v>13</v>
      </c>
      <c r="D2" s="14">
        <v>40000</v>
      </c>
      <c r="E2" s="2">
        <v>40000</v>
      </c>
      <c r="F2" s="13">
        <v>20000</v>
      </c>
      <c r="G2">
        <v>5</v>
      </c>
      <c r="H2">
        <v>4</v>
      </c>
      <c r="I2" s="13">
        <f>SUM(Table132[[#This Row],[Airport ]],Table132[[#This Row],[Meal allowance]]*Table132[[#This Row],[No of nights]],Table132[[#This Row],[Outstation]]*Table132[[#This Row],[No of days]])</f>
        <v>300000</v>
      </c>
    </row>
    <row r="3" spans="1:9" x14ac:dyDescent="0.3">
      <c r="A3" s="10" t="s">
        <v>5</v>
      </c>
      <c r="B3" s="11"/>
      <c r="I3" s="13">
        <f>SUBTOTAL(109,Table132[Total])</f>
        <v>300000</v>
      </c>
    </row>
    <row r="6" spans="1:9" x14ac:dyDescent="0.3">
      <c r="C6" s="5"/>
      <c r="D6" s="5"/>
      <c r="E6" s="5"/>
    </row>
    <row r="7" spans="1:9" x14ac:dyDescent="0.3">
      <c r="C7" s="5"/>
      <c r="D7" s="5"/>
    </row>
    <row r="8" spans="1:9" x14ac:dyDescent="0.3">
      <c r="C8" s="5"/>
      <c r="D8" s="5"/>
    </row>
    <row r="9" spans="1:9" x14ac:dyDescent="0.3">
      <c r="C9" s="5"/>
      <c r="D9" s="5"/>
    </row>
    <row r="10" spans="1:9" x14ac:dyDescent="0.3">
      <c r="C10" s="5"/>
      <c r="D10" s="5"/>
    </row>
    <row r="11" spans="1:9" x14ac:dyDescent="0.3">
      <c r="C11" s="5"/>
      <c r="D11" s="5"/>
    </row>
    <row r="12" spans="1:9" x14ac:dyDescent="0.3">
      <c r="C12" s="6"/>
      <c r="D12" s="6"/>
    </row>
  </sheetData>
  <pageMargins left="0.7" right="0.7" top="0.75" bottom="0.75" header="0.3" footer="0.3"/>
  <pageSetup paperSize="9" scale="7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Domestic Travel allowance  1</vt:lpstr>
      <vt:lpstr>Domestic Travel allowance 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Idris  Abubakar</cp:lastModifiedBy>
  <cp:lastPrinted>2026-07-20T08:15:54Z</cp:lastPrinted>
  <dcterms:created xsi:type="dcterms:W3CDTF">2025-07-08T07:50:55Z</dcterms:created>
  <dcterms:modified xsi:type="dcterms:W3CDTF">2026-10-19T17:55:00Z</dcterms:modified>
</cp:coreProperties>
</file>