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DOMESTIC TRAVEL ALLOWANCE/"/>
    </mc:Choice>
  </mc:AlternateContent>
  <xr:revisionPtr revIDLastSave="1" documentId="8_{716E0660-87E4-4AEC-AE5A-335C4BD9583D}" xr6:coauthVersionLast="47" xr6:coauthVersionMax="47" xr10:uidLastSave="{3C012ED7-E733-4E71-961E-8970FF5CBB49}"/>
  <bookViews>
    <workbookView xWindow="28680" yWindow="-120" windowWidth="29040" windowHeight="15720" firstSheet="1" activeTab="2" xr2:uid="{9DCBAF53-D269-4DBA-8842-4A9D0E601B3A}"/>
  </bookViews>
  <sheets>
    <sheet name="Sheet1" sheetId="1" state="hidden" r:id="rId1"/>
    <sheet name="Domestic Travel allowance  (2)" sheetId="3" r:id="rId2"/>
    <sheet name="Domestic Travel allowance 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3" l="1"/>
  <c r="I3" i="3" s="1"/>
  <c r="H2" i="2"/>
  <c r="B17" i="1"/>
  <c r="B7" i="1"/>
  <c r="F3" i="2" l="1"/>
</calcChain>
</file>

<file path=xl/sharedStrings.xml><?xml version="1.0" encoding="utf-8"?>
<sst xmlns="http://schemas.openxmlformats.org/spreadsheetml/2006/main" count="40" uniqueCount="24">
  <si>
    <t>Airport Taxi (one-off)</t>
  </si>
  <si>
    <t>Hotel Rates (per nights)</t>
  </si>
  <si>
    <t>Meal Allowance ( per day)</t>
  </si>
  <si>
    <t>Local Taxi (per day)</t>
  </si>
  <si>
    <t>Out of station (per day)</t>
  </si>
  <si>
    <t>Total</t>
  </si>
  <si>
    <t>SENIOR STAFF</t>
  </si>
  <si>
    <t>MANAGEMENT STAFF</t>
  </si>
  <si>
    <t>N</t>
  </si>
  <si>
    <t>Job Level</t>
  </si>
  <si>
    <t>Employee Name</t>
  </si>
  <si>
    <t>S/N</t>
  </si>
  <si>
    <t>Idris Abubakar</t>
  </si>
  <si>
    <t>Management</t>
  </si>
  <si>
    <t>Meal allowance</t>
  </si>
  <si>
    <t>No of days</t>
  </si>
  <si>
    <t>Outstation</t>
  </si>
  <si>
    <t>No of nights</t>
  </si>
  <si>
    <t xml:space="preserve">Start date </t>
  </si>
  <si>
    <t>End date</t>
  </si>
  <si>
    <t>Amount</t>
  </si>
  <si>
    <t>Total amount</t>
  </si>
  <si>
    <t>28/9/2026</t>
  </si>
  <si>
    <t xml:space="preserve">Airport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</si>
</sst>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4" xfId="0" applyFont="1" applyBorder="1"/>
    <xf numFmtId="4" fontId="0" fillId="0" borderId="0" xfId="0" applyNumberFormat="1"/>
    <xf numFmtId="14" fontId="0" fillId="0" borderId="0" xfId="0" applyNumberFormat="1"/>
    <xf numFmtId="4" fontId="0" fillId="0" borderId="1" xfId="0" applyNumberFormat="1" applyBorder="1"/>
  </cellXfs>
  <cellStyles count="1">
    <cellStyle name="Normal" xfId="0" builtinId="0"/>
  </cellStyles>
  <dxfs count="21">
    <dxf>
      <numFmt numFmtId="4" formatCode="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border outline="0">
        <right style="thin">
          <color indexed="64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 style="thin">
          <color indexed="64"/>
        </right>
        <top/>
        <bottom/>
      </border>
    </dxf>
    <dxf>
      <numFmt numFmtId="4" formatCode="#,##0.00"/>
    </dxf>
    <dxf>
      <numFmt numFmtId="4" formatCode="#,##0.00"/>
    </dxf>
    <dxf>
      <numFmt numFmtId="4" formatCode="#,##0.0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4" formatCode="#,##0.00"/>
    </dxf>
    <dxf>
      <numFmt numFmtId="4" formatCode="#,##0.0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A712C3-3A73-4A7F-ACDA-4AEC506AA993}" name="Table13" displayName="Table13" ref="A1:I3" totalsRowCount="1" headerRowDxfId="13" tableBorderDxfId="12">
  <autoFilter ref="A1:I2" xr:uid="{53B6BC3A-FF97-49F6-BFBF-4D98E108358F}"/>
  <tableColumns count="9">
    <tableColumn id="1" xr3:uid="{2492D3FB-AA6B-4EE3-9E48-2FE6F9E5D01E}" name="S/N" totalsRowLabel="Total" dataDxfId="11" totalsRowDxfId="4"/>
    <tableColumn id="2" xr3:uid="{A1B81F57-62CB-4CBE-A438-D8284CF49486}" name="Employee Name" dataDxfId="10" totalsRowDxfId="3"/>
    <tableColumn id="3" xr3:uid="{61D3BCAB-E336-4596-83FB-3B71A98DA5D6}" name="Job Level" dataDxfId="2"/>
    <tableColumn id="9" xr3:uid="{153F0F79-786A-4B15-BEE5-35221B0D8CA5}" name="Airport " dataDxfId="0"/>
    <tableColumn id="4" xr3:uid="{AD3F9AC2-CDD6-45CE-AE11-6FC73612FD51}" name="Meal allowance" dataDxfId="1">
      <calculatedColumnFormula>SUM(E1:E1)</calculatedColumnFormula>
    </tableColumn>
    <tableColumn id="5" xr3:uid="{28474260-500D-41FC-90D0-7D751E25E4F7}" name="Outstation" dataDxfId="9"/>
    <tableColumn id="7" xr3:uid="{7D2D79DA-652A-44A8-B115-C252E2DA09FF}" name="No of days"/>
    <tableColumn id="8" xr3:uid="{C5667471-F27C-4869-91B7-053CBB7DABD9}" name="No of nights"/>
    <tableColumn id="6" xr3:uid="{449C8B92-861B-44E5-9703-505886712312}" name="Total" totalsRowFunction="sum" dataDxfId="8" totalsRowDxfId="7">
      <calculatedColumnFormula>SUM(Table13[[#This Row],[Airport ]],Table13[[#This Row],[Meal allowance]]*Table13[[#This Row],[No of nights]],Table13[[#This Row],[Outstation]]*Table13[[#This Row],[No of days]])</calculatedColumnFormula>
    </tableColumn>
  </tableColumns>
  <tableStyleInfo name="TableStyleLight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B6BC3A-FF97-49F6-BFBF-4D98E108358F}" name="Table1" displayName="Table1" ref="A1:H3" totalsRowCount="1" headerRowDxfId="20" tableBorderDxfId="19">
  <autoFilter ref="A1:H2" xr:uid="{53B6BC3A-FF97-49F6-BFBF-4D98E108358F}"/>
  <tableColumns count="8">
    <tableColumn id="1" xr3:uid="{F74E8937-880F-4A49-89FA-CF684D1C6061}" name="S/N" totalsRowLabel="Total" dataDxfId="18" totalsRowDxfId="6"/>
    <tableColumn id="2" xr3:uid="{7AFBE167-06C3-4D83-A6FB-B8C8B8177F21}" name="Employee Name" dataDxfId="17" totalsRowDxfId="5"/>
    <tableColumn id="3" xr3:uid="{2EE149A7-B077-4957-9864-039BD2CCFA70}" name="Job Level"/>
    <tableColumn id="4" xr3:uid="{491F6CB8-3E27-4B2C-9E17-E47B10452ADD}" name="Start date "/>
    <tableColumn id="5" xr3:uid="{D65E2963-5759-4F80-B3E6-3D56E4698D4E}" name="End date"/>
    <tableColumn id="6" xr3:uid="{DE0DC44E-C21D-45F2-B086-9E9D57D8F8D1}" name="No of days" totalsRowFunction="sum" dataDxfId="16" totalsRowDxfId="15"/>
    <tableColumn id="9" xr3:uid="{CE04556E-BF42-4CEE-9B99-8794BF047064}" name="Amount"/>
    <tableColumn id="10" xr3:uid="{2F6D457A-BFE2-4BE1-9796-16E357D05B84}" name="Total amount" dataDxfId="14">
      <calculatedColumnFormula>Table1[[#This Row],[Amount]]*Table1[[#This Row],[No of days]]</calculatedColumnFormula>
    </tableColumn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8A063-3D27-4278-9F54-7AC1CC6DCDE0}">
  <dimension ref="A1:B17"/>
  <sheetViews>
    <sheetView workbookViewId="0">
      <selection activeCell="B4" sqref="B4"/>
    </sheetView>
  </sheetViews>
  <sheetFormatPr defaultRowHeight="14.4" x14ac:dyDescent="0.3"/>
  <cols>
    <col min="1" max="1" width="24.77734375" customWidth="1"/>
    <col min="2" max="2" width="8.44140625" bestFit="1" customWidth="1"/>
  </cols>
  <sheetData>
    <row r="1" spans="1:2" x14ac:dyDescent="0.3">
      <c r="A1" s="3" t="s">
        <v>6</v>
      </c>
      <c r="B1" s="1" t="s">
        <v>8</v>
      </c>
    </row>
    <row r="2" spans="1:2" x14ac:dyDescent="0.3">
      <c r="A2" s="1" t="s">
        <v>0</v>
      </c>
      <c r="B2" s="2">
        <v>80000</v>
      </c>
    </row>
    <row r="3" spans="1:2" x14ac:dyDescent="0.3">
      <c r="A3" s="1" t="s">
        <v>1</v>
      </c>
      <c r="B3" s="2">
        <v>45000</v>
      </c>
    </row>
    <row r="4" spans="1:2" x14ac:dyDescent="0.3">
      <c r="A4" s="1" t="s">
        <v>2</v>
      </c>
      <c r="B4" s="2">
        <v>15000</v>
      </c>
    </row>
    <row r="5" spans="1:2" x14ac:dyDescent="0.3">
      <c r="A5" s="1" t="s">
        <v>3</v>
      </c>
      <c r="B5" s="2">
        <v>10000</v>
      </c>
    </row>
    <row r="6" spans="1:2" x14ac:dyDescent="0.3">
      <c r="A6" s="1" t="s">
        <v>4</v>
      </c>
      <c r="B6" s="2">
        <v>10000</v>
      </c>
    </row>
    <row r="7" spans="1:2" x14ac:dyDescent="0.3">
      <c r="A7" s="1" t="s">
        <v>5</v>
      </c>
      <c r="B7" s="2">
        <f>SUM(B2:B6)</f>
        <v>160000</v>
      </c>
    </row>
    <row r="11" spans="1:2" x14ac:dyDescent="0.3">
      <c r="A11" s="3" t="s">
        <v>7</v>
      </c>
      <c r="B11" s="1" t="s">
        <v>8</v>
      </c>
    </row>
    <row r="12" spans="1:2" x14ac:dyDescent="0.3">
      <c r="A12" s="1" t="s">
        <v>0</v>
      </c>
      <c r="B12" s="1">
        <v>80000</v>
      </c>
    </row>
    <row r="13" spans="1:2" x14ac:dyDescent="0.3">
      <c r="A13" s="1" t="s">
        <v>1</v>
      </c>
      <c r="B13" s="2">
        <v>60000</v>
      </c>
    </row>
    <row r="14" spans="1:2" x14ac:dyDescent="0.3">
      <c r="A14" s="1" t="s">
        <v>2</v>
      </c>
      <c r="B14" s="2">
        <v>30000</v>
      </c>
    </row>
    <row r="15" spans="1:2" x14ac:dyDescent="0.3">
      <c r="A15" s="1" t="s">
        <v>3</v>
      </c>
      <c r="B15" s="1">
        <v>10000</v>
      </c>
    </row>
    <row r="16" spans="1:2" x14ac:dyDescent="0.3">
      <c r="A16" s="1" t="s">
        <v>4</v>
      </c>
      <c r="B16" s="2">
        <v>15000</v>
      </c>
    </row>
    <row r="17" spans="1:2" x14ac:dyDescent="0.3">
      <c r="A17" s="1" t="s">
        <v>5</v>
      </c>
      <c r="B17" s="1">
        <f>SUM(B12:B16)</f>
        <v>195000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9739-7737-44DC-904B-138403134D09}">
  <sheetPr>
    <pageSetUpPr fitToPage="1"/>
  </sheetPr>
  <dimension ref="A1:I12"/>
  <sheetViews>
    <sheetView workbookViewId="0">
      <selection activeCell="E14" sqref="E14"/>
    </sheetView>
  </sheetViews>
  <sheetFormatPr defaultRowHeight="14.4" x14ac:dyDescent="0.3"/>
  <cols>
    <col min="1" max="1" width="5.88671875" customWidth="1"/>
    <col min="2" max="2" width="16.6640625" customWidth="1"/>
    <col min="3" max="4" width="18.21875" customWidth="1"/>
    <col min="5" max="5" width="16.21875" customWidth="1"/>
    <col min="6" max="8" width="14" customWidth="1"/>
    <col min="9" max="9" width="11.6640625" bestFit="1" customWidth="1"/>
  </cols>
  <sheetData>
    <row r="1" spans="1:9" s="4" customFormat="1" x14ac:dyDescent="0.3">
      <c r="A1" s="8" t="s">
        <v>11</v>
      </c>
      <c r="B1" s="3" t="s">
        <v>10</v>
      </c>
      <c r="C1" s="3" t="s">
        <v>9</v>
      </c>
      <c r="D1" s="3" t="s">
        <v>23</v>
      </c>
      <c r="E1" s="7" t="s">
        <v>14</v>
      </c>
      <c r="F1" s="4" t="s">
        <v>16</v>
      </c>
      <c r="G1" s="4" t="s">
        <v>15</v>
      </c>
      <c r="H1" s="4" t="s">
        <v>17</v>
      </c>
      <c r="I1" s="12" t="s">
        <v>5</v>
      </c>
    </row>
    <row r="2" spans="1:9" x14ac:dyDescent="0.3">
      <c r="A2" s="9">
        <v>1</v>
      </c>
      <c r="B2" s="1" t="s">
        <v>12</v>
      </c>
      <c r="C2" s="1" t="s">
        <v>13</v>
      </c>
      <c r="D2" s="15">
        <v>40000</v>
      </c>
      <c r="E2" s="2">
        <v>40000</v>
      </c>
      <c r="F2" s="13">
        <v>20000</v>
      </c>
      <c r="G2">
        <v>4</v>
      </c>
      <c r="H2">
        <v>5</v>
      </c>
      <c r="I2" s="13">
        <f>SUM(Table13[[#This Row],[Airport ]],Table13[[#This Row],[Meal allowance]]*Table13[[#This Row],[No of nights]],Table13[[#This Row],[Outstation]]*Table13[[#This Row],[No of days]])</f>
        <v>320000</v>
      </c>
    </row>
    <row r="3" spans="1:9" x14ac:dyDescent="0.3">
      <c r="A3" s="10" t="s">
        <v>5</v>
      </c>
      <c r="B3" s="11"/>
      <c r="I3" s="13">
        <f>SUBTOTAL(109,Table13[Total])</f>
        <v>320000</v>
      </c>
    </row>
    <row r="6" spans="1:9" x14ac:dyDescent="0.3">
      <c r="C6" s="5"/>
      <c r="D6" s="5"/>
      <c r="E6" s="5"/>
    </row>
    <row r="7" spans="1:9" x14ac:dyDescent="0.3">
      <c r="C7" s="5"/>
      <c r="D7" s="5"/>
    </row>
    <row r="8" spans="1:9" x14ac:dyDescent="0.3">
      <c r="C8" s="5"/>
      <c r="D8" s="5"/>
    </row>
    <row r="9" spans="1:9" x14ac:dyDescent="0.3">
      <c r="C9" s="5"/>
      <c r="D9" s="5"/>
    </row>
    <row r="10" spans="1:9" x14ac:dyDescent="0.3">
      <c r="C10" s="5"/>
      <c r="D10" s="5"/>
    </row>
    <row r="11" spans="1:9" x14ac:dyDescent="0.3">
      <c r="C11" s="5"/>
      <c r="D11" s="5"/>
    </row>
    <row r="12" spans="1:9" x14ac:dyDescent="0.3">
      <c r="C12" s="6"/>
      <c r="D12" s="6"/>
    </row>
  </sheetData>
  <pageMargins left="0.7" right="0.7" top="0.75" bottom="0.75" header="0.3" footer="0.3"/>
  <pageSetup paperSize="9" scale="7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7FB6-CACD-47AA-9840-F0BAE0D6F5E3}">
  <sheetPr>
    <pageSetUpPr fitToPage="1"/>
  </sheetPr>
  <dimension ref="A1:H11"/>
  <sheetViews>
    <sheetView tabSelected="1" workbookViewId="0">
      <selection activeCell="E8" sqref="E8"/>
    </sheetView>
  </sheetViews>
  <sheetFormatPr defaultRowHeight="14.4" x14ac:dyDescent="0.3"/>
  <cols>
    <col min="1" max="1" width="5.88671875" customWidth="1"/>
    <col min="2" max="2" width="16.6640625" customWidth="1"/>
    <col min="3" max="3" width="20.44140625" customWidth="1"/>
    <col min="4" max="5" width="18.21875" customWidth="1"/>
    <col min="6" max="6" width="17.33203125" bestFit="1" customWidth="1"/>
    <col min="7" max="7" width="13.21875" bestFit="1" customWidth="1"/>
    <col min="8" max="8" width="13.21875" customWidth="1"/>
  </cols>
  <sheetData>
    <row r="1" spans="1:8" s="4" customFormat="1" x14ac:dyDescent="0.3">
      <c r="A1" s="8" t="s">
        <v>11</v>
      </c>
      <c r="B1" s="3" t="s">
        <v>10</v>
      </c>
      <c r="C1" s="3" t="s">
        <v>9</v>
      </c>
      <c r="D1" s="12" t="s">
        <v>18</v>
      </c>
      <c r="E1" s="12" t="s">
        <v>19</v>
      </c>
      <c r="F1" s="12" t="s">
        <v>15</v>
      </c>
      <c r="G1" s="12" t="s">
        <v>20</v>
      </c>
      <c r="H1" s="12" t="s">
        <v>21</v>
      </c>
    </row>
    <row r="2" spans="1:8" x14ac:dyDescent="0.3">
      <c r="A2" s="9">
        <v>1</v>
      </c>
      <c r="B2" s="1" t="s">
        <v>12</v>
      </c>
      <c r="C2" s="1" t="s">
        <v>13</v>
      </c>
      <c r="D2" s="14" t="s">
        <v>22</v>
      </c>
      <c r="E2" s="14">
        <v>46032</v>
      </c>
      <c r="F2" s="13">
        <v>4</v>
      </c>
      <c r="G2">
        <v>100000</v>
      </c>
      <c r="H2" s="13">
        <f>Table1[[#This Row],[Amount]]*Table1[[#This Row],[No of days]]</f>
        <v>400000</v>
      </c>
    </row>
    <row r="3" spans="1:8" x14ac:dyDescent="0.3">
      <c r="A3" s="10" t="s">
        <v>5</v>
      </c>
      <c r="B3" s="11"/>
      <c r="F3" s="13">
        <f>SUBTOTAL(109,Table1[No of days])</f>
        <v>4</v>
      </c>
    </row>
    <row r="5" spans="1:8" x14ac:dyDescent="0.3">
      <c r="C5" s="5"/>
      <c r="D5" s="5"/>
      <c r="E5" s="5"/>
    </row>
    <row r="6" spans="1:8" x14ac:dyDescent="0.3">
      <c r="C6" s="5"/>
      <c r="D6" s="5"/>
      <c r="E6" s="5"/>
    </row>
    <row r="7" spans="1:8" x14ac:dyDescent="0.3">
      <c r="C7" s="5"/>
      <c r="D7" s="5"/>
      <c r="E7" s="5"/>
    </row>
    <row r="8" spans="1:8" x14ac:dyDescent="0.3">
      <c r="C8" s="5"/>
      <c r="D8" s="5"/>
      <c r="E8" s="5"/>
    </row>
    <row r="9" spans="1:8" x14ac:dyDescent="0.3">
      <c r="C9" s="5"/>
      <c r="D9" s="5"/>
      <c r="E9" s="5"/>
    </row>
    <row r="10" spans="1:8" x14ac:dyDescent="0.3">
      <c r="C10" s="5"/>
      <c r="D10" s="5"/>
      <c r="E10" s="5"/>
    </row>
    <row r="11" spans="1:8" x14ac:dyDescent="0.3">
      <c r="C11" s="6"/>
      <c r="D11" s="6"/>
      <c r="E11" s="6"/>
    </row>
  </sheetData>
  <pageMargins left="0.7" right="0.7" top="0.75" bottom="0.75" header="0.3" footer="0.3"/>
  <pageSetup paperSize="9" scale="7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Domestic Travel allowance  (2)</vt:lpstr>
      <vt:lpstr>Domestic Travel allowance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cp:lastPrinted>2026-07-20T08:15:54Z</cp:lastPrinted>
  <dcterms:created xsi:type="dcterms:W3CDTF">2025-07-08T07:50:55Z</dcterms:created>
  <dcterms:modified xsi:type="dcterms:W3CDTF">2026-10-15T13:29:36Z</dcterms:modified>
</cp:coreProperties>
</file>