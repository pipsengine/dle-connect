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DOMESTIC TRAVEL ALLOWANCE/"/>
    </mc:Choice>
  </mc:AlternateContent>
  <xr:revisionPtr revIDLastSave="0" documentId="8_{2E742BB1-2BE3-4C46-B1DD-2D40B73545AD}" xr6:coauthVersionLast="47" xr6:coauthVersionMax="47" xr10:uidLastSave="{00000000-0000-0000-0000-000000000000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 (2)" sheetId="3" r:id="rId2"/>
    <sheet name="Domestic Travel allowance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 a="1"/>
  <c r="J3" i="3" s="1"/>
  <c r="H2" i="2"/>
  <c r="B17" i="1"/>
  <c r="B7" i="1"/>
  <c r="F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<sst xmlns="http://schemas.openxmlformats.org/spreadsheetml/2006/main" count="42" uniqueCount="27">
  <si>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</si>
  <si>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</si>
  <si>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</si>
  <si>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</si>
  <si>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</si>
  <si>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</si>
  <si>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</si>
  <si>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</si>
  <si>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</si>
  <si>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</si>
  <si>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</si>
  <si>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</si>
  <si>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</si>
  <si>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</si>
  <si>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No of days</t>
  </si>
  <si>
    <t>Outstation</t>
  </si>
  <si>
    <t>No of nights</t>
  </si>
  <si>
    <t xml:space="preserve">Start date </t>
  </si>
  <si>
    <t>End date</t>
  </si>
  <si>
    <t>Amount</t>
  </si>
  <si>
    <t>Total amount</t>
  </si>
  <si>
    <t>13/10/2026</t>
  </si>
  <si>
    <t>Airport Taxi</t>
  </si>
  <si>
    <t>Local Taxi</t>
  </si>
  <si>
    <t>Meal</t>
  </si>
  <si>
    <t>24/10/2026</t>
  </si>
  <si>
    <t>No of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</si>
</sst>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1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2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left style="thin">
          <color indexed="64"/>
        </left>
      </border>
    </dxf>
    <dxf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2C3-3A73-4A7F-ACDA-4AEC506AA993}" name="Table13" displayName="Table13" ref="A1:J3" totalsRowCount="1" headerRowDxfId="21" tableBorderDxfId="20">
  <autoFilter ref="A1:J2" xr:uid="{53B6BC3A-FF97-49F6-BFBF-4D98E108358F}"/>
  <tableColumns count="10">
    <tableColumn id="1" xr3:uid="{2492D3FB-AA6B-4EE3-9E48-2FE6F9E5D01E}" name="S/N" totalsRowLabel="Total" dataDxfId="19" totalsRowDxfId="1"/>
    <tableColumn id="2" xr3:uid="{A1B81F57-62CB-4CBE-A438-D8284CF49486}" name="Employee Name" dataDxfId="18" totalsRowDxfId="0"/>
    <tableColumn id="3" xr3:uid="{61D3BCAB-E336-4596-83FB-3B71A98DA5D6}" name="Job Level" dataDxfId="17"/>
    <tableColumn id="9" xr3:uid="{2A257B40-E6CC-4EE4-8D5B-2768F3A1E41E}" name="Airport Taxi" dataDxfId="16"/>
    <tableColumn id="4" xr3:uid="{AD3F9AC2-CDD6-45CE-AE11-6FC73612FD51}" name="Outstation" dataDxfId="15"/>
    <tableColumn id="5" xr3:uid="{28474260-500D-41FC-90D0-7D751E25E4F7}" name="Meal" dataDxfId="14"/>
    <tableColumn id="10" xr3:uid="{616FA6A6-16B8-428B-8F60-04EB811F6F94}" name="Local Taxi" dataDxfId="13"/>
    <tableColumn id="7" xr3:uid="{7D2D79DA-652A-44A8-B115-C252E2DA09FF}" name="No of days"/>
    <tableColumn id="8" xr3:uid="{C5667471-F27C-4869-91B7-053CBB7DABD9}" name="No of nights"/>
    <tableColumn id="6" xr3:uid="{449C8B92-861B-44E5-9703-505886712312}" name="Total" totalsRowFunction="sum" dataDxfId="12" totalsRowDxfId="11">
      <calculatedColumnFormula array="1">SUM(Table13[[#This Row],[Airport Taxi]],Table13[[#This Row],[Outstation]]*Table13[[#This Row],[No of nights]],Table13[[#This Row],[Meal]:[Local Taxi]]*Table13[[#This Row],[No of days]])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H3" totalsRowCount="1" headerRowDxfId="10" tableBorderDxfId="9">
  <autoFilter ref="A1:H2" xr:uid="{53B6BC3A-FF97-49F6-BFBF-4D98E108358F}"/>
  <tableColumns count="8">
    <tableColumn id="1" xr3:uid="{F74E8937-880F-4A49-89FA-CF684D1C6061}" name="S/N" totalsRowLabel="Total" dataDxfId="8" totalsRowDxfId="3"/>
    <tableColumn id="2" xr3:uid="{7AFBE167-06C3-4D83-A6FB-B8C8B8177F21}" name="Employee Name" dataDxfId="7" totalsRowDxfId="2"/>
    <tableColumn id="3" xr3:uid="{2EE149A7-B077-4957-9864-039BD2CCFA70}" name="Job Level"/>
    <tableColumn id="4" xr3:uid="{491F6CB8-3E27-4B2C-9E17-E47B10452ADD}" name="Start date "/>
    <tableColumn id="5" xr3:uid="{D65E2963-5759-4F80-B3E6-3D56E4698D4E}" name="End date"/>
    <tableColumn id="6" xr3:uid="{DE0DC44E-C21D-45F2-B086-9E9D57D8F8D1}" name="No of night" totalsRowFunction="sum" dataDxfId="6" totalsRowDxfId="5"/>
    <tableColumn id="9" xr3:uid="{CE04556E-BF42-4CEE-9B99-8794BF047064}" name="Amount"/>
    <tableColumn id="10" xr3:uid="{2F6D457A-BFE2-4BE1-9796-16E357D05B84}" name="Total amount" dataDxfId="4">
      <calculatedColumnFormula>Table1[[#This Row],[Amount]]*Table1[[#This Row],[No of night]]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9739-7737-44DC-904B-138403134D09}">
  <sheetPr>
    <pageSetUpPr fitToPage="1"/>
  </sheetPr>
  <dimension ref="A1:J12"/>
  <sheetViews>
    <sheetView tabSelected="1" workbookViewId="0">
      <selection activeCell="I11" sqref="I11"/>
    </sheetView>
  </sheetViews>
  <sheetFormatPr defaultRowHeight="14.4" x14ac:dyDescent="0.3"/>
  <cols>
    <col min="1" max="1" width="5.88671875" customWidth="1"/>
    <col min="2" max="2" width="16.6640625" customWidth="1"/>
    <col min="3" max="4" width="18.21875" customWidth="1"/>
    <col min="5" max="5" width="16.21875" customWidth="1"/>
    <col min="6" max="9" width="14" customWidth="1"/>
    <col min="10" max="10" width="14.44140625" customWidth="1"/>
  </cols>
  <sheetData>
    <row r="1" spans="1:10" s="4" customFormat="1" x14ac:dyDescent="0.3">
      <c r="A1" s="8" t="s">
        <v>11</v>
      </c>
      <c r="B1" s="3" t="s">
        <v>10</v>
      </c>
      <c r="C1" s="3" t="s">
        <v>9</v>
      </c>
      <c r="D1" s="3" t="s">
        <v>22</v>
      </c>
      <c r="E1" s="7" t="s">
        <v>15</v>
      </c>
      <c r="F1" s="4" t="s">
        <v>24</v>
      </c>
      <c r="G1" s="4" t="s">
        <v>23</v>
      </c>
      <c r="H1" s="4" t="s">
        <v>14</v>
      </c>
      <c r="I1" s="4" t="s">
        <v>16</v>
      </c>
      <c r="J1" s="12" t="s">
        <v>5</v>
      </c>
    </row>
    <row r="2" spans="1:10" x14ac:dyDescent="0.3">
      <c r="A2" s="9">
        <v>1</v>
      </c>
      <c r="B2" s="1" t="s">
        <v>12</v>
      </c>
      <c r="C2" s="1" t="s">
        <v>13</v>
      </c>
      <c r="D2" s="15">
        <v>80000</v>
      </c>
      <c r="E2" s="2">
        <v>20000</v>
      </c>
      <c r="F2" s="13">
        <v>40000</v>
      </c>
      <c r="G2" s="13">
        <v>15000</v>
      </c>
      <c r="H2">
        <v>13</v>
      </c>
      <c r="I2">
        <v>12</v>
      </c>
      <c r="J2" s="13" cm="1">
        <f t="array" ref="J2">SUM(Table13[[#This Row],[Airport Taxi]],Table13[[#This Row],[Outstation]]*Table13[[#This Row],[No of nights]],Table13[[#This Row],[Meal]:[Local Taxi]]*Table13[[#This Row],[No of days]])</f>
        <v>1035000</v>
      </c>
    </row>
    <row r="3" spans="1:10" x14ac:dyDescent="0.3">
      <c r="A3" s="10" t="s">
        <v>5</v>
      </c>
      <c r="B3" s="11"/>
      <c r="J3" s="13">
        <f>SUBTOTAL(109,Table13[Total])</f>
        <v>1035000</v>
      </c>
    </row>
    <row r="6" spans="1:10" x14ac:dyDescent="0.3">
      <c r="C6" s="5"/>
      <c r="D6" s="5"/>
      <c r="E6" s="5"/>
    </row>
    <row r="7" spans="1:10" x14ac:dyDescent="0.3">
      <c r="C7" s="5"/>
      <c r="D7" s="5"/>
    </row>
    <row r="8" spans="1:10" x14ac:dyDescent="0.3">
      <c r="C8" s="5"/>
      <c r="D8" s="5"/>
    </row>
    <row r="9" spans="1:10" x14ac:dyDescent="0.3">
      <c r="C9" s="5"/>
      <c r="D9" s="5"/>
    </row>
    <row r="10" spans="1:10" x14ac:dyDescent="0.3">
      <c r="C10" s="5"/>
      <c r="D10" s="5"/>
    </row>
    <row r="11" spans="1:10" x14ac:dyDescent="0.3">
      <c r="C11" s="5"/>
      <c r="D11" s="5"/>
    </row>
    <row r="12" spans="1:10" x14ac:dyDescent="0.3">
      <c r="C12" s="6"/>
      <c r="D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H11"/>
  <sheetViews>
    <sheetView workbookViewId="0">
      <selection activeCell="B7" sqref="B7"/>
    </sheetView>
  </sheetViews>
  <sheetFormatPr defaultRowHeight="14.4" x14ac:dyDescent="0.3"/>
  <cols>
    <col min="1" max="1" width="5.88671875" customWidth="1"/>
    <col min="2" max="2" width="16.6640625" customWidth="1"/>
    <col min="3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12" t="s">
        <v>17</v>
      </c>
      <c r="E1" s="12" t="s">
        <v>18</v>
      </c>
      <c r="F1" s="12" t="s">
        <v>26</v>
      </c>
      <c r="G1" s="12" t="s">
        <v>19</v>
      </c>
      <c r="H1" s="12" t="s">
        <v>20</v>
      </c>
    </row>
    <row r="2" spans="1:8" x14ac:dyDescent="0.3">
      <c r="A2" s="9">
        <v>1</v>
      </c>
      <c r="B2" s="1" t="s">
        <v>12</v>
      </c>
      <c r="C2" s="1" t="s">
        <v>13</v>
      </c>
      <c r="D2" s="14" t="s">
        <v>21</v>
      </c>
      <c r="E2" s="14" t="s">
        <v>25</v>
      </c>
      <c r="F2" s="13">
        <v>12</v>
      </c>
      <c r="G2">
        <v>100000</v>
      </c>
      <c r="H2" s="13">
        <f>Table1[[#This Row],[Amount]]*Table1[[#This Row],[No of night]]</f>
        <v>1200000</v>
      </c>
    </row>
    <row r="3" spans="1:8" x14ac:dyDescent="0.3">
      <c r="A3" s="10" t="s">
        <v>5</v>
      </c>
      <c r="B3" s="11"/>
      <c r="F3" s="13">
        <f>SUBTOTAL(109,Table1[No of night])</f>
        <v>12</v>
      </c>
    </row>
    <row r="5" spans="1:8" x14ac:dyDescent="0.3">
      <c r="C5" s="5"/>
      <c r="D5" s="5"/>
      <c r="E5" s="5"/>
    </row>
    <row r="6" spans="1:8" x14ac:dyDescent="0.3">
      <c r="C6" s="5"/>
      <c r="D6" s="5"/>
      <c r="E6" s="5"/>
    </row>
    <row r="7" spans="1:8" x14ac:dyDescent="0.3">
      <c r="C7" s="5"/>
      <c r="D7" s="5"/>
      <c r="E7" s="5"/>
    </row>
    <row r="8" spans="1:8" x14ac:dyDescent="0.3">
      <c r="C8" s="5"/>
      <c r="D8" s="5"/>
      <c r="E8" s="5"/>
    </row>
    <row r="9" spans="1:8" x14ac:dyDescent="0.3">
      <c r="C9" s="5"/>
      <c r="D9" s="5"/>
      <c r="E9" s="5"/>
    </row>
    <row r="10" spans="1:8" x14ac:dyDescent="0.3">
      <c r="C10" s="5"/>
      <c r="D10" s="5"/>
      <c r="E10" s="5"/>
    </row>
    <row r="11" spans="1:8" x14ac:dyDescent="0.3">
      <c r="C11" s="6"/>
      <c r="D11" s="6"/>
      <c r="E11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Domestic Travel allowance  (2)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2026-07-20T08:15:54Z</cp:lastPrinted>
  <dcterms:created xsi:type="dcterms:W3CDTF">2025-07-08T07:50:55Z</dcterms:created>
  <dcterms:modified xsi:type="dcterms:W3CDTF">2026-10-20T12:00:54Z</dcterms:modified>
</cp:coreProperties>
</file>