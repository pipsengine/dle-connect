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PAYROLL/2026/September 2026 payroll/"/>
    </mc:Choice>
  </mc:AlternateContent>
  <xr:revisionPtr revIDLastSave="210" documentId="14_{0607D999-E73C-49D3-8EC3-B18B7BCFFAD4}" xr6:coauthVersionLast="47" xr6:coauthVersionMax="47" xr10:uidLastSave="{B69BE3C5-6CC4-449A-9771-34CCE163FD4E}"/>
  <bookViews>
    <workbookView xWindow="19090" yWindow="-110" windowWidth="19420" windowHeight="10300" xr2:uid="{00000000-000D-0000-FFFF-FFFF00000000}"/>
  </bookViews>
  <sheets>
    <sheet name="New Rate" sheetId="11" r:id="rId1"/>
    <sheet name="Rate Card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1" l="1"/>
  <c r="C45" i="11"/>
  <c r="D45" i="11"/>
  <c r="L45" i="11"/>
  <c r="P45" i="11"/>
  <c r="Q45" i="11"/>
  <c r="J23" i="11"/>
  <c r="I25" i="11"/>
  <c r="J25" i="11"/>
  <c r="K25" i="11"/>
  <c r="I23" i="11" l="1"/>
  <c r="K23" i="11"/>
  <c r="D52" i="11" l="1"/>
  <c r="I12" i="11" l="1"/>
  <c r="K9" i="11" l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4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8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4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I8" i="11"/>
  <c r="I9" i="11"/>
  <c r="I10" i="11"/>
  <c r="I11" i="11"/>
  <c r="I13" i="11"/>
  <c r="I14" i="11"/>
  <c r="I15" i="11"/>
  <c r="I16" i="11"/>
  <c r="I17" i="11"/>
  <c r="I18" i="11"/>
  <c r="I19" i="11"/>
  <c r="I20" i="11"/>
  <c r="I21" i="11"/>
  <c r="I22" i="11"/>
  <c r="I24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D51" i="11" l="1"/>
  <c r="O44" i="11" l="1"/>
  <c r="M44" i="11"/>
  <c r="O43" i="11"/>
  <c r="M43" i="11"/>
  <c r="O42" i="11"/>
  <c r="M42" i="11"/>
  <c r="O41" i="11"/>
  <c r="M41" i="11"/>
  <c r="O40" i="11"/>
  <c r="M40" i="11"/>
  <c r="O39" i="11"/>
  <c r="M39" i="11"/>
  <c r="O38" i="11"/>
  <c r="M38" i="11"/>
  <c r="O37" i="11"/>
  <c r="M37" i="11"/>
  <c r="O36" i="11"/>
  <c r="M36" i="11"/>
  <c r="O35" i="11"/>
  <c r="M35" i="11"/>
  <c r="O34" i="11"/>
  <c r="M34" i="11"/>
  <c r="O33" i="11"/>
  <c r="M33" i="11"/>
  <c r="O32" i="11"/>
  <c r="M32" i="11"/>
  <c r="O31" i="11"/>
  <c r="M31" i="11"/>
  <c r="O30" i="11"/>
  <c r="M30" i="11"/>
  <c r="M29" i="11"/>
  <c r="O28" i="11"/>
  <c r="M28" i="11"/>
  <c r="O27" i="11"/>
  <c r="M27" i="11"/>
  <c r="O26" i="11"/>
  <c r="M26" i="11"/>
  <c r="M25" i="11"/>
  <c r="S25" i="11" s="1"/>
  <c r="O24" i="11"/>
  <c r="M24" i="11"/>
  <c r="O23" i="11"/>
  <c r="M23" i="11"/>
  <c r="O22" i="11"/>
  <c r="M22" i="11"/>
  <c r="O21" i="11"/>
  <c r="M21" i="11"/>
  <c r="O20" i="11"/>
  <c r="M20" i="11"/>
  <c r="O19" i="11"/>
  <c r="M19" i="11"/>
  <c r="O18" i="11"/>
  <c r="M18" i="11"/>
  <c r="O17" i="11"/>
  <c r="M17" i="11"/>
  <c r="O16" i="11"/>
  <c r="M16" i="11"/>
  <c r="O15" i="11"/>
  <c r="M15" i="11"/>
  <c r="O14" i="11"/>
  <c r="M14" i="11"/>
  <c r="O13" i="11"/>
  <c r="O12" i="11"/>
  <c r="M12" i="11"/>
  <c r="O11" i="11"/>
  <c r="M11" i="11"/>
  <c r="O10" i="11"/>
  <c r="M10" i="11"/>
  <c r="O9" i="11"/>
  <c r="M9" i="11"/>
  <c r="O8" i="11"/>
  <c r="H45" i="11" l="1"/>
  <c r="O29" i="11"/>
  <c r="O45" i="11" s="1"/>
  <c r="M13" i="11"/>
  <c r="N9" i="11"/>
  <c r="S9" i="11" s="1"/>
  <c r="N34" i="11"/>
  <c r="S34" i="11" s="1"/>
  <c r="N15" i="11"/>
  <c r="S15" i="11" s="1"/>
  <c r="N22" i="11"/>
  <c r="S22" i="11" s="1"/>
  <c r="N28" i="11"/>
  <c r="S28" i="11" s="1"/>
  <c r="N19" i="11"/>
  <c r="S19" i="11" s="1"/>
  <c r="N26" i="11"/>
  <c r="S26" i="11" s="1"/>
  <c r="N32" i="11"/>
  <c r="S32" i="11" s="1"/>
  <c r="N43" i="11"/>
  <c r="S43" i="11" s="1"/>
  <c r="N30" i="11"/>
  <c r="S30" i="11" s="1"/>
  <c r="N42" i="11"/>
  <c r="S42" i="11" s="1"/>
  <c r="N14" i="11"/>
  <c r="S14" i="11" s="1"/>
  <c r="N21" i="11"/>
  <c r="S21" i="11" s="1"/>
  <c r="N44" i="11"/>
  <c r="S44" i="11" s="1"/>
  <c r="N40" i="11"/>
  <c r="S40" i="11" s="1"/>
  <c r="N39" i="11"/>
  <c r="S39" i="11" s="1"/>
  <c r="N17" i="11"/>
  <c r="S17" i="11" s="1"/>
  <c r="N24" i="11"/>
  <c r="S24" i="11" s="1"/>
  <c r="N31" i="11"/>
  <c r="S31" i="11" s="1"/>
  <c r="N13" i="11"/>
  <c r="N20" i="11"/>
  <c r="S20" i="11" s="1"/>
  <c r="N27" i="11"/>
  <c r="S27" i="11" s="1"/>
  <c r="N33" i="11"/>
  <c r="S33" i="11" s="1"/>
  <c r="N41" i="11"/>
  <c r="S41" i="11" s="1"/>
  <c r="N37" i="11"/>
  <c r="S37" i="11" s="1"/>
  <c r="N36" i="11"/>
  <c r="S36" i="11" s="1"/>
  <c r="N16" i="11"/>
  <c r="S16" i="11" s="1"/>
  <c r="N23" i="11"/>
  <c r="S23" i="11" s="1"/>
  <c r="N8" i="11"/>
  <c r="N18" i="11"/>
  <c r="S18" i="11" s="1"/>
  <c r="N29" i="11"/>
  <c r="N35" i="11"/>
  <c r="S35" i="11" s="1"/>
  <c r="N38" i="11"/>
  <c r="S38" i="11" s="1"/>
  <c r="N10" i="11"/>
  <c r="N11" i="11"/>
  <c r="S11" i="11" s="1"/>
  <c r="S29" i="11" l="1"/>
  <c r="G45" i="11"/>
  <c r="D55" i="11" s="1"/>
  <c r="N12" i="11"/>
  <c r="S12" i="11" s="1"/>
  <c r="S13" i="11"/>
  <c r="S10" i="11"/>
  <c r="M8" i="11" l="1"/>
  <c r="F45" i="11"/>
  <c r="D53" i="11" s="1"/>
  <c r="D54" i="11" s="1"/>
  <c r="D56" i="11" s="1"/>
  <c r="N45" i="11"/>
  <c r="S8" i="11" l="1"/>
  <c r="S45" i="11" s="1"/>
  <c r="D57" i="11" s="1"/>
  <c r="D58" i="11" s="1"/>
  <c r="D59" i="11" s="1"/>
  <c r="M45" i="11"/>
</calcChain>
</file>

<file path=xl/sharedStrings.xml><?xml version="1.0" encoding="utf-8"?>
<sst xmlns="http://schemas.openxmlformats.org/spreadsheetml/2006/main" count="170" uniqueCount="130">
  <si>
    <t>DORMAN LONG PROTECTIVE COATINGS LIMITED</t>
  </si>
  <si>
    <t>GALVANISING CASUAL WORKERS WAGES</t>
  </si>
  <si>
    <t>NAMES</t>
  </si>
  <si>
    <t>DESIGNATION</t>
  </si>
  <si>
    <t>SAT/SUN/PH</t>
  </si>
  <si>
    <t>OT HRS</t>
  </si>
  <si>
    <t>DAILY RATE</t>
  </si>
  <si>
    <t>SAT/SUN/P.H RATE</t>
  </si>
  <si>
    <t>OT RATE PER HR.</t>
  </si>
  <si>
    <t>OT SAT</t>
  </si>
  <si>
    <t>AMT WKED</t>
  </si>
  <si>
    <t>SAT/SUN/PH AMT</t>
  </si>
  <si>
    <t>O.T AMT</t>
  </si>
  <si>
    <t>NIGHT PAY</t>
  </si>
  <si>
    <t>AREARS</t>
  </si>
  <si>
    <t>TOTAL AMT</t>
  </si>
  <si>
    <t>CASUAL - PROCESS CRANE OPERATOR</t>
  </si>
  <si>
    <t>CASUAL - FINISHING</t>
  </si>
  <si>
    <t>CASUAL - LASHING</t>
  </si>
  <si>
    <t>CASUAL - BURNER</t>
  </si>
  <si>
    <t>CASUAL - CLEANER</t>
  </si>
  <si>
    <t>CASUAL FITTER MATE</t>
  </si>
  <si>
    <t>MUBASS FEES (LABOURERS PROVIDER)</t>
  </si>
  <si>
    <t xml:space="preserve"> </t>
  </si>
  <si>
    <t>CASUAL - STORE</t>
  </si>
  <si>
    <t>FACILITY CORD</t>
  </si>
  <si>
    <t>CASUAL CNC MATE</t>
  </si>
  <si>
    <t>Staff No.</t>
  </si>
  <si>
    <t>No. of Days Worked</t>
  </si>
  <si>
    <t>Weekday Dues</t>
  </si>
  <si>
    <t>Weekend/PH Tot. Amt</t>
  </si>
  <si>
    <t>MUBASS Fees</t>
  </si>
  <si>
    <t>Tot. Exp</t>
  </si>
  <si>
    <t>1% Palliative</t>
  </si>
  <si>
    <t>Grand Total</t>
  </si>
  <si>
    <t>Commission per Emp.</t>
  </si>
  <si>
    <t>Description</t>
  </si>
  <si>
    <t>Value</t>
  </si>
  <si>
    <t>Name</t>
  </si>
  <si>
    <t>Signature</t>
  </si>
  <si>
    <t>---------------------------------------------</t>
  </si>
  <si>
    <t>----------------------------------------------</t>
  </si>
  <si>
    <t>-----------------------------------------------</t>
  </si>
  <si>
    <t>Approver</t>
  </si>
  <si>
    <t>TEMP. CODE</t>
  </si>
  <si>
    <t>MUB-001</t>
  </si>
  <si>
    <t>MUB-002</t>
  </si>
  <si>
    <t>MUB-005</t>
  </si>
  <si>
    <t>MUB-006</t>
  </si>
  <si>
    <t>MUB-008</t>
  </si>
  <si>
    <t>MUB-011</t>
  </si>
  <si>
    <t>MUB-012</t>
  </si>
  <si>
    <t>MUB-014</t>
  </si>
  <si>
    <t>MUB-017</t>
  </si>
  <si>
    <t>MUB-019</t>
  </si>
  <si>
    <t>MUB-023</t>
  </si>
  <si>
    <t>MUB-024</t>
  </si>
  <si>
    <t>MUB-025</t>
  </si>
  <si>
    <t>MUB-031</t>
  </si>
  <si>
    <t>MUB-035</t>
  </si>
  <si>
    <t>MUB-038</t>
  </si>
  <si>
    <t>MUB-039</t>
  </si>
  <si>
    <t>MUB-040</t>
  </si>
  <si>
    <t>MUB-016</t>
  </si>
  <si>
    <t>GM:OPERATIONS</t>
  </si>
  <si>
    <t>MUB-041</t>
  </si>
  <si>
    <t>MUB-043</t>
  </si>
  <si>
    <t>MUB-045</t>
  </si>
  <si>
    <t>MUB-048</t>
  </si>
  <si>
    <t>Trade</t>
  </si>
  <si>
    <t>Weekday</t>
  </si>
  <si>
    <t>Weekend/PH</t>
  </si>
  <si>
    <t>OVT</t>
  </si>
  <si>
    <t>Commission per Emp per day</t>
  </si>
  <si>
    <t>MUB-049</t>
  </si>
  <si>
    <t>MUB-050</t>
  </si>
  <si>
    <t>MUB-051</t>
  </si>
  <si>
    <t>MUB-053</t>
  </si>
  <si>
    <t>MUB-054</t>
  </si>
  <si>
    <t>CASUAL - SUPERVISOR</t>
  </si>
  <si>
    <t>MUB-055</t>
  </si>
  <si>
    <t>MUB-057</t>
  </si>
  <si>
    <t>ACTING HEAD: HR AND ADMINISTRATION</t>
  </si>
  <si>
    <t>MUB-058</t>
  </si>
  <si>
    <t>MUB-059</t>
  </si>
  <si>
    <t>MUB-060</t>
  </si>
  <si>
    <t>MUB-061</t>
  </si>
  <si>
    <t>MUB-065</t>
  </si>
  <si>
    <t xml:space="preserve">JOHN EZURIKE </t>
  </si>
  <si>
    <t>AHMED ADESEGUN</t>
  </si>
  <si>
    <t>AYOADE ADEBISI</t>
  </si>
  <si>
    <t>ADEBAYO YUSUF</t>
  </si>
  <si>
    <t>ABAYOMI TAIWO</t>
  </si>
  <si>
    <t>MICHAEL TAMPINU</t>
  </si>
  <si>
    <t>OLAMILEKAN OLAWODE</t>
  </si>
  <si>
    <t>JOHNSON NWANKWO</t>
  </si>
  <si>
    <t>SODEEQ OLAMIPOSI</t>
  </si>
  <si>
    <t>AKINBINU EBENEZER</t>
  </si>
  <si>
    <t>BOLUWATIFE BAMBI</t>
  </si>
  <si>
    <t>NAJEEM OLUFAYO</t>
  </si>
  <si>
    <t>WAKILU RABIU</t>
  </si>
  <si>
    <t>CLEMENT AKANDE</t>
  </si>
  <si>
    <t>GABRIEL EMMANUEL</t>
  </si>
  <si>
    <t>ABEDNEGO OJO</t>
  </si>
  <si>
    <t>SAMUEL OKORO</t>
  </si>
  <si>
    <t>BABATUNDE GBOLAGADE</t>
  </si>
  <si>
    <t>KAREEM ABUBAKAR</t>
  </si>
  <si>
    <t>BENJAMIN OLIBAMOYO</t>
  </si>
  <si>
    <t>AKINJOBI TAIWO</t>
  </si>
  <si>
    <t>AKINPELU FISOYE</t>
  </si>
  <si>
    <t>ISMAIL AZEEZ</t>
  </si>
  <si>
    <t>LUKMON RAMON</t>
  </si>
  <si>
    <t>ISIAKA AHMED</t>
  </si>
  <si>
    <t>GANIU IBRAHIM</t>
  </si>
  <si>
    <t>CHRISTIAN CHIDI</t>
  </si>
  <si>
    <t>YUSUF TAIWO</t>
  </si>
  <si>
    <t>OMEOGA CHIBUZOR</t>
  </si>
  <si>
    <t>JIDE KEHINDE</t>
  </si>
  <si>
    <t>KELVIN ATTAH</t>
  </si>
  <si>
    <t>NURUDEEN ADEAGBO</t>
  </si>
  <si>
    <t>IFEANYI OKAFOR</t>
  </si>
  <si>
    <t>OLALEKAN OBANLA</t>
  </si>
  <si>
    <t>OGUNJIDE TOLUWALASE</t>
  </si>
  <si>
    <t>MUB-033</t>
  </si>
  <si>
    <t>MUB-037</t>
  </si>
  <si>
    <t>ADEYINKA ADEKUNLE</t>
  </si>
  <si>
    <t>TOSIN ODIDIOMO</t>
  </si>
  <si>
    <t>WEEKLY TRANSPORT</t>
  </si>
  <si>
    <t>FOR THE MONTH OF September(Aug 15 - Sep 16)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</si>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</sst>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1E7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43" fontId="0" fillId="0" borderId="0" xfId="0" applyNumberForma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0" xfId="0" quotePrefix="1" applyAlignment="1">
      <alignment horizontal="left"/>
    </xf>
    <xf numFmtId="0" fontId="4" fillId="2" borderId="0" xfId="0" applyFont="1" applyFill="1"/>
    <xf numFmtId="0" fontId="5" fillId="0" borderId="0" xfId="2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0" fillId="0" borderId="5" xfId="0" applyBorder="1"/>
    <xf numFmtId="0" fontId="3" fillId="0" borderId="2" xfId="0" applyFont="1" applyBorder="1"/>
    <xf numFmtId="0" fontId="0" fillId="0" borderId="3" xfId="0" applyBorder="1"/>
    <xf numFmtId="164" fontId="0" fillId="0" borderId="3" xfId="0" applyNumberFormat="1" applyBorder="1"/>
    <xf numFmtId="43" fontId="0" fillId="0" borderId="3" xfId="0" applyNumberFormat="1" applyBorder="1"/>
    <xf numFmtId="43" fontId="0" fillId="0" borderId="6" xfId="0" applyNumberFormat="1" applyBorder="1"/>
    <xf numFmtId="0" fontId="2" fillId="0" borderId="7" xfId="0" applyFont="1" applyBorder="1"/>
    <xf numFmtId="43" fontId="2" fillId="0" borderId="1" xfId="0" applyNumberFormat="1" applyFont="1" applyBorder="1"/>
    <xf numFmtId="0" fontId="3" fillId="0" borderId="0" xfId="0" applyFont="1"/>
    <xf numFmtId="3" fontId="7" fillId="4" borderId="0" xfId="0" applyNumberFormat="1" applyFont="1" applyFill="1" applyAlignment="1">
      <alignment horizontal="center" wrapText="1" readingOrder="1"/>
    </xf>
    <xf numFmtId="0" fontId="7" fillId="4" borderId="0" xfId="0" applyFont="1" applyFill="1" applyAlignment="1">
      <alignment horizontal="center" wrapText="1" readingOrder="1"/>
    </xf>
    <xf numFmtId="3" fontId="7" fillId="5" borderId="0" xfId="0" applyNumberFormat="1" applyFont="1" applyFill="1" applyAlignment="1">
      <alignment horizontal="center" wrapText="1" readingOrder="1"/>
    </xf>
    <xf numFmtId="0" fontId="7" fillId="5" borderId="0" xfId="0" applyFont="1" applyFill="1" applyAlignment="1">
      <alignment horizontal="center" wrapText="1" readingOrder="1"/>
    </xf>
    <xf numFmtId="0" fontId="7" fillId="4" borderId="0" xfId="0" applyFont="1" applyFill="1" applyAlignment="1">
      <alignment horizontal="left" wrapText="1" readingOrder="1"/>
    </xf>
    <xf numFmtId="0" fontId="7" fillId="5" borderId="0" xfId="0" applyFont="1" applyFill="1" applyAlignment="1">
      <alignment horizontal="left" wrapText="1" readingOrder="1"/>
    </xf>
    <xf numFmtId="0" fontId="6" fillId="3" borderId="0" xfId="0" applyFont="1" applyFill="1" applyAlignment="1">
      <alignment horizontal="left" wrapText="1" readingOrder="1"/>
    </xf>
    <xf numFmtId="0" fontId="6" fillId="3" borderId="0" xfId="0" applyFont="1" applyFill="1" applyAlignment="1">
      <alignment horizontal="center" wrapText="1" readingOrder="1"/>
    </xf>
    <xf numFmtId="0" fontId="8" fillId="0" borderId="0" xfId="0" applyFont="1"/>
    <xf numFmtId="0" fontId="9" fillId="6" borderId="8" xfId="0" applyFont="1" applyFill="1" applyBorder="1"/>
    <xf numFmtId="0" fontId="9" fillId="0" borderId="8" xfId="0" applyFont="1" applyBorder="1"/>
    <xf numFmtId="0" fontId="8" fillId="6" borderId="8" xfId="0" applyFont="1" applyFill="1" applyBorder="1"/>
  </cellXfs>
  <cellStyles count="3">
    <cellStyle name="Comma" xfId="1" builtinId="3"/>
    <cellStyle name="Normal" xfId="0" builtinId="0"/>
    <cellStyle name="Warning Text" xfId="2" builtinId="11"/>
  </cellStyles>
  <dxfs count="55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left" vertical="bottom" textRotation="0" wrapText="1" indent="0" justifyLastLine="0" shrinkToFit="0" readingOrder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B1E7"/>
        </patternFill>
      </fill>
      <alignment horizontal="center" vertical="bottom" textRotation="0" wrapText="1" indent="0" justifyLastLine="0" shrinkToFit="0" readingOrder="1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A6E15.48646AC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362535</xdr:colOff>
      <xdr:row>0</xdr:row>
      <xdr:rowOff>0</xdr:rowOff>
    </xdr:from>
    <xdr:to>
      <xdr:col>2</xdr:col>
      <xdr:colOff>2175493</xdr:colOff>
      <xdr:row>0</xdr:row>
      <xdr:rowOff>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68A69-3598-4976-A746-29B93688DB5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60000">
          <a:off x="591135" y="0"/>
          <a:ext cx="1819308" cy="13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32038</xdr:colOff>
      <xdr:row>1</xdr:row>
      <xdr:rowOff>12123</xdr:rowOff>
    </xdr:from>
    <xdr:to>
      <xdr:col>2</xdr:col>
      <xdr:colOff>1329690</xdr:colOff>
      <xdr:row>3</xdr:row>
      <xdr:rowOff>2885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48125E-FFFA-4F12-AE57-8AC6552C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38" y="195003"/>
          <a:ext cx="1282412" cy="3641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1A1A3-65CD-420F-B5C2-22918145C60D}" name="Table22" displayName="Table22" ref="C7:S45" totalsRowCount="1">
  <autoFilter ref="C7:S44" xr:uid="{AD03B018-F73B-473E-A288-C7CDFBDF4E13}"/>
  <sortState xmlns:xlrd2="http://schemas.microsoft.com/office/spreadsheetml/2017/richdata2" ref="C8:S40">
    <sortCondition ref="C7:C40"/>
  </sortState>
  <tableColumns count="17">
    <tableColumn id="1" xr3:uid="{C45CEF88-BEDB-4A53-A019-DF2D4A946BDE}" name="TEMP. CODE" totalsRowFunction="count" dataDxfId="54"/>
    <tableColumn id="2" xr3:uid="{CBABB4BD-CEFF-4382-918E-DF19A6FBB437}" name="NAMES" totalsRowFunction="count" dataDxfId="53"/>
    <tableColumn id="3" xr3:uid="{8180B666-40CF-4B75-8E0D-0934A2732813}" name="DESIGNATION" dataDxfId="52"/>
    <tableColumn id="4" xr3:uid="{65806D76-4292-42B1-8888-7DB3979B1D42}" name="WEEKDAY" totalsRowFunction="sum" dataDxfId="0" totalsRowDxfId="16" dataCellStyle="Comma"/>
    <tableColumn id="5" xr3:uid="{FEFB6D9E-1008-49E0-BBA4-18197E3E31E4}" name="SAT/SUN/PH" totalsRowFunction="sum" dataDxfId="2" totalsRowDxfId="15" dataCellStyle="Comma"/>
    <tableColumn id="6" xr3:uid="{020084EC-382A-43FA-BBD9-495375478E2F}" name="OT HRS" totalsRowFunction="sum" dataDxfId="1" totalsRowDxfId="14" dataCellStyle="Comma"/>
    <tableColumn id="7" xr3:uid="{2C2D6AB2-7AFD-47E6-98CD-24D29980E447}" name="DAILY RATE" dataDxfId="51" totalsRowDxfId="13" dataCellStyle="Comma">
      <calculatedColumnFormula>IFERROR(_xlfn.XLOOKUP(Table22[[#This Row],[DESIGNATION]],Table3[Trade],Table3[Weekday]),0)</calculatedColumnFormula>
    </tableColumn>
    <tableColumn id="8" xr3:uid="{27C3CBD4-301D-45E3-AD88-8BED4983B19E}" name="SAT/SUN/P.H RATE" dataDxfId="50" totalsRowDxfId="12" dataCellStyle="Comma">
      <calculatedColumnFormula>IFERROR(_xlfn.XLOOKUP(Table22[[#This Row],[DESIGNATION]],Table3[Trade],Table3[Weekend/PH]),0)</calculatedColumnFormula>
    </tableColumn>
    <tableColumn id="9" xr3:uid="{9A6B517D-87FA-4F4D-B7E9-C12BEFD346C8}" name="OT RATE PER HR." totalsRowDxfId="11" dataCellStyle="Comma">
      <calculatedColumnFormula>IFERROR(_xlfn.XLOOKUP(Table22[[#This Row],[DESIGNATION]],Table3[Trade],Table3[OVT]),0)</calculatedColumnFormula>
    </tableColumn>
    <tableColumn id="10" xr3:uid="{8663063E-519A-4D00-9495-C2853D97A48C}" name="OT SAT" totalsRowFunction="sum" totalsRowDxfId="10" dataCellStyle="Comma"/>
    <tableColumn id="11" xr3:uid="{E893FC27-E2A5-4CFF-A2A2-69C10F8BF904}" name="AMT WKED" totalsRowFunction="sum" totalsRowDxfId="9" dataCellStyle="Comma"/>
    <tableColumn id="12" xr3:uid="{5C8053FF-B98C-4353-8435-8F21E127F7BC}" name="SAT/SUN/PH AMT" totalsRowFunction="sum" totalsRowDxfId="8" dataCellStyle="Comma"/>
    <tableColumn id="13" xr3:uid="{CE76408D-334D-4D8F-B996-8BCE2EC47F64}" name="O.T AMT" totalsRowFunction="sum" totalsRowDxfId="7" dataCellStyle="Comma"/>
    <tableColumn id="14" xr3:uid="{6E9926EB-2AB4-4369-A609-62A4E8EFB113}" name="NIGHT PAY" totalsRowFunction="sum" totalsRowDxfId="6" dataCellStyle="Comma"/>
    <tableColumn id="15" xr3:uid="{0936FA88-3545-47F7-96D2-61E52140D3ED}" name="AREARS" totalsRowFunction="sum" totalsRowDxfId="5" dataCellStyle="Comma"/>
    <tableColumn id="16" xr3:uid="{CB82CB11-2193-4023-BADC-05B031537CFE}" name="WEEKLY TRANSPORT" totalsRowFunction="sum" totalsRowDxfId="4" dataCellStyle="Comma"/>
    <tableColumn id="17" xr3:uid="{B9E4EE9D-B960-43E2-A75C-5C5508596333}" name="TOTAL AMT" totalsRowFunction="sum" totalsRowDxfId="3" dataCellStyle="Comma"/>
  </tableColumns>
  <tableStyleInfo name="TableStyleLight15" showFirstColumn="0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9B132-36DD-4AE5-A619-9D697AC8B088}" name="Table3" displayName="Table3" ref="B4:F13" totalsRowShown="0" headerRowDxfId="49" tableBorderDxfId="48">
  <autoFilter ref="B4:F13" xr:uid="{F499B132-36DD-4AE5-A619-9D697AC8B088}"/>
  <tableColumns count="5">
    <tableColumn id="1" xr3:uid="{F4094B11-8D4C-4A86-B308-18DEC2A50C41}" name="Trade" dataDxfId="47"/>
    <tableColumn id="2" xr3:uid="{59C14B0E-B82C-475A-9060-409697F477B9}" name="Weekday" dataDxfId="46"/>
    <tableColumn id="3" xr3:uid="{3FD823CA-3034-4104-8492-5730055D2E33}" name="Weekend/PH" dataDxfId="45"/>
    <tableColumn id="4" xr3:uid="{746E258A-7996-4FBF-A533-27BC4A40129D}" name="OVT" dataDxfId="44"/>
    <tableColumn id="5" xr3:uid="{DBC8A643-FA33-4189-85A1-763F3E648626}" name="Commission per Emp per day" dataDxfId="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DE9E-664E-41B5-8616-86B9049813D9}">
  <sheetPr>
    <pageSetUpPr fitToPage="1"/>
  </sheetPr>
  <dimension ref="C2:S69"/>
  <sheetViews>
    <sheetView tabSelected="1" topLeftCell="A48" zoomScale="81" zoomScaleNormal="81" zoomScaleSheetLayoutView="70" workbookViewId="0">
      <selection activeCell="E59" sqref="E59"/>
    </sheetView>
  </sheetViews>
  <sheetFormatPr defaultRowHeight="14.4" x14ac:dyDescent="0.3"/>
  <cols>
    <col min="1" max="2" width="1.77734375" customWidth="1"/>
    <col min="3" max="3" width="34.5546875" customWidth="1"/>
    <col min="4" max="4" width="43.109375" bestFit="1" customWidth="1"/>
    <col min="5" max="5" width="33.109375" bestFit="1" customWidth="1"/>
    <col min="6" max="6" width="18.77734375" bestFit="1" customWidth="1"/>
    <col min="7" max="7" width="15.21875" bestFit="1" customWidth="1"/>
    <col min="8" max="8" width="10.44140625" bestFit="1" customWidth="1"/>
    <col min="9" max="9" width="14.109375" bestFit="1" customWidth="1"/>
    <col min="10" max="10" width="20.77734375" bestFit="1" customWidth="1"/>
    <col min="11" max="11" width="18.5546875" bestFit="1" customWidth="1"/>
    <col min="12" max="12" width="10.21875" bestFit="1" customWidth="1"/>
    <col min="13" max="13" width="13.77734375" bestFit="1" customWidth="1"/>
    <col min="14" max="14" width="20" bestFit="1" customWidth="1"/>
    <col min="15" max="15" width="11.5546875" bestFit="1" customWidth="1"/>
    <col min="16" max="16" width="13.5546875" bestFit="1" customWidth="1"/>
    <col min="17" max="17" width="10.77734375" bestFit="1" customWidth="1"/>
    <col min="18" max="18" width="22.6640625" customWidth="1"/>
    <col min="19" max="19" width="14.21875" bestFit="1" customWidth="1"/>
  </cols>
  <sheetData>
    <row r="2" spans="3:19" x14ac:dyDescent="0.3">
      <c r="D2" t="s">
        <v>0</v>
      </c>
    </row>
    <row r="3" spans="3:19" x14ac:dyDescent="0.3">
      <c r="D3" t="s">
        <v>1</v>
      </c>
    </row>
    <row r="4" spans="3:19" x14ac:dyDescent="0.3">
      <c r="D4" t="s">
        <v>128</v>
      </c>
    </row>
    <row r="7" spans="3:19" x14ac:dyDescent="0.3">
      <c r="C7" t="s">
        <v>44</v>
      </c>
      <c r="D7" t="s">
        <v>2</v>
      </c>
      <c r="E7" t="s">
        <v>3</v>
      </c>
      <c r="F7" t="s">
        <v>129</v>
      </c>
      <c r="G7" t="s">
        <v>4</v>
      </c>
      <c r="H7" t="s">
        <v>5</v>
      </c>
      <c r="I7" s="8" t="s">
        <v>6</v>
      </c>
      <c r="J7" s="8" t="s">
        <v>7</v>
      </c>
      <c r="K7" s="8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127</v>
      </c>
      <c r="S7" t="s">
        <v>15</v>
      </c>
    </row>
    <row r="8" spans="3:19" x14ac:dyDescent="0.3">
      <c r="C8" t="s">
        <v>45</v>
      </c>
      <c r="D8" t="s">
        <v>88</v>
      </c>
      <c r="E8" s="29" t="s">
        <v>79</v>
      </c>
      <c r="F8" s="3">
        <v>21</v>
      </c>
      <c r="G8" s="3">
        <v>2</v>
      </c>
      <c r="H8" s="3">
        <v>0</v>
      </c>
      <c r="I8" s="2">
        <f>IFERROR(_xlfn.XLOOKUP(Table22[[#This Row],[DESIGNATION]],Table3[Trade],Table3[Weekday]),0)</f>
        <v>6500</v>
      </c>
      <c r="J8" s="2">
        <f>IFERROR(_xlfn.XLOOKUP(Table22[[#This Row],[DESIGNATION]],Table3[Trade],Table3[Weekend/PH]),0)</f>
        <v>7000</v>
      </c>
      <c r="K8" s="2">
        <f>IFERROR(_xlfn.XLOOKUP(Table22[[#This Row],[DESIGNATION]],Table3[Trade],Table3[OVT]),0)</f>
        <v>900</v>
      </c>
      <c r="L8" s="2">
        <v>0</v>
      </c>
      <c r="M8" s="2">
        <f t="shared" ref="M8:N40" si="0">F8*I8</f>
        <v>136500</v>
      </c>
      <c r="N8" s="2">
        <f>G8*J8</f>
        <v>14000</v>
      </c>
      <c r="O8" s="2">
        <f>K8*H8</f>
        <v>0</v>
      </c>
      <c r="P8" s="2"/>
      <c r="Q8" s="2"/>
      <c r="R8" s="2">
        <v>0</v>
      </c>
      <c r="S8" s="2">
        <f>SUM(Table22[[#This Row],[OT SAT]:[WEEKLY TRANSPORT]])</f>
        <v>150500</v>
      </c>
    </row>
    <row r="9" spans="3:19" x14ac:dyDescent="0.3">
      <c r="C9" t="s">
        <v>46</v>
      </c>
      <c r="D9" t="s">
        <v>89</v>
      </c>
      <c r="E9" s="29" t="s">
        <v>16</v>
      </c>
      <c r="F9" s="3">
        <v>20</v>
      </c>
      <c r="G9" s="3">
        <v>0</v>
      </c>
      <c r="H9" s="3">
        <v>0</v>
      </c>
      <c r="I9" s="2">
        <f>IFERROR(_xlfn.XLOOKUP(Table22[[#This Row],[DESIGNATION]],Table3[Trade],Table3[Weekday]),0)</f>
        <v>6500</v>
      </c>
      <c r="J9" s="2">
        <f>IFERROR(_xlfn.XLOOKUP(Table22[[#This Row],[DESIGNATION]],Table3[Trade],Table3[Weekend/PH]),0)</f>
        <v>7000</v>
      </c>
      <c r="K9" s="2">
        <f>IFERROR(_xlfn.XLOOKUP(Table22[[#This Row],[DESIGNATION]],Table3[Trade],Table3[OVT]),0)</f>
        <v>900</v>
      </c>
      <c r="L9" s="2">
        <v>0</v>
      </c>
      <c r="M9" s="2">
        <f t="shared" si="0"/>
        <v>130000</v>
      </c>
      <c r="N9" s="2">
        <f t="shared" si="0"/>
        <v>0</v>
      </c>
      <c r="O9" s="2">
        <f t="shared" ref="O9:O40" si="1">K9*H9</f>
        <v>0</v>
      </c>
      <c r="P9" s="2"/>
      <c r="Q9" s="2"/>
      <c r="R9" s="2">
        <v>0</v>
      </c>
      <c r="S9" s="2">
        <f>SUM(Table22[[#This Row],[OT SAT]:[WEEKLY TRANSPORT]])</f>
        <v>130000</v>
      </c>
    </row>
    <row r="10" spans="3:19" x14ac:dyDescent="0.3">
      <c r="C10" t="s">
        <v>47</v>
      </c>
      <c r="D10" t="s">
        <v>90</v>
      </c>
      <c r="E10" s="29" t="s">
        <v>17</v>
      </c>
      <c r="F10" s="3">
        <v>21</v>
      </c>
      <c r="G10" s="3">
        <v>0</v>
      </c>
      <c r="H10" s="3">
        <v>2</v>
      </c>
      <c r="I10" s="2">
        <f>IFERROR(_xlfn.XLOOKUP(Table22[[#This Row],[DESIGNATION]],Table3[Trade],Table3[Weekday]),0)</f>
        <v>5500</v>
      </c>
      <c r="J10" s="2">
        <f>IFERROR(_xlfn.XLOOKUP(Table22[[#This Row],[DESIGNATION]],Table3[Trade],Table3[Weekend/PH]),0)</f>
        <v>6000</v>
      </c>
      <c r="K10" s="2">
        <f>IFERROR(_xlfn.XLOOKUP(Table22[[#This Row],[DESIGNATION]],Table3[Trade],Table3[OVT]),0)</f>
        <v>750</v>
      </c>
      <c r="L10" s="2">
        <v>0</v>
      </c>
      <c r="M10" s="2">
        <f t="shared" si="0"/>
        <v>115500</v>
      </c>
      <c r="N10" s="2">
        <f t="shared" si="0"/>
        <v>0</v>
      </c>
      <c r="O10" s="2">
        <f t="shared" si="1"/>
        <v>1500</v>
      </c>
      <c r="P10" s="2"/>
      <c r="Q10" s="2"/>
      <c r="R10" s="2"/>
      <c r="S10" s="2">
        <f>SUM(Table22[[#This Row],[OT SAT]:[WEEKLY TRANSPORT]])</f>
        <v>117000</v>
      </c>
    </row>
    <row r="11" spans="3:19" x14ac:dyDescent="0.3">
      <c r="C11" t="s">
        <v>48</v>
      </c>
      <c r="D11" t="s">
        <v>91</v>
      </c>
      <c r="E11" s="29" t="s">
        <v>21</v>
      </c>
      <c r="F11" s="3">
        <v>21</v>
      </c>
      <c r="G11" s="3">
        <v>0</v>
      </c>
      <c r="H11" s="3">
        <v>0</v>
      </c>
      <c r="I11" s="2">
        <f>IFERROR(_xlfn.XLOOKUP(Table22[[#This Row],[DESIGNATION]],Table3[Trade],Table3[Weekday]),0)</f>
        <v>6500</v>
      </c>
      <c r="J11" s="2">
        <f>IFERROR(_xlfn.XLOOKUP(Table22[[#This Row],[DESIGNATION]],Table3[Trade],Table3[Weekend/PH]),0)</f>
        <v>7000</v>
      </c>
      <c r="K11" s="2">
        <f>IFERROR(_xlfn.XLOOKUP(Table22[[#This Row],[DESIGNATION]],Table3[Trade],Table3[OVT]),0)</f>
        <v>900</v>
      </c>
      <c r="L11" s="2">
        <v>0</v>
      </c>
      <c r="M11" s="2">
        <f t="shared" si="0"/>
        <v>136500</v>
      </c>
      <c r="N11" s="2">
        <f t="shared" si="0"/>
        <v>0</v>
      </c>
      <c r="O11" s="2">
        <f t="shared" si="1"/>
        <v>0</v>
      </c>
      <c r="P11" s="2"/>
      <c r="Q11" s="2"/>
      <c r="R11" s="2">
        <v>0</v>
      </c>
      <c r="S11" s="2">
        <f>SUM(Table22[[#This Row],[OT SAT]:[WEEKLY TRANSPORT]])</f>
        <v>136500</v>
      </c>
    </row>
    <row r="12" spans="3:19" x14ac:dyDescent="0.3">
      <c r="C12" t="s">
        <v>49</v>
      </c>
      <c r="D12" t="s">
        <v>92</v>
      </c>
      <c r="E12" s="29" t="s">
        <v>17</v>
      </c>
      <c r="F12" s="3">
        <v>20</v>
      </c>
      <c r="G12" s="3">
        <v>0</v>
      </c>
      <c r="H12" s="3">
        <v>0</v>
      </c>
      <c r="I12" s="2">
        <f>IFERROR(_xlfn.XLOOKUP(Table22[[#This Row],[DESIGNATION]],Table3[Trade],Table3[Weekday]),0)</f>
        <v>5500</v>
      </c>
      <c r="J12" s="2">
        <f>IFERROR(_xlfn.XLOOKUP(Table22[[#This Row],[DESIGNATION]],Table3[Trade],Table3[Weekend/PH]),0)</f>
        <v>6000</v>
      </c>
      <c r="K12" s="2">
        <f>IFERROR(_xlfn.XLOOKUP(Table22[[#This Row],[DESIGNATION]],Table3[Trade],Table3[OVT]),0)</f>
        <v>750</v>
      </c>
      <c r="L12" s="2">
        <v>0</v>
      </c>
      <c r="M12" s="2">
        <f t="shared" si="0"/>
        <v>110000</v>
      </c>
      <c r="N12" s="2">
        <f t="shared" si="0"/>
        <v>0</v>
      </c>
      <c r="O12" s="2">
        <f t="shared" si="1"/>
        <v>0</v>
      </c>
      <c r="P12" s="2"/>
      <c r="Q12" s="2"/>
      <c r="R12" s="2">
        <v>0</v>
      </c>
      <c r="S12" s="2">
        <f>SUM(Table22[[#This Row],[OT SAT]:[WEEKLY TRANSPORT]])</f>
        <v>110000</v>
      </c>
    </row>
    <row r="13" spans="3:19" x14ac:dyDescent="0.3">
      <c r="C13" t="s">
        <v>50</v>
      </c>
      <c r="D13" t="s">
        <v>93</v>
      </c>
      <c r="E13" s="29" t="s">
        <v>21</v>
      </c>
      <c r="F13" s="3">
        <v>17</v>
      </c>
      <c r="G13" s="3">
        <v>0</v>
      </c>
      <c r="H13" s="3">
        <v>0</v>
      </c>
      <c r="I13" s="2">
        <f>IFERROR(_xlfn.XLOOKUP(Table22[[#This Row],[DESIGNATION]],Table3[Trade],Table3[Weekday]),0)</f>
        <v>6500</v>
      </c>
      <c r="J13" s="2">
        <f>IFERROR(_xlfn.XLOOKUP(Table22[[#This Row],[DESIGNATION]],Table3[Trade],Table3[Weekend/PH]),0)</f>
        <v>7000</v>
      </c>
      <c r="K13" s="2">
        <f>IFERROR(_xlfn.XLOOKUP(Table22[[#This Row],[DESIGNATION]],Table3[Trade],Table3[OVT]),0)</f>
        <v>900</v>
      </c>
      <c r="L13" s="2">
        <v>0</v>
      </c>
      <c r="M13" s="2">
        <f t="shared" si="0"/>
        <v>110500</v>
      </c>
      <c r="N13" s="2">
        <f t="shared" si="0"/>
        <v>0</v>
      </c>
      <c r="O13" s="2">
        <f t="shared" si="1"/>
        <v>0</v>
      </c>
      <c r="P13" s="2"/>
      <c r="Q13" s="2"/>
      <c r="R13" s="2">
        <v>0</v>
      </c>
      <c r="S13" s="2">
        <f>SUM(Table22[[#This Row],[OT SAT]:[WEEKLY TRANSPORT]])</f>
        <v>110500</v>
      </c>
    </row>
    <row r="14" spans="3:19" x14ac:dyDescent="0.3">
      <c r="C14" t="s">
        <v>51</v>
      </c>
      <c r="D14" t="s">
        <v>94</v>
      </c>
      <c r="E14" s="29" t="s">
        <v>17</v>
      </c>
      <c r="F14" s="3">
        <v>20</v>
      </c>
      <c r="G14" s="3">
        <v>0</v>
      </c>
      <c r="H14" s="3">
        <v>0</v>
      </c>
      <c r="I14" s="2">
        <f>IFERROR(_xlfn.XLOOKUP(Table22[[#This Row],[DESIGNATION]],Table3[Trade],Table3[Weekday]),0)</f>
        <v>5500</v>
      </c>
      <c r="J14" s="2">
        <f>IFERROR(_xlfn.XLOOKUP(Table22[[#This Row],[DESIGNATION]],Table3[Trade],Table3[Weekend/PH]),0)</f>
        <v>6000</v>
      </c>
      <c r="K14" s="2">
        <f>IFERROR(_xlfn.XLOOKUP(Table22[[#This Row],[DESIGNATION]],Table3[Trade],Table3[OVT]),0)</f>
        <v>750</v>
      </c>
      <c r="L14" s="2">
        <v>0</v>
      </c>
      <c r="M14" s="2">
        <f t="shared" si="0"/>
        <v>110000</v>
      </c>
      <c r="N14" s="2">
        <f t="shared" si="0"/>
        <v>0</v>
      </c>
      <c r="O14" s="2">
        <f>K14*H14</f>
        <v>0</v>
      </c>
      <c r="P14" s="2"/>
      <c r="Q14" s="2"/>
      <c r="R14" s="2">
        <v>0</v>
      </c>
      <c r="S14" s="2">
        <f>SUM(Table22[[#This Row],[OT SAT]:[WEEKLY TRANSPORT]])</f>
        <v>110000</v>
      </c>
    </row>
    <row r="15" spans="3:19" x14ac:dyDescent="0.3">
      <c r="C15" t="s">
        <v>52</v>
      </c>
      <c r="D15" t="s">
        <v>95</v>
      </c>
      <c r="E15" s="29" t="s">
        <v>21</v>
      </c>
      <c r="F15" s="3">
        <v>21</v>
      </c>
      <c r="G15" s="3">
        <v>0</v>
      </c>
      <c r="H15" s="3">
        <v>0</v>
      </c>
      <c r="I15" s="2">
        <f>IFERROR(_xlfn.XLOOKUP(Table22[[#This Row],[DESIGNATION]],Table3[Trade],Table3[Weekday]),0)</f>
        <v>6500</v>
      </c>
      <c r="J15" s="2">
        <f>IFERROR(_xlfn.XLOOKUP(Table22[[#This Row],[DESIGNATION]],Table3[Trade],Table3[Weekend/PH]),0)</f>
        <v>7000</v>
      </c>
      <c r="K15" s="2">
        <f>IFERROR(_xlfn.XLOOKUP(Table22[[#This Row],[DESIGNATION]],Table3[Trade],Table3[OVT]),0)</f>
        <v>900</v>
      </c>
      <c r="L15" s="2">
        <v>0</v>
      </c>
      <c r="M15" s="2">
        <f t="shared" si="0"/>
        <v>136500</v>
      </c>
      <c r="N15" s="2">
        <f t="shared" si="0"/>
        <v>0</v>
      </c>
      <c r="O15" s="2">
        <f t="shared" si="1"/>
        <v>0</v>
      </c>
      <c r="P15" s="2"/>
      <c r="Q15" s="2"/>
      <c r="R15" s="2"/>
      <c r="S15" s="2">
        <f>SUM(Table22[[#This Row],[OT SAT]:[WEEKLY TRANSPORT]])</f>
        <v>136500</v>
      </c>
    </row>
    <row r="16" spans="3:19" x14ac:dyDescent="0.3">
      <c r="C16" t="s">
        <v>63</v>
      </c>
      <c r="D16" t="s">
        <v>96</v>
      </c>
      <c r="E16" s="29" t="s">
        <v>21</v>
      </c>
      <c r="F16" s="3">
        <v>20</v>
      </c>
      <c r="G16" s="3">
        <v>0</v>
      </c>
      <c r="H16" s="3">
        <v>0</v>
      </c>
      <c r="I16" s="2">
        <f>IFERROR(_xlfn.XLOOKUP(Table22[[#This Row],[DESIGNATION]],Table3[Trade],Table3[Weekday]),0)</f>
        <v>6500</v>
      </c>
      <c r="J16" s="2">
        <f>IFERROR(_xlfn.XLOOKUP(Table22[[#This Row],[DESIGNATION]],Table3[Trade],Table3[Weekend/PH]),0)</f>
        <v>7000</v>
      </c>
      <c r="K16" s="2">
        <f>IFERROR(_xlfn.XLOOKUP(Table22[[#This Row],[DESIGNATION]],Table3[Trade],Table3[OVT]),0)</f>
        <v>900</v>
      </c>
      <c r="L16" s="2">
        <v>0</v>
      </c>
      <c r="M16" s="2">
        <f t="shared" si="0"/>
        <v>130000</v>
      </c>
      <c r="N16" s="2">
        <f t="shared" si="0"/>
        <v>0</v>
      </c>
      <c r="O16" s="2">
        <f t="shared" si="1"/>
        <v>0</v>
      </c>
      <c r="P16" s="2"/>
      <c r="Q16" s="2"/>
      <c r="R16" s="2">
        <v>0</v>
      </c>
      <c r="S16" s="2">
        <f>SUM(Table22[[#This Row],[OT SAT]:[WEEKLY TRANSPORT]])</f>
        <v>130000</v>
      </c>
    </row>
    <row r="17" spans="3:19" x14ac:dyDescent="0.3">
      <c r="C17" t="s">
        <v>53</v>
      </c>
      <c r="D17" t="s">
        <v>97</v>
      </c>
      <c r="E17" s="29" t="s">
        <v>21</v>
      </c>
      <c r="F17" s="3">
        <v>21</v>
      </c>
      <c r="G17" s="3">
        <v>0</v>
      </c>
      <c r="H17" s="3">
        <v>0</v>
      </c>
      <c r="I17" s="2">
        <f>IFERROR(_xlfn.XLOOKUP(Table22[[#This Row],[DESIGNATION]],Table3[Trade],Table3[Weekday]),0)</f>
        <v>6500</v>
      </c>
      <c r="J17" s="2">
        <f>IFERROR(_xlfn.XLOOKUP(Table22[[#This Row],[DESIGNATION]],Table3[Trade],Table3[Weekend/PH]),0)</f>
        <v>7000</v>
      </c>
      <c r="K17" s="2">
        <f>IFERROR(_xlfn.XLOOKUP(Table22[[#This Row],[DESIGNATION]],Table3[Trade],Table3[OVT]),0)</f>
        <v>900</v>
      </c>
      <c r="L17" s="2">
        <v>0</v>
      </c>
      <c r="M17" s="2">
        <f t="shared" si="0"/>
        <v>136500</v>
      </c>
      <c r="N17" s="2">
        <f t="shared" si="0"/>
        <v>0</v>
      </c>
      <c r="O17" s="2">
        <f t="shared" si="1"/>
        <v>0</v>
      </c>
      <c r="P17" s="2"/>
      <c r="Q17" s="2"/>
      <c r="R17" s="2">
        <v>0</v>
      </c>
      <c r="S17" s="2">
        <f>SUM(Table22[[#This Row],[OT SAT]:[WEEKLY TRANSPORT]])</f>
        <v>136500</v>
      </c>
    </row>
    <row r="18" spans="3:19" x14ac:dyDescent="0.3">
      <c r="C18" t="s">
        <v>54</v>
      </c>
      <c r="D18" t="s">
        <v>98</v>
      </c>
      <c r="E18" s="29" t="s">
        <v>18</v>
      </c>
      <c r="F18" s="3">
        <v>21</v>
      </c>
      <c r="G18" s="3">
        <v>0</v>
      </c>
      <c r="H18" s="3">
        <v>0</v>
      </c>
      <c r="I18" s="2">
        <f>IFERROR(_xlfn.XLOOKUP(Table22[[#This Row],[DESIGNATION]],Table3[Trade],Table3[Weekday]),0)</f>
        <v>5500</v>
      </c>
      <c r="J18" s="2">
        <f>IFERROR(_xlfn.XLOOKUP(Table22[[#This Row],[DESIGNATION]],Table3[Trade],Table3[Weekend/PH]),0)</f>
        <v>6000</v>
      </c>
      <c r="K18" s="2">
        <f>IFERROR(_xlfn.XLOOKUP(Table22[[#This Row],[DESIGNATION]],Table3[Trade],Table3[OVT]),0)</f>
        <v>750</v>
      </c>
      <c r="L18" s="2">
        <v>0</v>
      </c>
      <c r="M18" s="2">
        <f t="shared" si="0"/>
        <v>115500</v>
      </c>
      <c r="N18" s="2">
        <f t="shared" si="0"/>
        <v>0</v>
      </c>
      <c r="O18" s="2">
        <f t="shared" si="1"/>
        <v>0</v>
      </c>
      <c r="P18" s="2"/>
      <c r="Q18" s="2"/>
      <c r="R18" s="2">
        <v>0</v>
      </c>
      <c r="S18" s="2">
        <f>SUM(Table22[[#This Row],[OT SAT]:[WEEKLY TRANSPORT]])</f>
        <v>115500</v>
      </c>
    </row>
    <row r="19" spans="3:19" x14ac:dyDescent="0.3">
      <c r="C19" t="s">
        <v>55</v>
      </c>
      <c r="D19" t="s">
        <v>99</v>
      </c>
      <c r="E19" s="29" t="s">
        <v>21</v>
      </c>
      <c r="F19" s="3">
        <v>21</v>
      </c>
      <c r="G19" s="3">
        <v>0</v>
      </c>
      <c r="H19" s="3">
        <v>0</v>
      </c>
      <c r="I19" s="2">
        <f>IFERROR(_xlfn.XLOOKUP(Table22[[#This Row],[DESIGNATION]],Table3[Trade],Table3[Weekday]),0)</f>
        <v>6500</v>
      </c>
      <c r="J19" s="2">
        <f>IFERROR(_xlfn.XLOOKUP(Table22[[#This Row],[DESIGNATION]],Table3[Trade],Table3[Weekend/PH]),0)</f>
        <v>7000</v>
      </c>
      <c r="K19" s="2">
        <f>IFERROR(_xlfn.XLOOKUP(Table22[[#This Row],[DESIGNATION]],Table3[Trade],Table3[OVT]),0)</f>
        <v>900</v>
      </c>
      <c r="L19" s="2">
        <v>0</v>
      </c>
      <c r="M19" s="2">
        <f t="shared" si="0"/>
        <v>136500</v>
      </c>
      <c r="N19" s="2">
        <f t="shared" si="0"/>
        <v>0</v>
      </c>
      <c r="O19" s="2">
        <f t="shared" si="1"/>
        <v>0</v>
      </c>
      <c r="P19" s="2"/>
      <c r="Q19" s="2"/>
      <c r="R19" s="2">
        <v>0</v>
      </c>
      <c r="S19" s="2">
        <f>SUM(Table22[[#This Row],[OT SAT]:[WEEKLY TRANSPORT]])</f>
        <v>136500</v>
      </c>
    </row>
    <row r="20" spans="3:19" x14ac:dyDescent="0.3">
      <c r="C20" t="s">
        <v>56</v>
      </c>
      <c r="D20" t="s">
        <v>100</v>
      </c>
      <c r="E20" s="29" t="s">
        <v>19</v>
      </c>
      <c r="F20" s="3">
        <v>21</v>
      </c>
      <c r="G20" s="3">
        <v>0</v>
      </c>
      <c r="H20" s="3">
        <v>0</v>
      </c>
      <c r="I20" s="2">
        <f>IFERROR(_xlfn.XLOOKUP(Table22[[#This Row],[DESIGNATION]],Table3[Trade],Table3[Weekday]),0)</f>
        <v>6500</v>
      </c>
      <c r="J20" s="2">
        <f>IFERROR(_xlfn.XLOOKUP(Table22[[#This Row],[DESIGNATION]],Table3[Trade],Table3[Weekend/PH]),0)</f>
        <v>7000</v>
      </c>
      <c r="K20" s="2">
        <f>IFERROR(_xlfn.XLOOKUP(Table22[[#This Row],[DESIGNATION]],Table3[Trade],Table3[OVT]),0)</f>
        <v>900</v>
      </c>
      <c r="L20" s="2">
        <v>0</v>
      </c>
      <c r="M20" s="2">
        <f t="shared" si="0"/>
        <v>136500</v>
      </c>
      <c r="N20" s="2">
        <f t="shared" si="0"/>
        <v>0</v>
      </c>
      <c r="O20" s="2">
        <f t="shared" si="1"/>
        <v>0</v>
      </c>
      <c r="P20" s="2"/>
      <c r="Q20" s="2"/>
      <c r="R20" s="2">
        <v>0</v>
      </c>
      <c r="S20" s="2">
        <f>SUM(Table22[[#This Row],[OT SAT]:[WEEKLY TRANSPORT]])</f>
        <v>136500</v>
      </c>
    </row>
    <row r="21" spans="3:19" x14ac:dyDescent="0.3">
      <c r="C21" t="s">
        <v>57</v>
      </c>
      <c r="D21" t="s">
        <v>101</v>
      </c>
      <c r="E21" s="29" t="s">
        <v>21</v>
      </c>
      <c r="F21" s="3">
        <v>20</v>
      </c>
      <c r="G21" s="3">
        <v>0</v>
      </c>
      <c r="H21" s="3">
        <v>0</v>
      </c>
      <c r="I21" s="2">
        <f>IFERROR(_xlfn.XLOOKUP(Table22[[#This Row],[DESIGNATION]],Table3[Trade],Table3[Weekday]),0)</f>
        <v>6500</v>
      </c>
      <c r="J21" s="2">
        <f>IFERROR(_xlfn.XLOOKUP(Table22[[#This Row],[DESIGNATION]],Table3[Trade],Table3[Weekend/PH]),0)</f>
        <v>7000</v>
      </c>
      <c r="K21" s="2">
        <f>IFERROR(_xlfn.XLOOKUP(Table22[[#This Row],[DESIGNATION]],Table3[Trade],Table3[OVT]),0)</f>
        <v>900</v>
      </c>
      <c r="L21" s="2">
        <v>0</v>
      </c>
      <c r="M21" s="2">
        <f t="shared" si="0"/>
        <v>130000</v>
      </c>
      <c r="N21" s="2">
        <f t="shared" si="0"/>
        <v>0</v>
      </c>
      <c r="O21" s="2">
        <f t="shared" si="1"/>
        <v>0</v>
      </c>
      <c r="P21" s="2"/>
      <c r="Q21" s="2"/>
      <c r="R21" s="2">
        <v>0</v>
      </c>
      <c r="S21" s="2">
        <f>SUM(Table22[[#This Row],[OT SAT]:[WEEKLY TRANSPORT]])</f>
        <v>130000</v>
      </c>
    </row>
    <row r="22" spans="3:19" x14ac:dyDescent="0.3">
      <c r="C22" t="s">
        <v>58</v>
      </c>
      <c r="D22" t="s">
        <v>102</v>
      </c>
      <c r="E22" s="29" t="s">
        <v>18</v>
      </c>
      <c r="F22" s="3">
        <v>20</v>
      </c>
      <c r="G22" s="3">
        <v>0</v>
      </c>
      <c r="H22" s="3">
        <v>0</v>
      </c>
      <c r="I22" s="2">
        <f>IFERROR(_xlfn.XLOOKUP(Table22[[#This Row],[DESIGNATION]],Table3[Trade],Table3[Weekday]),0)</f>
        <v>5500</v>
      </c>
      <c r="J22" s="2">
        <f>IFERROR(_xlfn.XLOOKUP(Table22[[#This Row],[DESIGNATION]],Table3[Trade],Table3[Weekend/PH]),0)</f>
        <v>6000</v>
      </c>
      <c r="K22" s="2">
        <f>IFERROR(_xlfn.XLOOKUP(Table22[[#This Row],[DESIGNATION]],Table3[Trade],Table3[OVT]),0)</f>
        <v>750</v>
      </c>
      <c r="L22" s="2">
        <v>0</v>
      </c>
      <c r="M22" s="2">
        <f t="shared" si="0"/>
        <v>110000</v>
      </c>
      <c r="N22" s="2">
        <f t="shared" si="0"/>
        <v>0</v>
      </c>
      <c r="O22" s="2">
        <f t="shared" si="1"/>
        <v>0</v>
      </c>
      <c r="P22" s="2"/>
      <c r="Q22" s="2"/>
      <c r="R22" s="2">
        <v>0</v>
      </c>
      <c r="S22" s="2">
        <f>SUM(Table22[[#This Row],[OT SAT]:[WEEKLY TRANSPORT]])</f>
        <v>110000</v>
      </c>
    </row>
    <row r="23" spans="3:19" x14ac:dyDescent="0.3">
      <c r="C23" t="s">
        <v>123</v>
      </c>
      <c r="D23" s="29" t="s">
        <v>125</v>
      </c>
      <c r="E23" s="29" t="s">
        <v>18</v>
      </c>
      <c r="F23" s="3">
        <v>21</v>
      </c>
      <c r="G23" s="3">
        <v>0</v>
      </c>
      <c r="H23" s="3">
        <v>0</v>
      </c>
      <c r="I23" s="2">
        <f>IFERROR(_xlfn.XLOOKUP(Table22[[#This Row],[DESIGNATION]],Table3[Trade],Table3[Weekday]),0)</f>
        <v>5500</v>
      </c>
      <c r="J23" s="2">
        <f>IFERROR(_xlfn.XLOOKUP(Table22[[#This Row],[DESIGNATION]],Table3[Trade],Table3[Weekend/PH]),0)</f>
        <v>6000</v>
      </c>
      <c r="K23" s="2">
        <f>IFERROR(_xlfn.XLOOKUP(Table22[[#This Row],[DESIGNATION]],Table3[Trade],Table3[OVT]),0)</f>
        <v>750</v>
      </c>
      <c r="L23" s="2"/>
      <c r="M23" s="2">
        <f t="shared" si="0"/>
        <v>115500</v>
      </c>
      <c r="N23" s="2">
        <f t="shared" si="0"/>
        <v>0</v>
      </c>
      <c r="O23" s="2">
        <f t="shared" si="1"/>
        <v>0</v>
      </c>
      <c r="P23" s="2"/>
      <c r="Q23" s="2"/>
      <c r="R23" s="2">
        <v>0</v>
      </c>
      <c r="S23" s="2">
        <f>SUM(Table22[[#This Row],[OT SAT]:[WEEKLY TRANSPORT]])</f>
        <v>115500</v>
      </c>
    </row>
    <row r="24" spans="3:19" x14ac:dyDescent="0.3">
      <c r="C24" t="s">
        <v>59</v>
      </c>
      <c r="D24" t="s">
        <v>103</v>
      </c>
      <c r="E24" s="29" t="s">
        <v>18</v>
      </c>
      <c r="F24" s="3">
        <v>21</v>
      </c>
      <c r="G24" s="3">
        <v>0</v>
      </c>
      <c r="H24" s="3">
        <v>0</v>
      </c>
      <c r="I24" s="2">
        <f>IFERROR(_xlfn.XLOOKUP(Table22[[#This Row],[DESIGNATION]],Table3[Trade],Table3[Weekday]),0)</f>
        <v>5500</v>
      </c>
      <c r="J24" s="2">
        <f>IFERROR(_xlfn.XLOOKUP(Table22[[#This Row],[DESIGNATION]],Table3[Trade],Table3[Weekend/PH]),0)</f>
        <v>6000</v>
      </c>
      <c r="K24" s="2">
        <f>IFERROR(_xlfn.XLOOKUP(Table22[[#This Row],[DESIGNATION]],Table3[Trade],Table3[OVT]),0)</f>
        <v>750</v>
      </c>
      <c r="L24" s="2">
        <v>0</v>
      </c>
      <c r="M24" s="2">
        <f t="shared" si="0"/>
        <v>115500</v>
      </c>
      <c r="N24" s="2">
        <f t="shared" si="0"/>
        <v>0</v>
      </c>
      <c r="O24" s="2">
        <f t="shared" si="1"/>
        <v>0</v>
      </c>
      <c r="P24" s="2"/>
      <c r="Q24" s="2"/>
      <c r="R24" s="2">
        <v>0</v>
      </c>
      <c r="S24" s="2">
        <f>SUM(Table22[[#This Row],[OT SAT]:[WEEKLY TRANSPORT]])</f>
        <v>115500</v>
      </c>
    </row>
    <row r="25" spans="3:19" x14ac:dyDescent="0.3">
      <c r="C25" t="s">
        <v>124</v>
      </c>
      <c r="D25" t="s">
        <v>126</v>
      </c>
      <c r="E25" s="29" t="s">
        <v>20</v>
      </c>
      <c r="F25" s="3">
        <v>20</v>
      </c>
      <c r="G25" s="3">
        <v>0</v>
      </c>
      <c r="H25" s="3">
        <v>0</v>
      </c>
      <c r="I25" s="2">
        <f>IFERROR(_xlfn.XLOOKUP(Table22[[#This Row],[DESIGNATION]],Table3[Trade],Table3[Weekday]),0)</f>
        <v>5500</v>
      </c>
      <c r="J25" s="2">
        <f>IFERROR(_xlfn.XLOOKUP(Table22[[#This Row],[DESIGNATION]],Table3[Trade],Table3[Weekend/PH]),0)</f>
        <v>6000</v>
      </c>
      <c r="K25" s="2">
        <f>IFERROR(_xlfn.XLOOKUP(Table22[[#This Row],[DESIGNATION]],Table3[Trade],Table3[OVT]),0)</f>
        <v>750</v>
      </c>
      <c r="L25" s="2">
        <v>0</v>
      </c>
      <c r="M25" s="2">
        <f t="shared" si="0"/>
        <v>110000</v>
      </c>
      <c r="N25" s="2"/>
      <c r="O25" s="2"/>
      <c r="P25" s="2"/>
      <c r="Q25" s="2"/>
      <c r="R25" s="2"/>
      <c r="S25" s="2">
        <f>SUM(Table22[[#This Row],[OT SAT]:[WEEKLY TRANSPORT]])</f>
        <v>110000</v>
      </c>
    </row>
    <row r="26" spans="3:19" x14ac:dyDescent="0.3">
      <c r="C26" t="s">
        <v>60</v>
      </c>
      <c r="D26" t="s">
        <v>104</v>
      </c>
      <c r="E26" s="29" t="s">
        <v>20</v>
      </c>
      <c r="F26" s="3">
        <v>20</v>
      </c>
      <c r="G26" s="3">
        <v>0</v>
      </c>
      <c r="H26" s="3">
        <v>0</v>
      </c>
      <c r="I26" s="2">
        <f>IFERROR(_xlfn.XLOOKUP(Table22[[#This Row],[DESIGNATION]],Table3[Trade],Table3[Weekday]),0)</f>
        <v>5500</v>
      </c>
      <c r="J26" s="2">
        <f>IFERROR(_xlfn.XLOOKUP(Table22[[#This Row],[DESIGNATION]],Table3[Trade],Table3[Weekend/PH]),0)</f>
        <v>6000</v>
      </c>
      <c r="K26" s="2">
        <f>IFERROR(_xlfn.XLOOKUP(Table22[[#This Row],[DESIGNATION]],Table3[Trade],Table3[OVT]),0)</f>
        <v>750</v>
      </c>
      <c r="L26" s="2">
        <v>0</v>
      </c>
      <c r="M26" s="2">
        <f t="shared" si="0"/>
        <v>110000</v>
      </c>
      <c r="N26" s="2">
        <f t="shared" si="0"/>
        <v>0</v>
      </c>
      <c r="O26" s="2">
        <f t="shared" si="1"/>
        <v>0</v>
      </c>
      <c r="P26" s="2"/>
      <c r="Q26" s="2"/>
      <c r="R26" s="2">
        <v>0</v>
      </c>
      <c r="S26" s="2">
        <f>SUM(Table22[[#This Row],[OT SAT]:[WEEKLY TRANSPORT]])</f>
        <v>110000</v>
      </c>
    </row>
    <row r="27" spans="3:19" x14ac:dyDescent="0.3">
      <c r="C27" t="s">
        <v>61</v>
      </c>
      <c r="D27" t="s">
        <v>105</v>
      </c>
      <c r="E27" s="29" t="s">
        <v>26</v>
      </c>
      <c r="F27" s="3">
        <v>21</v>
      </c>
      <c r="G27" s="3">
        <v>1</v>
      </c>
      <c r="H27" s="3">
        <v>0</v>
      </c>
      <c r="I27" s="2">
        <f>IFERROR(_xlfn.XLOOKUP(Table22[[#This Row],[DESIGNATION]],Table3[Trade],Table3[Weekday]),0)</f>
        <v>6500</v>
      </c>
      <c r="J27" s="2">
        <f>IFERROR(_xlfn.XLOOKUP(Table22[[#This Row],[DESIGNATION]],Table3[Trade],Table3[Weekend/PH]),0)</f>
        <v>7000</v>
      </c>
      <c r="K27" s="2">
        <f>IFERROR(_xlfn.XLOOKUP(Table22[[#This Row],[DESIGNATION]],Table3[Trade],Table3[OVT]),0)</f>
        <v>900</v>
      </c>
      <c r="L27" s="2">
        <v>0</v>
      </c>
      <c r="M27" s="2">
        <f t="shared" si="0"/>
        <v>136500</v>
      </c>
      <c r="N27" s="2">
        <f t="shared" si="0"/>
        <v>7000</v>
      </c>
      <c r="O27" s="2">
        <f t="shared" si="1"/>
        <v>0</v>
      </c>
      <c r="P27" s="2"/>
      <c r="Q27" s="2"/>
      <c r="R27" s="2">
        <v>0</v>
      </c>
      <c r="S27" s="2">
        <f>SUM(Table22[[#This Row],[OT SAT]:[WEEKLY TRANSPORT]])</f>
        <v>143500</v>
      </c>
    </row>
    <row r="28" spans="3:19" x14ac:dyDescent="0.3">
      <c r="C28" t="s">
        <v>62</v>
      </c>
      <c r="D28" t="s">
        <v>106</v>
      </c>
      <c r="E28" s="29" t="s">
        <v>24</v>
      </c>
      <c r="F28" s="3">
        <v>21</v>
      </c>
      <c r="G28" s="3">
        <v>4</v>
      </c>
      <c r="H28" s="3">
        <v>2</v>
      </c>
      <c r="I28" s="2">
        <f>IFERROR(_xlfn.XLOOKUP(Table22[[#This Row],[DESIGNATION]],Table3[Trade],Table3[Weekday]),0)</f>
        <v>5500</v>
      </c>
      <c r="J28" s="2">
        <f>IFERROR(_xlfn.XLOOKUP(Table22[[#This Row],[DESIGNATION]],Table3[Trade],Table3[Weekend/PH]),0)</f>
        <v>6000</v>
      </c>
      <c r="K28" s="2">
        <f>IFERROR(_xlfn.XLOOKUP(Table22[[#This Row],[DESIGNATION]],Table3[Trade],Table3[OVT]),0)</f>
        <v>750</v>
      </c>
      <c r="L28" s="2">
        <v>0</v>
      </c>
      <c r="M28" s="2">
        <f t="shared" si="0"/>
        <v>115500</v>
      </c>
      <c r="N28" s="2">
        <f t="shared" si="0"/>
        <v>24000</v>
      </c>
      <c r="O28" s="2">
        <f t="shared" si="1"/>
        <v>1500</v>
      </c>
      <c r="P28" s="2"/>
      <c r="Q28" s="2"/>
      <c r="R28" s="2">
        <v>0</v>
      </c>
      <c r="S28" s="2">
        <f>SUM(Table22[[#This Row],[OT SAT]:[WEEKLY TRANSPORT]])</f>
        <v>141000</v>
      </c>
    </row>
    <row r="29" spans="3:19" x14ac:dyDescent="0.3">
      <c r="C29" t="s">
        <v>65</v>
      </c>
      <c r="D29" t="s">
        <v>107</v>
      </c>
      <c r="E29" s="29" t="s">
        <v>20</v>
      </c>
      <c r="F29" s="3">
        <v>21</v>
      </c>
      <c r="G29" s="3">
        <v>0</v>
      </c>
      <c r="H29" s="3">
        <v>0</v>
      </c>
      <c r="I29" s="2">
        <f>IFERROR(_xlfn.XLOOKUP(Table22[[#This Row],[DESIGNATION]],Table3[Trade],Table3[Weekday]),0)</f>
        <v>5500</v>
      </c>
      <c r="J29" s="2">
        <f>IFERROR(_xlfn.XLOOKUP(Table22[[#This Row],[DESIGNATION]],Table3[Trade],Table3[Weekend/PH]),0)</f>
        <v>6000</v>
      </c>
      <c r="K29" s="2">
        <f>IFERROR(_xlfn.XLOOKUP(Table22[[#This Row],[DESIGNATION]],Table3[Trade],Table3[OVT]),0)</f>
        <v>750</v>
      </c>
      <c r="L29" s="2">
        <v>0</v>
      </c>
      <c r="M29" s="2">
        <f t="shared" si="0"/>
        <v>115500</v>
      </c>
      <c r="N29" s="2">
        <f t="shared" si="0"/>
        <v>0</v>
      </c>
      <c r="O29" s="2">
        <f t="shared" si="1"/>
        <v>0</v>
      </c>
      <c r="P29" s="2"/>
      <c r="Q29" s="2"/>
      <c r="R29" s="2">
        <v>0</v>
      </c>
      <c r="S29" s="2">
        <f>SUM(Table22[[#This Row],[OT SAT]:[WEEKLY TRANSPORT]])</f>
        <v>115500</v>
      </c>
    </row>
    <row r="30" spans="3:19" x14ac:dyDescent="0.3">
      <c r="C30" t="s">
        <v>66</v>
      </c>
      <c r="D30" t="s">
        <v>108</v>
      </c>
      <c r="E30" s="29" t="s">
        <v>18</v>
      </c>
      <c r="F30" s="3">
        <v>21</v>
      </c>
      <c r="G30" s="3">
        <v>0</v>
      </c>
      <c r="H30" s="3">
        <v>0</v>
      </c>
      <c r="I30" s="2">
        <f>IFERROR(_xlfn.XLOOKUP(Table22[[#This Row],[DESIGNATION]],Table3[Trade],Table3[Weekday]),0)</f>
        <v>5500</v>
      </c>
      <c r="J30" s="2">
        <f>IFERROR(_xlfn.XLOOKUP(Table22[[#This Row],[DESIGNATION]],Table3[Trade],Table3[Weekend/PH]),0)</f>
        <v>6000</v>
      </c>
      <c r="K30" s="2">
        <f>IFERROR(_xlfn.XLOOKUP(Table22[[#This Row],[DESIGNATION]],Table3[Trade],Table3[OVT]),0)</f>
        <v>750</v>
      </c>
      <c r="L30" s="2">
        <v>0</v>
      </c>
      <c r="M30" s="2">
        <f t="shared" si="0"/>
        <v>115500</v>
      </c>
      <c r="N30" s="2">
        <f t="shared" si="0"/>
        <v>0</v>
      </c>
      <c r="O30" s="2">
        <f t="shared" si="1"/>
        <v>0</v>
      </c>
      <c r="P30" s="2"/>
      <c r="Q30" s="2"/>
      <c r="R30" s="2">
        <v>0</v>
      </c>
      <c r="S30" s="2">
        <f>SUM(Table22[[#This Row],[OT SAT]:[WEEKLY TRANSPORT]])</f>
        <v>115500</v>
      </c>
    </row>
    <row r="31" spans="3:19" x14ac:dyDescent="0.3">
      <c r="C31" t="s">
        <v>67</v>
      </c>
      <c r="D31" t="s">
        <v>109</v>
      </c>
      <c r="E31" s="29" t="s">
        <v>18</v>
      </c>
      <c r="F31" s="3">
        <v>18</v>
      </c>
      <c r="G31" s="3">
        <v>0</v>
      </c>
      <c r="H31" s="3">
        <v>0</v>
      </c>
      <c r="I31" s="2">
        <f>IFERROR(_xlfn.XLOOKUP(Table22[[#This Row],[DESIGNATION]],Table3[Trade],Table3[Weekday]),0)</f>
        <v>5500</v>
      </c>
      <c r="J31" s="2">
        <f>IFERROR(_xlfn.XLOOKUP(Table22[[#This Row],[DESIGNATION]],Table3[Trade],Table3[Weekend/PH]),0)</f>
        <v>6000</v>
      </c>
      <c r="K31" s="2">
        <f>IFERROR(_xlfn.XLOOKUP(Table22[[#This Row],[DESIGNATION]],Table3[Trade],Table3[OVT]),0)</f>
        <v>750</v>
      </c>
      <c r="L31" s="2">
        <v>0</v>
      </c>
      <c r="M31" s="2">
        <f t="shared" si="0"/>
        <v>99000</v>
      </c>
      <c r="N31" s="2">
        <f t="shared" si="0"/>
        <v>0</v>
      </c>
      <c r="O31" s="2">
        <f t="shared" si="1"/>
        <v>0</v>
      </c>
      <c r="P31" s="2"/>
      <c r="Q31" s="2"/>
      <c r="R31" s="2">
        <v>0</v>
      </c>
      <c r="S31" s="2">
        <f>SUM(Table22[[#This Row],[OT SAT]:[WEEKLY TRANSPORT]])</f>
        <v>99000</v>
      </c>
    </row>
    <row r="32" spans="3:19" x14ac:dyDescent="0.3">
      <c r="C32" t="s">
        <v>68</v>
      </c>
      <c r="D32" t="s">
        <v>110</v>
      </c>
      <c r="E32" s="29" t="s">
        <v>17</v>
      </c>
      <c r="F32" s="3">
        <v>21</v>
      </c>
      <c r="G32" s="3">
        <v>0</v>
      </c>
      <c r="H32" s="3">
        <v>2</v>
      </c>
      <c r="I32" s="2">
        <f>IFERROR(_xlfn.XLOOKUP(Table22[[#This Row],[DESIGNATION]],Table3[Trade],Table3[Weekday]),0)</f>
        <v>5500</v>
      </c>
      <c r="J32" s="2">
        <f>IFERROR(_xlfn.XLOOKUP(Table22[[#This Row],[DESIGNATION]],Table3[Trade],Table3[Weekend/PH]),0)</f>
        <v>6000</v>
      </c>
      <c r="K32" s="2">
        <f>IFERROR(_xlfn.XLOOKUP(Table22[[#This Row],[DESIGNATION]],Table3[Trade],Table3[OVT]),0)</f>
        <v>750</v>
      </c>
      <c r="L32" s="2">
        <v>0</v>
      </c>
      <c r="M32" s="2">
        <f t="shared" si="0"/>
        <v>115500</v>
      </c>
      <c r="N32" s="2">
        <f t="shared" si="0"/>
        <v>0</v>
      </c>
      <c r="O32" s="2">
        <f t="shared" si="1"/>
        <v>1500</v>
      </c>
      <c r="P32" s="2"/>
      <c r="Q32" s="2"/>
      <c r="R32" s="2">
        <v>0</v>
      </c>
      <c r="S32" s="2">
        <f>SUM(Table22[[#This Row],[OT SAT]:[WEEKLY TRANSPORT]])</f>
        <v>117000</v>
      </c>
    </row>
    <row r="33" spans="3:19" x14ac:dyDescent="0.3">
      <c r="C33" t="s">
        <v>74</v>
      </c>
      <c r="D33" t="s">
        <v>111</v>
      </c>
      <c r="E33" s="29" t="s">
        <v>17</v>
      </c>
      <c r="F33" s="3">
        <v>21</v>
      </c>
      <c r="G33" s="3">
        <v>0</v>
      </c>
      <c r="H33" s="3">
        <v>0</v>
      </c>
      <c r="I33" s="2">
        <f>IFERROR(_xlfn.XLOOKUP(Table22[[#This Row],[DESIGNATION]],Table3[Trade],Table3[Weekday]),0)</f>
        <v>5500</v>
      </c>
      <c r="J33" s="2">
        <f>IFERROR(_xlfn.XLOOKUP(Table22[[#This Row],[DESIGNATION]],Table3[Trade],Table3[Weekend/PH]),0)</f>
        <v>6000</v>
      </c>
      <c r="K33" s="2">
        <f>IFERROR(_xlfn.XLOOKUP(Table22[[#This Row],[DESIGNATION]],Table3[Trade],Table3[OVT]),0)</f>
        <v>750</v>
      </c>
      <c r="L33" s="2">
        <v>0</v>
      </c>
      <c r="M33" s="2">
        <f t="shared" si="0"/>
        <v>115500</v>
      </c>
      <c r="N33" s="2">
        <f t="shared" si="0"/>
        <v>0</v>
      </c>
      <c r="O33" s="2">
        <f t="shared" si="1"/>
        <v>0</v>
      </c>
      <c r="P33" s="2"/>
      <c r="Q33" s="2"/>
      <c r="R33" s="2">
        <v>0</v>
      </c>
      <c r="S33" s="2">
        <f>SUM(Table22[[#This Row],[OT SAT]:[WEEKLY TRANSPORT]])</f>
        <v>115500</v>
      </c>
    </row>
    <row r="34" spans="3:19" x14ac:dyDescent="0.3">
      <c r="C34" t="s">
        <v>75</v>
      </c>
      <c r="D34" t="s">
        <v>112</v>
      </c>
      <c r="E34" s="29" t="s">
        <v>17</v>
      </c>
      <c r="F34" s="3">
        <v>21</v>
      </c>
      <c r="G34" s="3">
        <v>0</v>
      </c>
      <c r="H34" s="3">
        <v>0</v>
      </c>
      <c r="I34" s="2">
        <f>IFERROR(_xlfn.XLOOKUP(Table22[[#This Row],[DESIGNATION]],Table3[Trade],Table3[Weekday]),0)</f>
        <v>5500</v>
      </c>
      <c r="J34" s="2">
        <f>IFERROR(_xlfn.XLOOKUP(Table22[[#This Row],[DESIGNATION]],Table3[Trade],Table3[Weekend/PH]),0)</f>
        <v>6000</v>
      </c>
      <c r="K34" s="2">
        <f>IFERROR(_xlfn.XLOOKUP(Table22[[#This Row],[DESIGNATION]],Table3[Trade],Table3[OVT]),0)</f>
        <v>750</v>
      </c>
      <c r="L34" s="2">
        <v>0</v>
      </c>
      <c r="M34" s="2">
        <f t="shared" si="0"/>
        <v>115500</v>
      </c>
      <c r="N34" s="2">
        <f t="shared" si="0"/>
        <v>0</v>
      </c>
      <c r="O34" s="2">
        <f t="shared" si="1"/>
        <v>0</v>
      </c>
      <c r="P34" s="2"/>
      <c r="Q34" s="2"/>
      <c r="R34" s="2">
        <v>0</v>
      </c>
      <c r="S34" s="2">
        <f>SUM(Table22[[#This Row],[OT SAT]:[WEEKLY TRANSPORT]])</f>
        <v>115500</v>
      </c>
    </row>
    <row r="35" spans="3:19" x14ac:dyDescent="0.3">
      <c r="C35" t="s">
        <v>76</v>
      </c>
      <c r="D35" t="s">
        <v>113</v>
      </c>
      <c r="E35" s="29" t="s">
        <v>17</v>
      </c>
      <c r="F35" s="3">
        <v>20</v>
      </c>
      <c r="G35" s="3">
        <v>0</v>
      </c>
      <c r="H35" s="3">
        <v>0</v>
      </c>
      <c r="I35" s="2">
        <f>IFERROR(_xlfn.XLOOKUP(Table22[[#This Row],[DESIGNATION]],Table3[Trade],Table3[Weekday]),0)</f>
        <v>5500</v>
      </c>
      <c r="J35" s="2">
        <f>IFERROR(_xlfn.XLOOKUP(Table22[[#This Row],[DESIGNATION]],Table3[Trade],Table3[Weekend/PH]),0)</f>
        <v>6000</v>
      </c>
      <c r="K35" s="2">
        <f>IFERROR(_xlfn.XLOOKUP(Table22[[#This Row],[DESIGNATION]],Table3[Trade],Table3[OVT]),0)</f>
        <v>750</v>
      </c>
      <c r="L35" s="2">
        <v>0</v>
      </c>
      <c r="M35" s="2">
        <f t="shared" si="0"/>
        <v>110000</v>
      </c>
      <c r="N35" s="2">
        <f t="shared" si="0"/>
        <v>0</v>
      </c>
      <c r="O35" s="2">
        <f t="shared" si="1"/>
        <v>0</v>
      </c>
      <c r="P35" s="2"/>
      <c r="Q35" s="2"/>
      <c r="R35" s="2">
        <v>0</v>
      </c>
      <c r="S35" s="2">
        <f>SUM(Table22[[#This Row],[OT SAT]:[WEEKLY TRANSPORT]])</f>
        <v>110000</v>
      </c>
    </row>
    <row r="36" spans="3:19" x14ac:dyDescent="0.3">
      <c r="C36" t="s">
        <v>77</v>
      </c>
      <c r="D36" t="s">
        <v>114</v>
      </c>
      <c r="E36" s="29" t="s">
        <v>18</v>
      </c>
      <c r="F36" s="3">
        <v>21</v>
      </c>
      <c r="G36" s="3">
        <v>0</v>
      </c>
      <c r="H36" s="3">
        <v>0</v>
      </c>
      <c r="I36" s="2">
        <f>IFERROR(_xlfn.XLOOKUP(Table22[[#This Row],[DESIGNATION]],Table3[Trade],Table3[Weekday]),0)</f>
        <v>5500</v>
      </c>
      <c r="J36" s="2">
        <f>IFERROR(_xlfn.XLOOKUP(Table22[[#This Row],[DESIGNATION]],Table3[Trade],Table3[Weekend/PH]),0)</f>
        <v>6000</v>
      </c>
      <c r="K36" s="2">
        <f>IFERROR(_xlfn.XLOOKUP(Table22[[#This Row],[DESIGNATION]],Table3[Trade],Table3[OVT]),0)</f>
        <v>750</v>
      </c>
      <c r="L36" s="2">
        <v>0</v>
      </c>
      <c r="M36" s="2">
        <f t="shared" si="0"/>
        <v>115500</v>
      </c>
      <c r="N36" s="2">
        <f t="shared" si="0"/>
        <v>0</v>
      </c>
      <c r="O36" s="2">
        <f t="shared" si="1"/>
        <v>0</v>
      </c>
      <c r="P36" s="2"/>
      <c r="Q36" s="2"/>
      <c r="R36" s="2">
        <v>0</v>
      </c>
      <c r="S36" s="2">
        <f>SUM(Table22[[#This Row],[OT SAT]:[WEEKLY TRANSPORT]])</f>
        <v>115500</v>
      </c>
    </row>
    <row r="37" spans="3:19" x14ac:dyDescent="0.3">
      <c r="C37" t="s">
        <v>78</v>
      </c>
      <c r="D37" t="s">
        <v>115</v>
      </c>
      <c r="E37" s="29" t="s">
        <v>18</v>
      </c>
      <c r="F37" s="3">
        <v>21</v>
      </c>
      <c r="G37" s="3">
        <v>0</v>
      </c>
      <c r="H37" s="3">
        <v>0</v>
      </c>
      <c r="I37" s="2">
        <f>IFERROR(_xlfn.XLOOKUP(Table22[[#This Row],[DESIGNATION]],Table3[Trade],Table3[Weekday]),0)</f>
        <v>5500</v>
      </c>
      <c r="J37" s="2">
        <f>IFERROR(_xlfn.XLOOKUP(Table22[[#This Row],[DESIGNATION]],Table3[Trade],Table3[Weekend/PH]),0)</f>
        <v>6000</v>
      </c>
      <c r="K37" s="2">
        <f>IFERROR(_xlfn.XLOOKUP(Table22[[#This Row],[DESIGNATION]],Table3[Trade],Table3[OVT]),0)</f>
        <v>750</v>
      </c>
      <c r="L37" s="2">
        <v>0</v>
      </c>
      <c r="M37" s="2">
        <f t="shared" si="0"/>
        <v>115500</v>
      </c>
      <c r="N37" s="2">
        <f t="shared" si="0"/>
        <v>0</v>
      </c>
      <c r="O37" s="2">
        <f t="shared" si="1"/>
        <v>0</v>
      </c>
      <c r="P37" s="2"/>
      <c r="Q37" s="2"/>
      <c r="R37" s="2">
        <v>0</v>
      </c>
      <c r="S37" s="2">
        <f>SUM(Table22[[#This Row],[OT SAT]:[WEEKLY TRANSPORT]])</f>
        <v>115500</v>
      </c>
    </row>
    <row r="38" spans="3:19" x14ac:dyDescent="0.3">
      <c r="C38" t="s">
        <v>80</v>
      </c>
      <c r="D38" t="s">
        <v>116</v>
      </c>
      <c r="E38" s="29" t="s">
        <v>17</v>
      </c>
      <c r="F38" s="3">
        <v>21</v>
      </c>
      <c r="G38" s="3">
        <v>0</v>
      </c>
      <c r="H38" s="3">
        <v>0</v>
      </c>
      <c r="I38" s="2">
        <f>IFERROR(_xlfn.XLOOKUP(Table22[[#This Row],[DESIGNATION]],Table3[Trade],Table3[Weekday]),0)</f>
        <v>5500</v>
      </c>
      <c r="J38" s="2">
        <f>IFERROR(_xlfn.XLOOKUP(Table22[[#This Row],[DESIGNATION]],Table3[Trade],Table3[Weekend/PH]),0)</f>
        <v>6000</v>
      </c>
      <c r="K38" s="2">
        <f>IFERROR(_xlfn.XLOOKUP(Table22[[#This Row],[DESIGNATION]],Table3[Trade],Table3[OVT]),0)</f>
        <v>750</v>
      </c>
      <c r="L38" s="2">
        <v>0</v>
      </c>
      <c r="M38" s="2">
        <f t="shared" si="0"/>
        <v>115500</v>
      </c>
      <c r="N38" s="2">
        <f t="shared" si="0"/>
        <v>0</v>
      </c>
      <c r="O38" s="2">
        <f t="shared" si="1"/>
        <v>0</v>
      </c>
      <c r="P38" s="2"/>
      <c r="Q38" s="2"/>
      <c r="R38" s="2">
        <v>0</v>
      </c>
      <c r="S38" s="2">
        <f>SUM(Table22[[#This Row],[OT SAT]:[WEEKLY TRANSPORT]])</f>
        <v>115500</v>
      </c>
    </row>
    <row r="39" spans="3:19" x14ac:dyDescent="0.3">
      <c r="C39" t="s">
        <v>81</v>
      </c>
      <c r="D39" t="s">
        <v>117</v>
      </c>
      <c r="E39" s="29" t="s">
        <v>18</v>
      </c>
      <c r="F39" s="3">
        <v>21</v>
      </c>
      <c r="G39" s="3">
        <v>0</v>
      </c>
      <c r="H39" s="3">
        <v>0</v>
      </c>
      <c r="I39" s="2">
        <f>IFERROR(_xlfn.XLOOKUP(Table22[[#This Row],[DESIGNATION]],Table3[Trade],Table3[Weekday]),0)</f>
        <v>5500</v>
      </c>
      <c r="J39" s="2">
        <f>IFERROR(_xlfn.XLOOKUP(Table22[[#This Row],[DESIGNATION]],Table3[Trade],Table3[Weekend/PH]),0)</f>
        <v>6000</v>
      </c>
      <c r="K39" s="2">
        <f>IFERROR(_xlfn.XLOOKUP(Table22[[#This Row],[DESIGNATION]],Table3[Trade],Table3[OVT]),0)</f>
        <v>750</v>
      </c>
      <c r="L39" s="2">
        <v>0</v>
      </c>
      <c r="M39" s="2">
        <f t="shared" si="0"/>
        <v>115500</v>
      </c>
      <c r="N39" s="2">
        <f t="shared" si="0"/>
        <v>0</v>
      </c>
      <c r="O39" s="2">
        <f t="shared" si="1"/>
        <v>0</v>
      </c>
      <c r="P39" s="2"/>
      <c r="Q39" s="2"/>
      <c r="R39" s="2">
        <v>0</v>
      </c>
      <c r="S39" s="2">
        <f>SUM(Table22[[#This Row],[OT SAT]:[WEEKLY TRANSPORT]])</f>
        <v>115500</v>
      </c>
    </row>
    <row r="40" spans="3:19" x14ac:dyDescent="0.3">
      <c r="C40" t="s">
        <v>83</v>
      </c>
      <c r="D40" t="s">
        <v>118</v>
      </c>
      <c r="E40" s="29" t="s">
        <v>18</v>
      </c>
      <c r="F40" s="3">
        <v>21</v>
      </c>
      <c r="G40" s="3">
        <v>0</v>
      </c>
      <c r="H40" s="3">
        <v>0</v>
      </c>
      <c r="I40" s="2">
        <f>IFERROR(_xlfn.XLOOKUP(Table22[[#This Row],[DESIGNATION]],Table3[Trade],Table3[Weekday]),0)</f>
        <v>5500</v>
      </c>
      <c r="J40" s="2">
        <f>IFERROR(_xlfn.XLOOKUP(Table22[[#This Row],[DESIGNATION]],Table3[Trade],Table3[Weekend/PH]),0)</f>
        <v>6000</v>
      </c>
      <c r="K40" s="2">
        <f>IFERROR(_xlfn.XLOOKUP(Table22[[#This Row],[DESIGNATION]],Table3[Trade],Table3[OVT]),0)</f>
        <v>750</v>
      </c>
      <c r="L40" s="2">
        <v>0</v>
      </c>
      <c r="M40" s="2">
        <f t="shared" si="0"/>
        <v>115500</v>
      </c>
      <c r="N40" s="2">
        <f t="shared" si="0"/>
        <v>0</v>
      </c>
      <c r="O40" s="2">
        <f t="shared" si="1"/>
        <v>0</v>
      </c>
      <c r="P40" s="2"/>
      <c r="Q40" s="2"/>
      <c r="R40" s="2">
        <v>0</v>
      </c>
      <c r="S40" s="2">
        <f>SUM(Table22[[#This Row],[OT SAT]:[WEEKLY TRANSPORT]])</f>
        <v>115500</v>
      </c>
    </row>
    <row r="41" spans="3:19" x14ac:dyDescent="0.3">
      <c r="C41" t="s">
        <v>84</v>
      </c>
      <c r="D41" t="s">
        <v>119</v>
      </c>
      <c r="E41" s="29" t="s">
        <v>18</v>
      </c>
      <c r="F41" s="3">
        <v>21</v>
      </c>
      <c r="G41" s="3">
        <v>0</v>
      </c>
      <c r="H41" s="3">
        <v>0</v>
      </c>
      <c r="I41" s="2">
        <f>IFERROR(_xlfn.XLOOKUP(Table22[[#This Row],[DESIGNATION]],Table3[Trade],Table3[Weekday]),0)</f>
        <v>5500</v>
      </c>
      <c r="J41" s="2">
        <f>IFERROR(_xlfn.XLOOKUP(Table22[[#This Row],[DESIGNATION]],Table3[Trade],Table3[Weekend/PH]),0)</f>
        <v>6000</v>
      </c>
      <c r="K41" s="2">
        <f>IFERROR(_xlfn.XLOOKUP(Table22[[#This Row],[DESIGNATION]],Table3[Trade],Table3[OVT]),0)</f>
        <v>750</v>
      </c>
      <c r="L41" s="2">
        <v>0</v>
      </c>
      <c r="M41" s="2">
        <f t="shared" ref="M41:N44" si="2">F41*I41</f>
        <v>115500</v>
      </c>
      <c r="N41" s="2">
        <f t="shared" si="2"/>
        <v>0</v>
      </c>
      <c r="O41" s="2">
        <f t="shared" ref="O41:O44" si="3">K41*H41</f>
        <v>0</v>
      </c>
      <c r="P41" s="2"/>
      <c r="Q41" s="2"/>
      <c r="R41" s="2">
        <v>0</v>
      </c>
      <c r="S41" s="2">
        <f>SUM(Table22[[#This Row],[OT SAT]:[WEEKLY TRANSPORT]])</f>
        <v>115500</v>
      </c>
    </row>
    <row r="42" spans="3:19" x14ac:dyDescent="0.3">
      <c r="C42" t="s">
        <v>85</v>
      </c>
      <c r="D42" t="s">
        <v>120</v>
      </c>
      <c r="E42" s="29" t="s">
        <v>18</v>
      </c>
      <c r="F42" s="3">
        <v>21</v>
      </c>
      <c r="G42" s="3">
        <v>0</v>
      </c>
      <c r="H42" s="3">
        <v>0</v>
      </c>
      <c r="I42" s="2">
        <f>IFERROR(_xlfn.XLOOKUP(Table22[[#This Row],[DESIGNATION]],Table3[Trade],Table3[Weekday]),0)</f>
        <v>5500</v>
      </c>
      <c r="J42" s="2">
        <f>IFERROR(_xlfn.XLOOKUP(Table22[[#This Row],[DESIGNATION]],Table3[Trade],Table3[Weekend/PH]),0)</f>
        <v>6000</v>
      </c>
      <c r="K42" s="2">
        <f>IFERROR(_xlfn.XLOOKUP(Table22[[#This Row],[DESIGNATION]],Table3[Trade],Table3[OVT]),0)</f>
        <v>750</v>
      </c>
      <c r="L42" s="2">
        <v>0</v>
      </c>
      <c r="M42" s="2">
        <f t="shared" si="2"/>
        <v>115500</v>
      </c>
      <c r="N42" s="2">
        <f t="shared" si="2"/>
        <v>0</v>
      </c>
      <c r="O42" s="2">
        <f t="shared" si="3"/>
        <v>0</v>
      </c>
      <c r="P42" s="2"/>
      <c r="Q42" s="2"/>
      <c r="R42" s="2">
        <v>0</v>
      </c>
      <c r="S42" s="2">
        <f>SUM(Table22[[#This Row],[OT SAT]:[WEEKLY TRANSPORT]])</f>
        <v>115500</v>
      </c>
    </row>
    <row r="43" spans="3:19" x14ac:dyDescent="0.3">
      <c r="C43" t="s">
        <v>86</v>
      </c>
      <c r="D43" t="s">
        <v>121</v>
      </c>
      <c r="E43" s="29" t="s">
        <v>18</v>
      </c>
      <c r="F43" s="3">
        <v>13</v>
      </c>
      <c r="G43" s="3">
        <v>0</v>
      </c>
      <c r="H43" s="3">
        <v>0</v>
      </c>
      <c r="I43" s="2">
        <f>IFERROR(_xlfn.XLOOKUP(Table22[[#This Row],[DESIGNATION]],Table3[Trade],Table3[Weekday]),0)</f>
        <v>5500</v>
      </c>
      <c r="J43" s="2">
        <f>IFERROR(_xlfn.XLOOKUP(Table22[[#This Row],[DESIGNATION]],Table3[Trade],Table3[Weekend/PH]),0)</f>
        <v>6000</v>
      </c>
      <c r="K43" s="2">
        <f>IFERROR(_xlfn.XLOOKUP(Table22[[#This Row],[DESIGNATION]],Table3[Trade],Table3[OVT]),0)</f>
        <v>750</v>
      </c>
      <c r="L43" s="2">
        <v>0</v>
      </c>
      <c r="M43" s="2">
        <f t="shared" si="2"/>
        <v>71500</v>
      </c>
      <c r="N43" s="2">
        <f t="shared" si="2"/>
        <v>0</v>
      </c>
      <c r="O43" s="2">
        <f t="shared" si="3"/>
        <v>0</v>
      </c>
      <c r="P43" s="2"/>
      <c r="Q43" s="2"/>
      <c r="R43" s="2">
        <v>0</v>
      </c>
      <c r="S43" s="2">
        <f>SUM(Table22[[#This Row],[OT SAT]:[WEEKLY TRANSPORT]])</f>
        <v>71500</v>
      </c>
    </row>
    <row r="44" spans="3:19" x14ac:dyDescent="0.3">
      <c r="C44" t="s">
        <v>87</v>
      </c>
      <c r="D44" t="s">
        <v>122</v>
      </c>
      <c r="E44" s="29" t="s">
        <v>18</v>
      </c>
      <c r="F44" s="3">
        <v>19</v>
      </c>
      <c r="G44" s="3">
        <v>0</v>
      </c>
      <c r="H44" s="3">
        <v>0</v>
      </c>
      <c r="I44" s="2">
        <f>IFERROR(_xlfn.XLOOKUP(Table22[[#This Row],[DESIGNATION]],Table3[Trade],Table3[Weekday]),0)</f>
        <v>5500</v>
      </c>
      <c r="J44" s="2">
        <f>IFERROR(_xlfn.XLOOKUP(Table22[[#This Row],[DESIGNATION]],Table3[Trade],Table3[Weekend/PH]),0)</f>
        <v>6000</v>
      </c>
      <c r="K44" s="2">
        <f>IFERROR(_xlfn.XLOOKUP(Table22[[#This Row],[DESIGNATION]],Table3[Trade],Table3[OVT]),0)</f>
        <v>750</v>
      </c>
      <c r="L44" s="2">
        <v>0</v>
      </c>
      <c r="M44" s="2">
        <f t="shared" si="2"/>
        <v>104500</v>
      </c>
      <c r="N44" s="2">
        <f t="shared" si="2"/>
        <v>0</v>
      </c>
      <c r="O44" s="2">
        <f t="shared" si="3"/>
        <v>0</v>
      </c>
      <c r="P44" s="2"/>
      <c r="Q44" s="2"/>
      <c r="R44" s="2">
        <v>0</v>
      </c>
      <c r="S44" s="2">
        <f>SUM(Table22[[#This Row],[OT SAT]:[WEEKLY TRANSPORT]])</f>
        <v>104500</v>
      </c>
    </row>
    <row r="45" spans="3:19" x14ac:dyDescent="0.3">
      <c r="C45">
        <f>SUBTOTAL(103,Table22[TEMP. CODE])</f>
        <v>37</v>
      </c>
      <c r="D45">
        <f>SUBTOTAL(103,Table22[NAMES])</f>
        <v>37</v>
      </c>
      <c r="F45" s="4">
        <f>SUBTOTAL(109,Table22[WEEKDAY])</f>
        <v>751</v>
      </c>
      <c r="G45" s="4">
        <f>SUBTOTAL(109,Table22[SAT/SUN/PH])</f>
        <v>7</v>
      </c>
      <c r="H45" s="4">
        <f>SUBTOTAL(109,Table22[OT HRS])</f>
        <v>6</v>
      </c>
      <c r="I45" s="4"/>
      <c r="J45" s="4"/>
      <c r="K45" s="4"/>
      <c r="L45" s="4">
        <f>SUBTOTAL(109,Table22[OT SAT])</f>
        <v>0</v>
      </c>
      <c r="M45" s="4">
        <f>SUBTOTAL(109,Table22[AMT WKED])</f>
        <v>4354500</v>
      </c>
      <c r="N45" s="4">
        <f>SUBTOTAL(109,Table22[SAT/SUN/PH AMT])</f>
        <v>45000</v>
      </c>
      <c r="O45" s="4">
        <f>SUBTOTAL(109,Table22[O.T AMT])</f>
        <v>4500</v>
      </c>
      <c r="P45" s="4">
        <f>SUBTOTAL(109,Table22[NIGHT PAY])</f>
        <v>0</v>
      </c>
      <c r="Q45" s="4">
        <f>SUBTOTAL(109,Table22[AREARS])</f>
        <v>0</v>
      </c>
      <c r="R45" s="4">
        <f>SUBTOTAL(109,Table22[WEEKLY TRANSPORT])</f>
        <v>0</v>
      </c>
      <c r="S45" s="1">
        <f>SUBTOTAL(109,Table22[TOTAL AMT])</f>
        <v>4404000</v>
      </c>
    </row>
    <row r="48" spans="3:19" x14ac:dyDescent="0.3">
      <c r="C48" s="5" t="s">
        <v>22</v>
      </c>
      <c r="D48" s="5"/>
    </row>
    <row r="50" spans="3:19" s="20" customFormat="1" ht="15" thickBot="1" x14ac:dyDescent="0.35">
      <c r="C50" s="9" t="s">
        <v>36</v>
      </c>
      <c r="D50" s="10" t="s">
        <v>37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3:19" x14ac:dyDescent="0.3">
      <c r="C51" s="11" t="s">
        <v>27</v>
      </c>
      <c r="D51" s="12">
        <f>Table22[[#Totals],[NAMES]]</f>
        <v>37</v>
      </c>
    </row>
    <row r="52" spans="3:19" x14ac:dyDescent="0.3">
      <c r="C52" s="13" t="s">
        <v>35</v>
      </c>
      <c r="D52" s="14">
        <f>'Rate Card'!F5</f>
        <v>500</v>
      </c>
    </row>
    <row r="53" spans="3:19" x14ac:dyDescent="0.3">
      <c r="C53" s="13" t="s">
        <v>28</v>
      </c>
      <c r="D53" s="15">
        <f>Table22[[#Totals],[WEEKDAY]]</f>
        <v>751</v>
      </c>
    </row>
    <row r="54" spans="3:19" x14ac:dyDescent="0.3">
      <c r="C54" s="13" t="s">
        <v>29</v>
      </c>
      <c r="D54" s="15">
        <f>D52*D53</f>
        <v>375500</v>
      </c>
    </row>
    <row r="55" spans="3:19" x14ac:dyDescent="0.3">
      <c r="C55" s="13" t="s">
        <v>30</v>
      </c>
      <c r="D55" s="15">
        <f>D52*Table22[[#Totals],[SAT/SUN/PH]]</f>
        <v>3500</v>
      </c>
    </row>
    <row r="56" spans="3:19" x14ac:dyDescent="0.3">
      <c r="C56" s="13" t="s">
        <v>31</v>
      </c>
      <c r="D56" s="15">
        <f>SUM(D54:D55)</f>
        <v>379000</v>
      </c>
    </row>
    <row r="57" spans="3:19" ht="15" thickBot="1" x14ac:dyDescent="0.35">
      <c r="C57" s="13" t="s">
        <v>32</v>
      </c>
      <c r="D57" s="16">
        <f>Table22[[#Totals],[TOTAL AMT]]</f>
        <v>4404000</v>
      </c>
    </row>
    <row r="58" spans="3:19" x14ac:dyDescent="0.3">
      <c r="C58" s="13" t="s">
        <v>33</v>
      </c>
      <c r="D58" s="17">
        <f>0.01*D57</f>
        <v>44040</v>
      </c>
    </row>
    <row r="59" spans="3:19" ht="15" thickBot="1" x14ac:dyDescent="0.35">
      <c r="C59" s="18" t="s">
        <v>34</v>
      </c>
      <c r="D59" s="19">
        <f>SUM(D56:D58)</f>
        <v>4827040</v>
      </c>
    </row>
    <row r="60" spans="3:19" ht="15" thickTop="1" x14ac:dyDescent="0.3"/>
    <row r="62" spans="3:19" x14ac:dyDescent="0.3">
      <c r="C62" s="7" t="s">
        <v>43</v>
      </c>
      <c r="D62" s="7" t="s">
        <v>38</v>
      </c>
      <c r="E62" s="7" t="s">
        <v>39</v>
      </c>
      <c r="F62" s="7"/>
    </row>
    <row r="63" spans="3:19" ht="54" customHeight="1" x14ac:dyDescent="0.3">
      <c r="C63" t="s">
        <v>82</v>
      </c>
      <c r="D63" s="6" t="s">
        <v>40</v>
      </c>
      <c r="E63" s="6" t="s">
        <v>40</v>
      </c>
      <c r="F63" s="6"/>
    </row>
    <row r="64" spans="3:19" ht="42.6" customHeight="1" x14ac:dyDescent="0.3">
      <c r="C64" t="s">
        <v>25</v>
      </c>
      <c r="D64" s="6" t="s">
        <v>41</v>
      </c>
      <c r="E64" s="6" t="s">
        <v>40</v>
      </c>
      <c r="F64" s="6"/>
    </row>
    <row r="65" spans="3:5" ht="70.2" customHeight="1" x14ac:dyDescent="0.3">
      <c r="C65" t="s">
        <v>64</v>
      </c>
      <c r="D65" s="6" t="s">
        <v>42</v>
      </c>
      <c r="E65" s="6" t="s">
        <v>40</v>
      </c>
    </row>
    <row r="66" spans="3:5" ht="65.400000000000006" customHeight="1" x14ac:dyDescent="0.3"/>
    <row r="67" spans="3:5" ht="66.599999999999994" customHeight="1" x14ac:dyDescent="0.3">
      <c r="C67" s="32"/>
      <c r="D67" s="30"/>
    </row>
    <row r="68" spans="3:5" ht="65.400000000000006" customHeight="1" x14ac:dyDescent="0.3">
      <c r="C68" s="32"/>
      <c r="D68" s="31"/>
    </row>
    <row r="69" spans="3:5" x14ac:dyDescent="0.3">
      <c r="D69" s="30"/>
    </row>
  </sheetData>
  <protectedRanges>
    <protectedRange sqref="D22" name="Range1"/>
    <protectedRange sqref="E8:E44" name="Range1_1"/>
  </protectedRanges>
  <conditionalFormatting sqref="C1:C66 C69:C1048576">
    <cfRule type="duplicateValues" dxfId="42" priority="72"/>
  </conditionalFormatting>
  <conditionalFormatting sqref="C1:C1048576">
    <cfRule type="duplicateValues" dxfId="41" priority="8"/>
    <cfRule type="duplicateValues" dxfId="40" priority="64"/>
    <cfRule type="duplicateValues" dxfId="39" priority="68"/>
  </conditionalFormatting>
  <conditionalFormatting sqref="C22:C23">
    <cfRule type="duplicateValues" dxfId="38" priority="44"/>
    <cfRule type="duplicateValues" dxfId="37" priority="45"/>
    <cfRule type="duplicateValues" dxfId="36" priority="46"/>
    <cfRule type="duplicateValues" dxfId="35" priority="47"/>
    <cfRule type="duplicateValues" dxfId="34" priority="48"/>
    <cfRule type="duplicateValues" dxfId="33" priority="49"/>
    <cfRule type="duplicateValues" dxfId="32" priority="50"/>
  </conditionalFormatting>
  <conditionalFormatting sqref="C67">
    <cfRule type="duplicateValues" dxfId="31" priority="22"/>
    <cfRule type="duplicateValues" dxfId="30" priority="23"/>
    <cfRule type="duplicateValues" dxfId="29" priority="24"/>
    <cfRule type="duplicateValues" dxfId="28" priority="25"/>
    <cfRule type="duplicateValues" dxfId="27" priority="26"/>
    <cfRule type="duplicateValues" dxfId="26" priority="27"/>
  </conditionalFormatting>
  <conditionalFormatting sqref="C68">
    <cfRule type="duplicateValues" dxfId="25" priority="18"/>
    <cfRule type="duplicateValues" dxfId="24" priority="19"/>
    <cfRule type="duplicateValues" dxfId="23" priority="20"/>
    <cfRule type="duplicateValues" dxfId="22" priority="21"/>
  </conditionalFormatting>
  <conditionalFormatting sqref="D1:D1048576">
    <cfRule type="duplicateValues" dxfId="21" priority="28"/>
  </conditionalFormatting>
  <conditionalFormatting sqref="D23">
    <cfRule type="duplicateValues" dxfId="20" priority="34"/>
  </conditionalFormatting>
  <conditionalFormatting sqref="D66 D1:D22 D24:D44 D70:D1048576">
    <cfRule type="duplicateValues" dxfId="19" priority="58"/>
  </conditionalFormatting>
  <conditionalFormatting sqref="D67:D69">
    <cfRule type="duplicateValues" dxfId="18" priority="63"/>
  </conditionalFormatting>
  <conditionalFormatting sqref="D70:D1048576 D1:D66">
    <cfRule type="duplicateValues" dxfId="17" priority="55"/>
  </conditionalFormatting>
  <pageMargins left="0.23622047244094499" right="0.23622047244094499" top="0.74803149606299202" bottom="0.74803149606299202" header="0.31496062992126" footer="0.31496062992126"/>
  <pageSetup paperSize="9" scale="4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AC390B-FB22-4FA2-A919-5AF9FF711A62}">
          <x14:formula1>
            <xm:f>'Rate Card'!$B$5:$B$13</xm:f>
          </x14:formula1>
          <xm:sqref>E8:E44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26"/>
  <sheetViews>
    <sheetView zoomScale="130" zoomScaleNormal="130" workbookViewId="0">
      <selection activeCell="E5" sqref="E5"/>
    </sheetView>
  </sheetViews>
  <sheetFormatPr defaultColWidth="24.77734375" defaultRowHeight="14.4" x14ac:dyDescent="0.3"/>
  <cols>
    <col min="1" max="1" width="8.77734375" customWidth="1"/>
    <col min="2" max="2" width="29" customWidth="1"/>
    <col min="3" max="3" width="11.77734375" customWidth="1"/>
    <col min="4" max="4" width="15.21875" customWidth="1"/>
    <col min="5" max="5" width="7.109375" customWidth="1"/>
    <col min="6" max="6" width="31.77734375" customWidth="1"/>
  </cols>
  <sheetData>
    <row r="4" spans="2:6" x14ac:dyDescent="0.3">
      <c r="B4" s="27" t="s">
        <v>69</v>
      </c>
      <c r="C4" s="28" t="s">
        <v>70</v>
      </c>
      <c r="D4" s="28" t="s">
        <v>71</v>
      </c>
      <c r="E4" s="28" t="s">
        <v>72</v>
      </c>
      <c r="F4" s="27" t="s">
        <v>73</v>
      </c>
    </row>
    <row r="5" spans="2:6" x14ac:dyDescent="0.3">
      <c r="B5" s="25" t="s">
        <v>17</v>
      </c>
      <c r="C5" s="21">
        <v>5500</v>
      </c>
      <c r="D5" s="21">
        <v>6000</v>
      </c>
      <c r="E5" s="22">
        <v>750</v>
      </c>
      <c r="F5" s="22">
        <v>500</v>
      </c>
    </row>
    <row r="6" spans="2:6" ht="28.2" x14ac:dyDescent="0.3">
      <c r="B6" s="26" t="s">
        <v>16</v>
      </c>
      <c r="C6" s="23">
        <v>6500</v>
      </c>
      <c r="D6" s="23">
        <v>7000</v>
      </c>
      <c r="E6" s="24">
        <v>900</v>
      </c>
      <c r="F6" s="24">
        <v>500</v>
      </c>
    </row>
    <row r="7" spans="2:6" x14ac:dyDescent="0.3">
      <c r="B7" s="25" t="s">
        <v>21</v>
      </c>
      <c r="C7" s="21">
        <v>6500</v>
      </c>
      <c r="D7" s="21">
        <v>7000</v>
      </c>
      <c r="E7" s="22">
        <v>900</v>
      </c>
      <c r="F7" s="22">
        <v>500</v>
      </c>
    </row>
    <row r="8" spans="2:6" x14ac:dyDescent="0.3">
      <c r="B8" s="26" t="s">
        <v>19</v>
      </c>
      <c r="C8" s="23">
        <v>6500</v>
      </c>
      <c r="D8" s="23">
        <v>7000</v>
      </c>
      <c r="E8" s="24">
        <v>900</v>
      </c>
      <c r="F8" s="24">
        <v>500</v>
      </c>
    </row>
    <row r="9" spans="2:6" x14ac:dyDescent="0.3">
      <c r="B9" s="25" t="s">
        <v>18</v>
      </c>
      <c r="C9" s="21">
        <v>5500</v>
      </c>
      <c r="D9" s="21">
        <v>6000</v>
      </c>
      <c r="E9" s="22">
        <v>750</v>
      </c>
      <c r="F9" s="22">
        <v>500</v>
      </c>
    </row>
    <row r="10" spans="2:6" x14ac:dyDescent="0.3">
      <c r="B10" s="26" t="s">
        <v>26</v>
      </c>
      <c r="C10" s="23">
        <v>6500</v>
      </c>
      <c r="D10" s="23">
        <v>7000</v>
      </c>
      <c r="E10" s="24">
        <v>900</v>
      </c>
      <c r="F10" s="24">
        <v>500</v>
      </c>
    </row>
    <row r="11" spans="2:6" x14ac:dyDescent="0.3">
      <c r="B11" s="25" t="s">
        <v>24</v>
      </c>
      <c r="C11" s="21">
        <v>5500</v>
      </c>
      <c r="D11" s="21">
        <v>6000</v>
      </c>
      <c r="E11" s="22">
        <v>750</v>
      </c>
      <c r="F11" s="22">
        <v>500</v>
      </c>
    </row>
    <row r="12" spans="2:6" x14ac:dyDescent="0.3">
      <c r="B12" s="26" t="s">
        <v>20</v>
      </c>
      <c r="C12" s="23">
        <v>5500</v>
      </c>
      <c r="D12" s="23">
        <v>6000</v>
      </c>
      <c r="E12" s="24">
        <v>750</v>
      </c>
      <c r="F12" s="24">
        <v>500</v>
      </c>
    </row>
    <row r="13" spans="2:6" x14ac:dyDescent="0.3">
      <c r="B13" s="26" t="s">
        <v>79</v>
      </c>
      <c r="C13" s="23">
        <v>6500</v>
      </c>
      <c r="D13" s="23">
        <v>7000</v>
      </c>
      <c r="E13" s="24">
        <v>900</v>
      </c>
      <c r="F13" s="24">
        <v>500</v>
      </c>
    </row>
    <row r="26" spans="3:3" x14ac:dyDescent="0.3">
      <c r="C26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Rate</vt:lpstr>
      <vt:lpstr>Rate Card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Ezeagu</dc:creator>
  <cp:lastModifiedBy>Fawaz Adeshina</cp:lastModifiedBy>
  <cp:revision/>
  <cp:lastPrinted>2026-08-20T12:01:22Z</cp:lastPrinted>
  <dcterms:created xsi:type="dcterms:W3CDTF">2018-02-20T13:08:03Z</dcterms:created>
  <dcterms:modified xsi:type="dcterms:W3CDTF">2026-09-16T09:19:11Z</dcterms:modified>
</cp:coreProperties>
</file>