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claudianwankwo_dormanlongeng_com/Documents/PH Appartment Utility/"/>
    </mc:Choice>
  </mc:AlternateContent>
  <xr:revisionPtr revIDLastSave="2" documentId="8_{86937818-1F22-4144-9F0D-B6A3DFCCE984}" xr6:coauthVersionLast="47" xr6:coauthVersionMax="47" xr10:uidLastSave="{0B24DDED-F6E3-4542-AC99-2A2D9E694FC1}"/>
  <bookViews>
    <workbookView xWindow="28680" yWindow="-120" windowWidth="29040" windowHeight="15720" xr2:uid="{7B2FD912-C9EE-46BB-AF69-F5B3E796E00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3" i="1"/>
  <c r="B10" i="2"/>
  <c r="F7" i="3"/>
  <c r="E7" i="3"/>
  <c r="D7" i="3"/>
  <c r="C7" i="3"/>
  <c r="B7" i="3"/>
  <c r="G7" i="3"/>
  <c r="E7" i="2"/>
  <c r="D6" i="2"/>
  <c r="D5" i="2"/>
  <c r="D4" i="2"/>
  <c r="D3" i="2"/>
  <c r="D2" i="2"/>
  <c r="D7" i="2" s="1"/>
  <c r="B9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<sst xmlns="http://schemas.openxmlformats.org/spreadsheetml/2006/main" count="48" uniqueCount="39">
  <si>
    <t>S/N</t>
  </si>
  <si>
    <t>Utility</t>
  </si>
  <si>
    <t>Monthly Estimate (₦)</t>
  </si>
  <si>
    <t>Notes</t>
  </si>
  <si>
    <t>Waste Disposal</t>
  </si>
  <si>
    <t>Estate Security Bill</t>
  </si>
  <si>
    <t xml:space="preserve"> Maintance</t>
  </si>
  <si>
    <t>Outstanding</t>
  </si>
  <si>
    <t>Total</t>
  </si>
  <si>
    <t>Apartment</t>
  </si>
  <si>
    <t>Occupants</t>
  </si>
  <si>
    <t>Meter Number</t>
  </si>
  <si>
    <t>Kw/h/₦1000 ( 4.1)</t>
  </si>
  <si>
    <t>Monthly Electricity Amount Payable (₦)</t>
  </si>
  <si>
    <t>A</t>
  </si>
  <si>
    <t xml:space="preserve"> Esau Uduak </t>
  </si>
  <si>
    <t>B</t>
  </si>
  <si>
    <t xml:space="preserve">Afees &amp; Richard </t>
  </si>
  <si>
    <t>C</t>
  </si>
  <si>
    <t xml:space="preserve">Okpeh Emmanuel </t>
  </si>
  <si>
    <t>D</t>
  </si>
  <si>
    <t xml:space="preserve">Henry  </t>
  </si>
  <si>
    <t>Sumo</t>
  </si>
  <si>
    <t>Utility/Apartment</t>
  </si>
  <si>
    <t>SUMO</t>
  </si>
  <si>
    <t>Genreal</t>
  </si>
  <si>
    <t xml:space="preserve">Comment </t>
  </si>
  <si>
    <t>Electricity</t>
  </si>
  <si>
    <t>Security Levy</t>
  </si>
  <si>
    <t>Maintenance</t>
  </si>
  <si>
    <t xml:space="preserve"> Total</t>
  </si>
  <si>
    <t>Quarterly Consumption Request (Sept - Dec 2026)</t>
  </si>
  <si>
    <t>for 6 months (July - Dec)</t>
  </si>
  <si>
    <t>4 Months</t>
  </si>
  <si>
    <t>Available Balance</t>
  </si>
  <si>
    <t xml:space="preserve">Electricity (PHED) </t>
  </si>
  <si>
    <t>From last fund received</t>
  </si>
  <si>
    <t>OUTSTANDING</t>
  </si>
  <si>
    <t>6,500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</si>
</sst>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₦-469]\ * #,##0.00_-;\-[$₦-469]\ * #,##0.00_-;_-[$₦-469]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5" xfId="1" applyNumberFormat="1" applyFont="1" applyBorder="1"/>
    <xf numFmtId="0" fontId="0" fillId="0" borderId="6" xfId="0" applyBorder="1"/>
    <xf numFmtId="164" fontId="2" fillId="0" borderId="5" xfId="1" applyNumberFormat="1" applyFont="1" applyBorder="1" applyAlignment="1">
      <alignment horizontal="right"/>
    </xf>
    <xf numFmtId="0" fontId="0" fillId="0" borderId="7" xfId="0" applyBorder="1"/>
    <xf numFmtId="0" fontId="3" fillId="0" borderId="8" xfId="0" applyFont="1" applyBorder="1"/>
    <xf numFmtId="164" fontId="0" fillId="0" borderId="8" xfId="1" applyNumberFormat="1" applyFont="1" applyBorder="1"/>
    <xf numFmtId="164" fontId="3" fillId="0" borderId="8" xfId="1" applyNumberFormat="1" applyFont="1" applyFill="1" applyBorder="1"/>
    <xf numFmtId="0" fontId="0" fillId="0" borderId="9" xfId="0" applyBorder="1"/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164" fontId="3" fillId="2" borderId="0" xfId="0" applyNumberFormat="1" applyFont="1" applyFill="1"/>
    <xf numFmtId="0" fontId="5" fillId="0" borderId="0" xfId="0" applyFont="1"/>
    <xf numFmtId="164" fontId="5" fillId="0" borderId="0" xfId="0" applyNumberFormat="1" applyFont="1"/>
    <xf numFmtId="3" fontId="0" fillId="0" borderId="0" xfId="0" applyNumberFormat="1"/>
    <xf numFmtId="0" fontId="3" fillId="0" borderId="5" xfId="0" applyFont="1" applyBorder="1"/>
    <xf numFmtId="164" fontId="3" fillId="0" borderId="5" xfId="0" applyNumberFormat="1" applyFont="1" applyBorder="1"/>
    <xf numFmtId="0" fontId="2" fillId="2" borderId="0" xfId="0" applyFont="1" applyFill="1"/>
    <xf numFmtId="164" fontId="2" fillId="2" borderId="0" xfId="0" applyNumberFormat="1" applyFont="1" applyFill="1"/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₦-469]\ * #,##0.00_-;\-[$₦-469]\ * #,##0.00_-;_-[$₦-469]\ * &quot;-&quot;??_-;_-@_-"/>
      <alignment horizontal="center" vertical="bottom" textRotation="0" wrapText="0" indent="0" justifyLastLine="0" shrinkToFit="0" readingOrder="0"/>
    </dxf>
    <dxf>
      <numFmt numFmtId="164" formatCode="_-[$₦-469]\ * #,##0.00_-;\-[$₦-469]\ * #,##0.00_-;_-[$₦-469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₦-469]\ * #,##0.00_-;\-[$₦-469]\ * #,##0.00_-;_-[$₦-469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₦-469]\ * #,##0.00_-;\-[$₦-469]\ * #,##0.00_-;_-[$₦-469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4DEFD-C022-4079-BA25-4CB4115ED33F}" name="Table23" displayName="Table23" ref="A1:E8" totalsRowShown="0" headerRowDxfId="22" headerRowBorderDxfId="21" tableBorderDxfId="20" totalsRowBorderDxfId="19">
  <autoFilter ref="A1:E8" xr:uid="{83E4DEFD-C022-4079-BA25-4CB4115ED33F}"/>
  <tableColumns count="5">
    <tableColumn id="1" xr3:uid="{9AE3E8E1-FE6D-40B3-A53C-56B696897E12}" name="S/N" dataDxfId="18"/>
    <tableColumn id="2" xr3:uid="{432C50ED-7567-472F-AE00-A9EA793FD209}" name="Utility" dataDxfId="17"/>
    <tableColumn id="3" xr3:uid="{E0BACA2B-F54D-4084-8ACD-E6CB80BEBC0C}" name="Monthly Estimate (₦)" dataDxfId="16" dataCellStyle="Currency"/>
    <tableColumn id="4" xr3:uid="{D85049DC-07A9-4409-8597-0C7628D36B8F}" name="Quarterly Consumption Request (Sept - Dec 2026)" dataDxfId="15" dataCellStyle="Currency"/>
    <tableColumn id="5" xr3:uid="{6598F0AF-7B0B-47E9-A3F8-D3C491671A66}" name="Not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B48760-B66B-4115-B2D6-B445119D63E7}" name="Table2" displayName="Table2" ref="A1:E7" totalsRowCount="1" headerRowDxfId="13" dataDxfId="11" headerRowBorderDxfId="12" tableBorderDxfId="10">
  <autoFilter ref="A1:E6" xr:uid="{12B48760-B66B-4115-B2D6-B445119D63E7}"/>
  <tableColumns count="5">
    <tableColumn id="1" xr3:uid="{5A8EE8C6-AD14-44DF-961F-EDEE80051E5A}" name="Apartment" totalsRowLabel="Total" dataDxfId="9" totalsRowDxfId="8"/>
    <tableColumn id="2" xr3:uid="{3FA2E38D-2107-44A8-957E-E4A63A518B7E}" name="Occupants" totalsRowLabel="Total" dataDxfId="7" totalsRowDxfId="6"/>
    <tableColumn id="3" xr3:uid="{3CF7E07B-05BE-4906-955D-D538C4102C0F}" name="Meter Number" dataDxfId="5" totalsRowDxfId="4"/>
    <tableColumn id="6" xr3:uid="{C6913B87-1196-4C1F-9878-2E1FDEFC9342}" name="Kw/h/₦1000 ( 4.1)" totalsRowFunction="sum" dataDxfId="3" totalsRowDxfId="2">
      <calculatedColumnFormula>Table2[[#This Row],[Monthly Electricity Amount Payable (₦)]]*4.1/1000</calculatedColumnFormula>
    </tableColumn>
    <tableColumn id="4" xr3:uid="{CE3245AE-551D-40E9-8D71-CC031FDBCF91}" name="Monthly Electricity Amount Payable (₦)" totalsRowFunction="custom" dataDxfId="1" totalsRowDxfId="0">
      <totalsRowFormula>SUM(Table2[Monthly Electricity Amount Payable (₦)])</totalsRow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8145D9-640C-4C28-A11A-D4102F64E8E5}" name="Table21" displayName="Table21" ref="A2:H7" totalsRowShown="0">
  <autoFilter ref="A2:H7" xr:uid="{2D8145D9-640C-4C28-A11A-D4102F64E8E5}"/>
  <tableColumns count="8">
    <tableColumn id="1" xr3:uid="{7197890F-2173-4907-BF41-9848A94090A6}" name="Utility/Apartment"/>
    <tableColumn id="2" xr3:uid="{77935EA6-04B1-42CB-88A0-142484420B79}" name="A"/>
    <tableColumn id="3" xr3:uid="{7292519E-17CA-42A6-8D0E-BB41D1FE68AA}" name="B"/>
    <tableColumn id="4" xr3:uid="{5DF59C0F-6400-4BF3-BFE9-3CB5DE7850EC}" name="C"/>
    <tableColumn id="5" xr3:uid="{1D33BF63-90E0-4A28-A06D-1DEEA71362B5}" name="D"/>
    <tableColumn id="6" xr3:uid="{61F47C9B-1BB0-4AA8-9787-F401B16879C4}" name="SUMO"/>
    <tableColumn id="7" xr3:uid="{52AF8871-2C8A-4ADB-8EF6-AF7B456496E5}" name="Genreal"/>
    <tableColumn id="8" xr3:uid="{DF06D8D8-93DB-4918-BC7D-86BB33C3F5FF}" name="Commen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845E-44C3-4D35-9718-6A43B6919C8C}">
  <dimension ref="A1:E11"/>
  <sheetViews>
    <sheetView tabSelected="1" workbookViewId="0">
      <selection activeCell="D13" sqref="D13"/>
    </sheetView>
  </sheetViews>
  <sheetFormatPr defaultRowHeight="14.5" x14ac:dyDescent="0.35"/>
  <cols>
    <col min="2" max="2" width="31.08984375" bestFit="1" customWidth="1"/>
    <col min="3" max="3" width="24.08984375" hidden="1" customWidth="1"/>
    <col min="4" max="4" width="44.6328125" customWidth="1"/>
    <col min="5" max="5" width="27" customWidth="1"/>
  </cols>
  <sheetData>
    <row r="1" spans="1:5" ht="43" customHeight="1" x14ac:dyDescent="0.35">
      <c r="A1" s="1" t="s">
        <v>0</v>
      </c>
      <c r="B1" s="2" t="s">
        <v>1</v>
      </c>
      <c r="C1" s="2" t="s">
        <v>2</v>
      </c>
      <c r="D1" s="2" t="s">
        <v>31</v>
      </c>
      <c r="E1" s="3" t="s">
        <v>3</v>
      </c>
    </row>
    <row r="2" spans="1:5" ht="43" customHeight="1" x14ac:dyDescent="0.35">
      <c r="A2" s="4">
        <v>1</v>
      </c>
      <c r="B2" s="5" t="s">
        <v>34</v>
      </c>
      <c r="C2" s="6"/>
      <c r="D2" s="6">
        <v>1600</v>
      </c>
      <c r="E2" s="7" t="s">
        <v>36</v>
      </c>
    </row>
    <row r="3" spans="1:5" ht="43" customHeight="1" x14ac:dyDescent="0.35">
      <c r="A3" s="4">
        <v>2</v>
      </c>
      <c r="B3" s="5" t="s">
        <v>35</v>
      </c>
      <c r="C3" s="6">
        <v>100000</v>
      </c>
      <c r="D3" s="6">
        <f>Sheet2!B10</f>
        <v>400000</v>
      </c>
      <c r="E3" s="7"/>
    </row>
    <row r="4" spans="1:5" ht="43" customHeight="1" x14ac:dyDescent="0.35">
      <c r="A4" s="4">
        <v>3</v>
      </c>
      <c r="B4" s="5" t="s">
        <v>4</v>
      </c>
      <c r="C4" s="6">
        <v>6500</v>
      </c>
      <c r="D4" s="6">
        <v>26000</v>
      </c>
      <c r="E4" s="7" t="s">
        <v>38</v>
      </c>
    </row>
    <row r="5" spans="1:5" ht="43" customHeight="1" x14ac:dyDescent="0.35">
      <c r="A5" s="4">
        <v>4</v>
      </c>
      <c r="B5" s="5" t="s">
        <v>5</v>
      </c>
      <c r="C5" s="6">
        <v>4000</v>
      </c>
      <c r="D5" s="6">
        <v>36000</v>
      </c>
      <c r="E5" s="7" t="s">
        <v>32</v>
      </c>
    </row>
    <row r="6" spans="1:5" ht="43" customHeight="1" x14ac:dyDescent="0.35">
      <c r="A6" s="4">
        <v>5</v>
      </c>
      <c r="B6" s="5" t="s">
        <v>6</v>
      </c>
      <c r="C6" s="6"/>
      <c r="D6" s="6">
        <v>0</v>
      </c>
      <c r="E6" s="7"/>
    </row>
    <row r="7" spans="1:5" ht="43" customHeight="1" x14ac:dyDescent="0.35">
      <c r="A7" s="4">
        <v>6</v>
      </c>
      <c r="B7" s="5" t="s">
        <v>7</v>
      </c>
      <c r="C7" s="6"/>
      <c r="D7" s="8">
        <f>Sheet3!B9</f>
        <v>0</v>
      </c>
      <c r="E7" s="7"/>
    </row>
    <row r="8" spans="1:5" ht="43" customHeight="1" x14ac:dyDescent="0.35">
      <c r="A8" s="9"/>
      <c r="B8" s="10" t="s">
        <v>8</v>
      </c>
      <c r="C8" s="11"/>
      <c r="D8" s="12">
        <f>SUM(D3:D7)</f>
        <v>462000</v>
      </c>
      <c r="E8" s="13"/>
    </row>
    <row r="9" spans="1:5" ht="26.5" customHeight="1" x14ac:dyDescent="0.35"/>
    <row r="10" spans="1:5" ht="26.5" customHeight="1" x14ac:dyDescent="0.35"/>
    <row r="11" spans="1:5" ht="26.5" customHeight="1" x14ac:dyDescent="0.3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26A4-8933-4CFF-9852-5E9EB1D825CD}">
  <dimension ref="A1:E11"/>
  <sheetViews>
    <sheetView workbookViewId="0">
      <selection activeCell="B10" sqref="B10"/>
    </sheetView>
  </sheetViews>
  <sheetFormatPr defaultRowHeight="14.5" x14ac:dyDescent="0.35"/>
  <cols>
    <col min="1" max="1" width="48.81640625" customWidth="1"/>
    <col min="2" max="2" width="32.453125" customWidth="1"/>
    <col min="3" max="4" width="36" customWidth="1"/>
    <col min="5" max="5" width="42.6328125" customWidth="1"/>
  </cols>
  <sheetData>
    <row r="1" spans="1:5" ht="15.5" x14ac:dyDescent="0.35">
      <c r="A1" s="14" t="s">
        <v>9</v>
      </c>
      <c r="B1" s="14" t="s">
        <v>10</v>
      </c>
      <c r="C1" s="14" t="s">
        <v>11</v>
      </c>
      <c r="D1" s="14" t="s">
        <v>12</v>
      </c>
      <c r="E1" s="14" t="s">
        <v>13</v>
      </c>
    </row>
    <row r="2" spans="1:5" ht="34.5" customHeight="1" x14ac:dyDescent="0.35">
      <c r="A2" s="15" t="s">
        <v>14</v>
      </c>
      <c r="B2" s="15" t="s">
        <v>15</v>
      </c>
      <c r="C2" s="15">
        <v>25114095448</v>
      </c>
      <c r="D2" s="16">
        <f>Table2[[#This Row],[Monthly Electricity Amount Payable (₦)]]*4.1/1000</f>
        <v>82</v>
      </c>
      <c r="E2" s="17">
        <v>20000</v>
      </c>
    </row>
    <row r="3" spans="1:5" ht="37.5" customHeight="1" x14ac:dyDescent="0.35">
      <c r="A3" s="15" t="s">
        <v>16</v>
      </c>
      <c r="B3" s="15" t="s">
        <v>17</v>
      </c>
      <c r="C3" s="15">
        <v>25114095265</v>
      </c>
      <c r="D3" s="16">
        <f>Table2[[#This Row],[Monthly Electricity Amount Payable (₦)]]*4.1/1000</f>
        <v>82</v>
      </c>
      <c r="E3" s="17">
        <v>20000</v>
      </c>
    </row>
    <row r="4" spans="1:5" ht="33.75" customHeight="1" x14ac:dyDescent="0.35">
      <c r="A4" s="15" t="s">
        <v>18</v>
      </c>
      <c r="B4" s="15" t="s">
        <v>19</v>
      </c>
      <c r="C4" s="15">
        <v>25114095398</v>
      </c>
      <c r="D4" s="16">
        <f>Table2[[#This Row],[Monthly Electricity Amount Payable (₦)]]*4.1/1000</f>
        <v>82</v>
      </c>
      <c r="E4" s="17">
        <v>20000</v>
      </c>
    </row>
    <row r="5" spans="1:5" ht="39.75" customHeight="1" x14ac:dyDescent="0.35">
      <c r="A5" s="15" t="s">
        <v>20</v>
      </c>
      <c r="B5" s="15" t="s">
        <v>21</v>
      </c>
      <c r="C5" s="15">
        <v>25114095380</v>
      </c>
      <c r="D5" s="16">
        <f>Table2[[#This Row],[Monthly Electricity Amount Payable (₦)]]*4.1/1000</f>
        <v>82</v>
      </c>
      <c r="E5" s="17">
        <v>20000</v>
      </c>
    </row>
    <row r="6" spans="1:5" ht="39.75" customHeight="1" x14ac:dyDescent="0.35">
      <c r="A6" s="15" t="s">
        <v>22</v>
      </c>
      <c r="B6" s="15" t="s">
        <v>22</v>
      </c>
      <c r="C6" s="15">
        <v>25114095455</v>
      </c>
      <c r="D6" s="16">
        <f>Table2[[#This Row],[Monthly Electricity Amount Payable (₦)]]*4.1/1000</f>
        <v>82</v>
      </c>
      <c r="E6" s="17">
        <v>20000</v>
      </c>
    </row>
    <row r="7" spans="1:5" ht="25.75" customHeight="1" x14ac:dyDescent="0.35">
      <c r="A7" s="18" t="s">
        <v>8</v>
      </c>
      <c r="B7" s="15" t="s">
        <v>8</v>
      </c>
      <c r="C7" s="15"/>
      <c r="D7" s="15">
        <f>SUBTOTAL(109,Table2[Kw/h/₦1000 ( 4.1)])</f>
        <v>410</v>
      </c>
      <c r="E7" s="19">
        <f>SUM(Table2[Monthly Electricity Amount Payable (₦)])</f>
        <v>100000</v>
      </c>
    </row>
    <row r="9" spans="1:5" x14ac:dyDescent="0.35">
      <c r="A9" s="20"/>
    </row>
    <row r="10" spans="1:5" x14ac:dyDescent="0.35">
      <c r="A10" s="21" t="s">
        <v>33</v>
      </c>
      <c r="B10" s="22">
        <f>Table2[[#Totals],[Monthly Electricity Amount Payable (₦)]]*4</f>
        <v>400000</v>
      </c>
    </row>
    <row r="11" spans="1:5" x14ac:dyDescent="0.35">
      <c r="B11" s="23"/>
      <c r="C11" s="2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4B90-6073-4CD6-A46E-1EC5847E6A6C}">
  <dimension ref="A1:O100"/>
  <sheetViews>
    <sheetView zoomScale="89" zoomScaleNormal="89" workbookViewId="0">
      <selection activeCell="A48" sqref="A48"/>
    </sheetView>
  </sheetViews>
  <sheetFormatPr defaultRowHeight="14.5" x14ac:dyDescent="0.35"/>
  <cols>
    <col min="1" max="1" width="35.453125" bestFit="1" customWidth="1"/>
    <col min="2" max="2" width="13.453125" customWidth="1"/>
    <col min="3" max="3" width="13.36328125" customWidth="1"/>
    <col min="4" max="4" width="11.26953125" bestFit="1" customWidth="1"/>
    <col min="5" max="5" width="12.36328125" bestFit="1" customWidth="1"/>
    <col min="6" max="6" width="12.7265625" customWidth="1"/>
    <col min="7" max="7" width="12.36328125" bestFit="1" customWidth="1"/>
    <col min="8" max="8" width="12" customWidth="1"/>
    <col min="9" max="9" width="11.08984375" customWidth="1"/>
  </cols>
  <sheetData>
    <row r="1" spans="1:8" ht="18.5" x14ac:dyDescent="0.45">
      <c r="A1" s="30" t="s">
        <v>37</v>
      </c>
      <c r="B1" s="30"/>
      <c r="C1" s="30"/>
      <c r="D1" s="30"/>
      <c r="E1" s="30"/>
      <c r="F1" s="30"/>
      <c r="G1" s="30"/>
    </row>
    <row r="2" spans="1:8" x14ac:dyDescent="0.35">
      <c r="A2" t="s">
        <v>23</v>
      </c>
      <c r="B2" t="s">
        <v>14</v>
      </c>
      <c r="C2" t="s">
        <v>16</v>
      </c>
      <c r="D2" t="s">
        <v>18</v>
      </c>
      <c r="E2" t="s">
        <v>20</v>
      </c>
      <c r="F2" t="s">
        <v>24</v>
      </c>
      <c r="G2" t="s">
        <v>25</v>
      </c>
      <c r="H2" t="s">
        <v>26</v>
      </c>
    </row>
    <row r="3" spans="1:8" x14ac:dyDescent="0.35">
      <c r="A3" t="s">
        <v>27</v>
      </c>
      <c r="B3" s="25">
        <v>0</v>
      </c>
      <c r="C3" s="25">
        <v>0</v>
      </c>
      <c r="D3">
        <v>0</v>
      </c>
      <c r="E3">
        <v>0</v>
      </c>
      <c r="F3" s="25">
        <v>0</v>
      </c>
      <c r="G3">
        <v>0</v>
      </c>
    </row>
    <row r="4" spans="1:8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8" x14ac:dyDescent="0.35">
      <c r="A5" t="s">
        <v>28</v>
      </c>
      <c r="G5" s="25">
        <v>0</v>
      </c>
    </row>
    <row r="6" spans="1:8" x14ac:dyDescent="0.35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8" x14ac:dyDescent="0.35">
      <c r="A7" s="26" t="s">
        <v>8</v>
      </c>
      <c r="B7" s="27">
        <f>SUM(B3:B6)</f>
        <v>0</v>
      </c>
      <c r="C7" s="27">
        <f t="shared" ref="C7:G7" si="0">SUM(C3:C6)</f>
        <v>0</v>
      </c>
      <c r="D7" s="27">
        <f t="shared" si="0"/>
        <v>0</v>
      </c>
      <c r="E7" s="27">
        <f t="shared" si="0"/>
        <v>0</v>
      </c>
      <c r="F7" s="27">
        <f t="shared" si="0"/>
        <v>0</v>
      </c>
      <c r="G7" s="27">
        <f t="shared" si="0"/>
        <v>0</v>
      </c>
      <c r="H7" s="26"/>
    </row>
    <row r="9" spans="1:8" x14ac:dyDescent="0.35">
      <c r="A9" s="28" t="s">
        <v>30</v>
      </c>
      <c r="B9" s="29">
        <f>SUM(B7:G7)</f>
        <v>0</v>
      </c>
    </row>
    <row r="57" spans="1:1" x14ac:dyDescent="0.35">
      <c r="A57" s="20"/>
    </row>
    <row r="98" spans="15:15" ht="15.5" customHeight="1" x14ac:dyDescent="0.35"/>
    <row r="100" spans="15:15" x14ac:dyDescent="0.35">
      <c r="O100" t="e" vm="1">
        <v>#VALUE!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Nwankwo</dc:creator>
  <cp:lastModifiedBy>Claudia Nwankwo</cp:lastModifiedBy>
  <dcterms:created xsi:type="dcterms:W3CDTF">2026-09-04T12:47:39Z</dcterms:created>
  <dcterms:modified xsi:type="dcterms:W3CDTF">2026-09-16T11:26:22Z</dcterms:modified>
</cp:coreProperties>
</file>