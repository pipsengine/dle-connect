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PAYROLL/2026/August 2026 payroll/"/>
    </mc:Choice>
  </mc:AlternateContent>
  <xr:revisionPtr revIDLastSave="1747" documentId="8_{01479F45-904C-4115-AE73-8239D18EB3D6}" xr6:coauthVersionLast="47" xr6:coauthVersionMax="47" xr10:uidLastSave="{BAFCC6C3-51B5-44BC-8EFC-6594147E121E}"/>
  <bookViews>
    <workbookView xWindow="19090" yWindow="-110" windowWidth="19420" windowHeight="10300" xr2:uid="{60BD8C7C-4DBB-4DA5-A5D4-A11F437B757D}"/>
  </bookViews>
  <sheets>
    <sheet name="SUMMARY" sheetId="9" r:id="rId1"/>
    <sheet name="DLE" sheetId="4" r:id="rId2"/>
    <sheet name="DLPC" sheetId="7" r:id="rId3"/>
    <sheet name="DLE BANK SCHD" sheetId="2" r:id="rId4"/>
    <sheet name="DLPC.BANK.SCHD" sheetId="8" r:id="rId5"/>
  </sheets>
  <definedNames>
    <definedName name="_xlnm._FilterDatabase" localSheetId="3" hidden="1">'DLE BANK SCHD'!$A$2:$F$185</definedName>
    <definedName name="_xlnm._FilterDatabase" localSheetId="4" hidden="1">'DLPC.BANK.SCHD'!$A$2:$G$12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9" l="1"/>
  <c r="B6" i="9"/>
  <c r="D5" i="9"/>
  <c r="D4" i="9"/>
  <c r="D6" i="9" s="1"/>
  <c r="C5" i="9"/>
  <c r="C4" i="9"/>
  <c r="B5" i="9"/>
  <c r="B4" i="9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4" i="8"/>
  <c r="F5" i="8"/>
  <c r="F6" i="8"/>
  <c r="F7" i="8"/>
  <c r="F8" i="8"/>
  <c r="F9" i="8"/>
  <c r="F3" i="8"/>
  <c r="F10" i="8" s="1"/>
  <c r="A10" i="8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89" i="4"/>
  <c r="O89" i="4"/>
  <c r="P89" i="4"/>
  <c r="Q89" i="4"/>
  <c r="S89" i="4"/>
  <c r="N88" i="4"/>
  <c r="O88" i="4"/>
  <c r="P88" i="4"/>
  <c r="Q88" i="4"/>
  <c r="S88" i="4"/>
  <c r="N87" i="4"/>
  <c r="O87" i="4"/>
  <c r="P87" i="4"/>
  <c r="Q87" i="4"/>
  <c r="S87" i="4"/>
  <c r="N86" i="4"/>
  <c r="O86" i="4"/>
  <c r="P86" i="4"/>
  <c r="Q86" i="4"/>
  <c r="S86" i="4"/>
  <c r="Q82" i="4"/>
  <c r="Q83" i="4"/>
  <c r="Q84" i="4"/>
  <c r="Q51" i="4"/>
  <c r="Q54" i="4"/>
  <c r="Q75" i="4"/>
  <c r="P82" i="4"/>
  <c r="P83" i="4"/>
  <c r="P84" i="4"/>
  <c r="P85" i="4"/>
  <c r="P51" i="4"/>
  <c r="P54" i="4"/>
  <c r="P75" i="4"/>
  <c r="O82" i="4"/>
  <c r="O83" i="4"/>
  <c r="O84" i="4"/>
  <c r="O85" i="4"/>
  <c r="N82" i="4"/>
  <c r="A9" i="7"/>
  <c r="U9" i="7"/>
  <c r="E9" i="7"/>
  <c r="R8" i="7"/>
  <c r="R7" i="7"/>
  <c r="R6" i="7"/>
  <c r="R5" i="7"/>
  <c r="R4" i="7"/>
  <c r="R3" i="7"/>
  <c r="R2" i="7"/>
  <c r="A183" i="4"/>
  <c r="T183" i="4"/>
  <c r="A184" i="2"/>
  <c r="Y82" i="4" l="1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89" i="4"/>
  <c r="Y87" i="4"/>
  <c r="Y86" i="4"/>
  <c r="Y88" i="4"/>
  <c r="Y130" i="4"/>
  <c r="Y138" i="4"/>
  <c r="Y143" i="4"/>
  <c r="Y149" i="4"/>
  <c r="Y154" i="4"/>
  <c r="Y159" i="4"/>
  <c r="Y166" i="4"/>
  <c r="Y172" i="4"/>
  <c r="Y179" i="4"/>
  <c r="Y134" i="4"/>
  <c r="Y161" i="4"/>
  <c r="Y170" i="4"/>
  <c r="Y177" i="4"/>
  <c r="Y131" i="4"/>
  <c r="Y137" i="4"/>
  <c r="Y142" i="4"/>
  <c r="Y151" i="4"/>
  <c r="Y156" i="4"/>
  <c r="Y162" i="4"/>
  <c r="Y168" i="4"/>
  <c r="Y175" i="4"/>
  <c r="Y180" i="4"/>
  <c r="Y135" i="4"/>
  <c r="Y139" i="4"/>
  <c r="Y144" i="4"/>
  <c r="Y148" i="4"/>
  <c r="Y153" i="4"/>
  <c r="Y158" i="4"/>
  <c r="Y164" i="4"/>
  <c r="Y171" i="4"/>
  <c r="Y178" i="4"/>
  <c r="Y146" i="4"/>
  <c r="Y165" i="4"/>
  <c r="Y173" i="4"/>
  <c r="Y182" i="4"/>
  <c r="Y133" i="4"/>
  <c r="Y136" i="4"/>
  <c r="Y141" i="4"/>
  <c r="Y147" i="4"/>
  <c r="Y152" i="4"/>
  <c r="Y157" i="4"/>
  <c r="Y163" i="4"/>
  <c r="Y169" i="4"/>
  <c r="Y176" i="4"/>
  <c r="Y132" i="4"/>
  <c r="Y140" i="4"/>
  <c r="Y145" i="4"/>
  <c r="Y150" i="4"/>
  <c r="Y155" i="4"/>
  <c r="Y160" i="4"/>
  <c r="Y167" i="4"/>
  <c r="Y174" i="4"/>
  <c r="Y181" i="4"/>
  <c r="M183" i="4"/>
  <c r="K183" i="4"/>
  <c r="J183" i="4"/>
  <c r="Q85" i="4"/>
  <c r="L183" i="4"/>
  <c r="R9" i="7"/>
  <c r="W183" i="4"/>
  <c r="V183" i="4"/>
  <c r="U183" i="4"/>
  <c r="Q2" i="4"/>
  <c r="P2" i="4"/>
  <c r="Q3" i="4"/>
  <c r="P3" i="4"/>
  <c r="Q4" i="4"/>
  <c r="P4" i="4"/>
  <c r="P5" i="4"/>
  <c r="Q5" i="4"/>
  <c r="Q6" i="4"/>
  <c r="P6" i="4"/>
  <c r="Q7" i="4"/>
  <c r="P7" i="4"/>
  <c r="Q8" i="4"/>
  <c r="P8" i="4"/>
  <c r="Q9" i="4"/>
  <c r="P9" i="4"/>
  <c r="Q10" i="4"/>
  <c r="P10" i="4"/>
  <c r="Q11" i="4"/>
  <c r="P11" i="4"/>
  <c r="Q12" i="4"/>
  <c r="P12" i="4"/>
  <c r="P13" i="4"/>
  <c r="Q13" i="4"/>
  <c r="Q14" i="4"/>
  <c r="P14" i="4"/>
  <c r="Q15" i="4"/>
  <c r="P15" i="4"/>
  <c r="P16" i="4"/>
  <c r="Q16" i="4"/>
  <c r="Q17" i="4"/>
  <c r="P17" i="4"/>
  <c r="P18" i="4"/>
  <c r="Q18" i="4"/>
  <c r="Q19" i="4"/>
  <c r="P19" i="4"/>
  <c r="Q20" i="4"/>
  <c r="P20" i="4"/>
  <c r="P21" i="4"/>
  <c r="Q21" i="4"/>
  <c r="Q22" i="4"/>
  <c r="P22" i="4"/>
  <c r="Q23" i="4"/>
  <c r="P23" i="4"/>
  <c r="Q24" i="4"/>
  <c r="P24" i="4"/>
  <c r="Q25" i="4"/>
  <c r="P25" i="4"/>
  <c r="Q26" i="4"/>
  <c r="P26" i="4"/>
  <c r="Q27" i="4"/>
  <c r="P27" i="4"/>
  <c r="Q28" i="4"/>
  <c r="P28" i="4"/>
  <c r="Q29" i="4"/>
  <c r="P29" i="4"/>
  <c r="Q30" i="4"/>
  <c r="P30" i="4"/>
  <c r="Q31" i="4"/>
  <c r="P31" i="4"/>
  <c r="Q32" i="4"/>
  <c r="P32" i="4"/>
  <c r="P33" i="4"/>
  <c r="Q33" i="4"/>
  <c r="P34" i="4"/>
  <c r="Q34" i="4"/>
  <c r="P35" i="4"/>
  <c r="Q35" i="4"/>
  <c r="P36" i="4"/>
  <c r="Q36" i="4"/>
  <c r="Q37" i="4"/>
  <c r="P37" i="4"/>
  <c r="Q38" i="4"/>
  <c r="P38" i="4"/>
  <c r="P39" i="4"/>
  <c r="Q39" i="4"/>
  <c r="Q40" i="4"/>
  <c r="P40" i="4"/>
  <c r="P41" i="4"/>
  <c r="Q41" i="4"/>
  <c r="Q42" i="4"/>
  <c r="P42" i="4"/>
  <c r="Q43" i="4"/>
  <c r="P43" i="4"/>
  <c r="Q44" i="4"/>
  <c r="P44" i="4"/>
  <c r="P45" i="4"/>
  <c r="Q45" i="4"/>
  <c r="Q46" i="4"/>
  <c r="P46" i="4"/>
  <c r="Q47" i="4"/>
  <c r="P47" i="4"/>
  <c r="P48" i="4"/>
  <c r="Q48" i="4"/>
  <c r="P49" i="4"/>
  <c r="Q49" i="4"/>
  <c r="Q50" i="4"/>
  <c r="P50" i="4"/>
  <c r="P52" i="4"/>
  <c r="Q52" i="4"/>
  <c r="Q53" i="4"/>
  <c r="P53" i="4"/>
  <c r="P55" i="4"/>
  <c r="Q55" i="4"/>
  <c r="Q56" i="4"/>
  <c r="P56" i="4"/>
  <c r="Q57" i="4"/>
  <c r="P57" i="4"/>
  <c r="Q58" i="4"/>
  <c r="P58" i="4"/>
  <c r="Q59" i="4"/>
  <c r="P59" i="4"/>
  <c r="Q60" i="4"/>
  <c r="P60" i="4"/>
  <c r="Q61" i="4"/>
  <c r="P61" i="4"/>
  <c r="Q62" i="4"/>
  <c r="P62" i="4"/>
  <c r="Q63" i="4"/>
  <c r="P63" i="4"/>
  <c r="P64" i="4"/>
  <c r="Q64" i="4"/>
  <c r="Q65" i="4"/>
  <c r="P65" i="4"/>
  <c r="Q66" i="4"/>
  <c r="P66" i="4"/>
  <c r="Q67" i="4"/>
  <c r="P67" i="4"/>
  <c r="Q68" i="4"/>
  <c r="P68" i="4"/>
  <c r="Q69" i="4"/>
  <c r="P69" i="4"/>
  <c r="Q70" i="4"/>
  <c r="P70" i="4"/>
  <c r="Q71" i="4"/>
  <c r="P71" i="4"/>
  <c r="P72" i="4"/>
  <c r="Q72" i="4"/>
  <c r="Q73" i="4"/>
  <c r="P73" i="4"/>
  <c r="P74" i="4"/>
  <c r="Q74" i="4"/>
  <c r="Q76" i="4"/>
  <c r="P76" i="4"/>
  <c r="P77" i="4"/>
  <c r="Q77" i="4"/>
  <c r="Q78" i="4"/>
  <c r="P78" i="4"/>
  <c r="P79" i="4"/>
  <c r="Q79" i="4"/>
  <c r="Q80" i="4"/>
  <c r="P80" i="4"/>
  <c r="Q81" i="4"/>
  <c r="P81" i="4"/>
  <c r="Z91" i="4" l="1"/>
  <c r="AA91" i="4"/>
  <c r="AB91" i="4" s="1"/>
  <c r="AA90" i="4"/>
  <c r="Z90" i="4"/>
  <c r="Z92" i="4"/>
  <c r="AA92" i="4"/>
  <c r="AA93" i="4"/>
  <c r="Z93" i="4"/>
  <c r="Z119" i="4"/>
  <c r="AA119" i="4"/>
  <c r="Z120" i="4"/>
  <c r="AA120" i="4"/>
  <c r="Z121" i="4"/>
  <c r="AA121" i="4"/>
  <c r="Z122" i="4"/>
  <c r="AA122" i="4"/>
  <c r="Z123" i="4"/>
  <c r="AA123" i="4"/>
  <c r="AA124" i="4"/>
  <c r="Z124" i="4"/>
  <c r="Z116" i="4"/>
  <c r="AA116" i="4"/>
  <c r="Z117" i="4"/>
  <c r="AA117" i="4"/>
  <c r="Z118" i="4"/>
  <c r="AA118" i="4"/>
  <c r="AA94" i="4"/>
  <c r="Z94" i="4"/>
  <c r="Z95" i="4"/>
  <c r="AA95" i="4"/>
  <c r="Z107" i="4"/>
  <c r="AA107" i="4"/>
  <c r="Z108" i="4"/>
  <c r="AA108" i="4"/>
  <c r="Z109" i="4"/>
  <c r="AA109" i="4"/>
  <c r="Z110" i="4"/>
  <c r="AA110" i="4"/>
  <c r="Z111" i="4"/>
  <c r="AA111" i="4"/>
  <c r="Z112" i="4"/>
  <c r="AA112" i="4"/>
  <c r="Z113" i="4"/>
  <c r="AA113" i="4"/>
  <c r="Z114" i="4"/>
  <c r="AA114" i="4"/>
  <c r="Z115" i="4"/>
  <c r="AA115" i="4"/>
  <c r="Z104" i="4"/>
  <c r="AA104" i="4"/>
  <c r="Z105" i="4"/>
  <c r="AA105" i="4"/>
  <c r="Z106" i="4"/>
  <c r="AA106" i="4"/>
  <c r="Z96" i="4"/>
  <c r="AA96" i="4"/>
  <c r="Z97" i="4"/>
  <c r="AA97" i="4"/>
  <c r="Z98" i="4"/>
  <c r="AA98" i="4"/>
  <c r="Z99" i="4"/>
  <c r="AA99" i="4"/>
  <c r="Z100" i="4"/>
  <c r="AA100" i="4"/>
  <c r="Z101" i="4"/>
  <c r="AA101" i="4"/>
  <c r="Z102" i="4"/>
  <c r="AA102" i="4"/>
  <c r="Z103" i="4"/>
  <c r="AA103" i="4"/>
  <c r="AB103" i="4" s="1"/>
  <c r="AA125" i="4"/>
  <c r="Z125" i="4"/>
  <c r="AA126" i="4"/>
  <c r="Z126" i="4"/>
  <c r="Z134" i="4"/>
  <c r="AA134" i="4"/>
  <c r="Z127" i="4"/>
  <c r="AA127" i="4"/>
  <c r="Z128" i="4"/>
  <c r="AA128" i="4"/>
  <c r="Z129" i="4"/>
  <c r="AA129" i="4"/>
  <c r="Z130" i="4"/>
  <c r="AA130" i="4"/>
  <c r="Z138" i="4"/>
  <c r="AA138" i="4"/>
  <c r="Z143" i="4"/>
  <c r="AA143" i="4"/>
  <c r="AA159" i="4"/>
  <c r="Z159" i="4"/>
  <c r="Z166" i="4"/>
  <c r="AA166" i="4"/>
  <c r="AA172" i="4"/>
  <c r="Z172" i="4"/>
  <c r="Z179" i="4"/>
  <c r="AA179" i="4"/>
  <c r="Z161" i="4"/>
  <c r="AA161" i="4"/>
  <c r="AA170" i="4"/>
  <c r="Z170" i="4"/>
  <c r="Z177" i="4"/>
  <c r="AA177" i="4"/>
  <c r="AA137" i="4"/>
  <c r="Z137" i="4"/>
  <c r="AA142" i="4"/>
  <c r="Z142" i="4"/>
  <c r="Z162" i="4"/>
  <c r="AA162" i="4"/>
  <c r="AA168" i="4"/>
  <c r="Z168" i="4"/>
  <c r="Z175" i="4"/>
  <c r="AA175" i="4"/>
  <c r="Z180" i="4"/>
  <c r="AA180" i="4"/>
  <c r="Z139" i="4"/>
  <c r="AA139" i="4"/>
  <c r="AA164" i="4"/>
  <c r="Z164" i="4"/>
  <c r="Z178" i="4"/>
  <c r="AA178" i="4"/>
  <c r="AA165" i="4"/>
  <c r="Z165" i="4"/>
  <c r="Z182" i="4"/>
  <c r="AA182" i="4"/>
  <c r="Z169" i="4"/>
  <c r="AA169" i="4"/>
  <c r="Z167" i="4"/>
  <c r="AA167" i="4"/>
  <c r="Z181" i="4"/>
  <c r="AA181" i="4"/>
  <c r="Z149" i="4"/>
  <c r="AA149" i="4"/>
  <c r="Z154" i="4"/>
  <c r="AA154" i="4"/>
  <c r="Z151" i="4"/>
  <c r="AA151" i="4"/>
  <c r="Z156" i="4"/>
  <c r="AA156" i="4"/>
  <c r="AA144" i="4"/>
  <c r="Z144" i="4"/>
  <c r="AB144" i="4" s="1"/>
  <c r="Z153" i="4"/>
  <c r="AA153" i="4"/>
  <c r="Z158" i="4"/>
  <c r="AA158" i="4"/>
  <c r="Z157" i="4"/>
  <c r="AA157" i="4"/>
  <c r="Z163" i="4"/>
  <c r="AA163" i="4"/>
  <c r="Z155" i="4"/>
  <c r="AA155" i="4"/>
  <c r="Z160" i="4"/>
  <c r="AA160" i="4"/>
  <c r="AA146" i="4"/>
  <c r="Z146" i="4"/>
  <c r="AB146" i="4" s="1"/>
  <c r="Z152" i="4"/>
  <c r="AA152" i="4"/>
  <c r="Z148" i="4"/>
  <c r="AA148" i="4"/>
  <c r="Z147" i="4"/>
  <c r="AA147" i="4"/>
  <c r="Z150" i="4"/>
  <c r="AA150" i="4"/>
  <c r="AA86" i="4"/>
  <c r="Z86" i="4"/>
  <c r="AB86" i="4" s="1"/>
  <c r="Z131" i="4"/>
  <c r="AA131" i="4"/>
  <c r="Z135" i="4"/>
  <c r="AA135" i="4"/>
  <c r="Z133" i="4"/>
  <c r="AA133" i="4"/>
  <c r="Z136" i="4"/>
  <c r="AA136" i="4"/>
  <c r="Z141" i="4"/>
  <c r="AA141" i="4"/>
  <c r="Z132" i="4"/>
  <c r="AA132" i="4"/>
  <c r="Z140" i="4"/>
  <c r="AA140" i="4"/>
  <c r="Z145" i="4"/>
  <c r="AA145" i="4"/>
  <c r="Z171" i="4"/>
  <c r="AA171" i="4"/>
  <c r="Z173" i="4"/>
  <c r="AA173" i="4"/>
  <c r="Z176" i="4"/>
  <c r="AA176" i="4"/>
  <c r="Z174" i="4"/>
  <c r="AA174" i="4"/>
  <c r="Z87" i="4"/>
  <c r="AA87" i="4"/>
  <c r="AA89" i="4"/>
  <c r="Z89" i="4"/>
  <c r="Z88" i="4"/>
  <c r="AA88" i="4"/>
  <c r="S85" i="4"/>
  <c r="N85" i="4"/>
  <c r="N84" i="4"/>
  <c r="S84" i="4"/>
  <c r="S83" i="4"/>
  <c r="N83" i="4"/>
  <c r="P183" i="4"/>
  <c r="Q183" i="4"/>
  <c r="O81" i="4"/>
  <c r="AA82" i="4"/>
  <c r="Z82" i="4"/>
  <c r="AB90" i="4" l="1"/>
  <c r="AB114" i="4"/>
  <c r="AB92" i="4"/>
  <c r="AB93" i="4"/>
  <c r="AB94" i="4"/>
  <c r="AB95" i="4"/>
  <c r="AB104" i="4"/>
  <c r="AB119" i="4"/>
  <c r="AB120" i="4"/>
  <c r="AB121" i="4"/>
  <c r="AB122" i="4"/>
  <c r="AB123" i="4"/>
  <c r="AB124" i="4"/>
  <c r="AB116" i="4"/>
  <c r="AB117" i="4"/>
  <c r="AB118" i="4"/>
  <c r="AB101" i="4"/>
  <c r="AB102" i="4"/>
  <c r="AB107" i="4"/>
  <c r="AB108" i="4"/>
  <c r="AB109" i="4"/>
  <c r="AB110" i="4"/>
  <c r="AB111" i="4"/>
  <c r="AB112" i="4"/>
  <c r="AB113" i="4"/>
  <c r="Y85" i="4"/>
  <c r="AB172" i="4"/>
  <c r="AB115" i="4"/>
  <c r="AB126" i="4"/>
  <c r="AB134" i="4"/>
  <c r="AB127" i="4"/>
  <c r="AB128" i="4"/>
  <c r="AB129" i="4"/>
  <c r="AB130" i="4"/>
  <c r="AB105" i="4"/>
  <c r="AB106" i="4"/>
  <c r="AB100" i="4"/>
  <c r="AB179" i="4"/>
  <c r="AB177" i="4"/>
  <c r="AB180" i="4"/>
  <c r="AB96" i="4"/>
  <c r="AB97" i="4"/>
  <c r="AB98" i="4"/>
  <c r="AB99" i="4"/>
  <c r="AB182" i="4"/>
  <c r="AB125" i="4"/>
  <c r="AB178" i="4"/>
  <c r="AB139" i="4"/>
  <c r="Y83" i="4"/>
  <c r="AB138" i="4"/>
  <c r="AB143" i="4"/>
  <c r="AB159" i="4"/>
  <c r="AB166" i="4"/>
  <c r="AB161" i="4"/>
  <c r="AB170" i="4"/>
  <c r="AB137" i="4"/>
  <c r="AB142" i="4"/>
  <c r="AB162" i="4"/>
  <c r="AB168" i="4"/>
  <c r="AB175" i="4"/>
  <c r="AB164" i="4"/>
  <c r="AB165" i="4"/>
  <c r="AB169" i="4"/>
  <c r="AB167" i="4"/>
  <c r="AB181" i="4"/>
  <c r="AB156" i="4"/>
  <c r="AB140" i="4"/>
  <c r="AB149" i="4"/>
  <c r="AB154" i="4"/>
  <c r="AB151" i="4"/>
  <c r="AB153" i="4"/>
  <c r="AB158" i="4"/>
  <c r="AB157" i="4"/>
  <c r="AB163" i="4"/>
  <c r="AB155" i="4"/>
  <c r="AB160" i="4"/>
  <c r="AB148" i="4"/>
  <c r="AB147" i="4"/>
  <c r="AB131" i="4"/>
  <c r="AB133" i="4"/>
  <c r="AB136" i="4"/>
  <c r="AB141" i="4"/>
  <c r="AB132" i="4"/>
  <c r="AB145" i="4"/>
  <c r="AB171" i="4"/>
  <c r="AB173" i="4"/>
  <c r="AB176" i="4"/>
  <c r="AB174" i="4"/>
  <c r="AB152" i="4"/>
  <c r="AB135" i="4"/>
  <c r="AB150" i="4"/>
  <c r="Y84" i="4"/>
  <c r="AB88" i="4"/>
  <c r="AB89" i="4"/>
  <c r="AB87" i="4"/>
  <c r="N81" i="4"/>
  <c r="S81" i="4"/>
  <c r="O80" i="4"/>
  <c r="O79" i="4"/>
  <c r="O77" i="4"/>
  <c r="O78" i="4"/>
  <c r="O76" i="4"/>
  <c r="O69" i="4"/>
  <c r="O70" i="4"/>
  <c r="O71" i="4"/>
  <c r="O72" i="4"/>
  <c r="O73" i="4"/>
  <c r="O74" i="4"/>
  <c r="O75" i="4"/>
  <c r="AB82" i="4"/>
  <c r="AA85" i="4" l="1"/>
  <c r="Z85" i="4"/>
  <c r="AB85" i="4"/>
  <c r="Y81" i="4"/>
  <c r="Z83" i="4"/>
  <c r="AA83" i="4"/>
  <c r="AA84" i="4"/>
  <c r="Z84" i="4"/>
  <c r="N80" i="4"/>
  <c r="S80" i="4"/>
  <c r="N79" i="4"/>
  <c r="S79" i="4"/>
  <c r="S78" i="4"/>
  <c r="N78" i="4"/>
  <c r="Y78" i="4" s="1"/>
  <c r="S76" i="4"/>
  <c r="N76" i="4"/>
  <c r="Y76" i="4" s="1"/>
  <c r="N69" i="4"/>
  <c r="S69" i="4"/>
  <c r="S72" i="4"/>
  <c r="N72" i="4"/>
  <c r="Y72" i="4" s="1"/>
  <c r="N75" i="4"/>
  <c r="S75" i="4"/>
  <c r="P2" i="7"/>
  <c r="Q2" i="7"/>
  <c r="S2" i="7"/>
  <c r="P3" i="7"/>
  <c r="Q3" i="7"/>
  <c r="O3" i="7"/>
  <c r="S3" i="7"/>
  <c r="Q4" i="7"/>
  <c r="O4" i="7"/>
  <c r="S4" i="7"/>
  <c r="P5" i="7"/>
  <c r="Q5" i="7"/>
  <c r="O5" i="7"/>
  <c r="S5" i="7"/>
  <c r="P6" i="7"/>
  <c r="Q6" i="7"/>
  <c r="O6" i="7"/>
  <c r="S6" i="7"/>
  <c r="P7" i="7"/>
  <c r="Q7" i="7"/>
  <c r="O7" i="7"/>
  <c r="S7" i="7"/>
  <c r="P8" i="7"/>
  <c r="Q8" i="7"/>
  <c r="O8" i="7"/>
  <c r="S8" i="7"/>
  <c r="S77" i="4"/>
  <c r="N77" i="4"/>
  <c r="S70" i="4"/>
  <c r="N70" i="4"/>
  <c r="Y70" i="4" s="1"/>
  <c r="N71" i="4"/>
  <c r="S71" i="4"/>
  <c r="S73" i="4"/>
  <c r="N73" i="4"/>
  <c r="S74" i="4"/>
  <c r="N74" i="4"/>
  <c r="Y74" i="4" s="1"/>
  <c r="Y73" i="4" l="1"/>
  <c r="Y77" i="4"/>
  <c r="AB83" i="4"/>
  <c r="Y75" i="4"/>
  <c r="Y69" i="4"/>
  <c r="Y80" i="4"/>
  <c r="Y79" i="4"/>
  <c r="Y71" i="4"/>
  <c r="Z81" i="4"/>
  <c r="AA81" i="4"/>
  <c r="AB84" i="4"/>
  <c r="O2" i="7"/>
  <c r="O9" i="7" s="1"/>
  <c r="I9" i="7"/>
  <c r="P4" i="7"/>
  <c r="J9" i="7"/>
  <c r="Q9" i="7"/>
  <c r="P9" i="7"/>
  <c r="S9" i="7"/>
  <c r="N2" i="7"/>
  <c r="H9" i="7"/>
  <c r="T2" i="7"/>
  <c r="N3" i="7"/>
  <c r="V3" i="7" s="1"/>
  <c r="T3" i="7"/>
  <c r="N4" i="7"/>
  <c r="T4" i="7"/>
  <c r="T5" i="7"/>
  <c r="N5" i="7"/>
  <c r="V5" i="7" s="1"/>
  <c r="T6" i="7"/>
  <c r="N6" i="7"/>
  <c r="V6" i="7" s="1"/>
  <c r="T7" i="7"/>
  <c r="N7" i="7"/>
  <c r="V7" i="7" s="1"/>
  <c r="T8" i="7"/>
  <c r="N8" i="7"/>
  <c r="V8" i="7" s="1"/>
  <c r="Z74" i="4"/>
  <c r="AA74" i="4"/>
  <c r="Z78" i="4"/>
  <c r="AA78" i="4"/>
  <c r="AA72" i="4"/>
  <c r="Z72" i="4"/>
  <c r="Z76" i="4"/>
  <c r="AA76" i="4"/>
  <c r="Z77" i="4" l="1"/>
  <c r="AA77" i="4"/>
  <c r="AB81" i="4"/>
  <c r="AA69" i="4"/>
  <c r="Z69" i="4"/>
  <c r="AA75" i="4"/>
  <c r="Z75" i="4"/>
  <c r="AA73" i="4"/>
  <c r="Z73" i="4"/>
  <c r="AA80" i="4"/>
  <c r="Z80" i="4"/>
  <c r="Z79" i="4"/>
  <c r="AA79" i="4"/>
  <c r="Z70" i="4"/>
  <c r="AA70" i="4"/>
  <c r="N9" i="7"/>
  <c r="V2" i="7"/>
  <c r="T9" i="7"/>
  <c r="V4" i="7"/>
  <c r="AB76" i="4"/>
  <c r="AB78" i="4"/>
  <c r="AB74" i="4"/>
  <c r="AB72" i="4"/>
  <c r="Z71" i="4"/>
  <c r="AA71" i="4"/>
  <c r="AB77" i="4" l="1"/>
  <c r="AB73" i="4"/>
  <c r="AB69" i="4"/>
  <c r="AB75" i="4"/>
  <c r="AB79" i="4"/>
  <c r="AB80" i="4"/>
  <c r="AB70" i="4"/>
  <c r="AB71" i="4"/>
  <c r="O57" i="4" l="1"/>
  <c r="O58" i="4"/>
  <c r="O59" i="4"/>
  <c r="S60" i="4"/>
  <c r="N60" i="4"/>
  <c r="O60" i="4"/>
  <c r="O61" i="4"/>
  <c r="O62" i="4"/>
  <c r="O63" i="4"/>
  <c r="O64" i="4"/>
  <c r="O65" i="4"/>
  <c r="O66" i="4"/>
  <c r="O67" i="4"/>
  <c r="O68" i="4"/>
  <c r="Y60" i="4" l="1"/>
  <c r="N58" i="4"/>
  <c r="S58" i="4"/>
  <c r="N61" i="4"/>
  <c r="S61" i="4"/>
  <c r="S62" i="4"/>
  <c r="N62" i="4"/>
  <c r="Y62" i="4" s="1"/>
  <c r="N63" i="4"/>
  <c r="S63" i="4"/>
  <c r="S65" i="4"/>
  <c r="N65" i="4"/>
  <c r="Y65" i="4" s="1"/>
  <c r="N68" i="4"/>
  <c r="S68" i="4"/>
  <c r="S57" i="4"/>
  <c r="N57" i="4"/>
  <c r="Y57" i="4" s="1"/>
  <c r="S59" i="4"/>
  <c r="N59" i="4"/>
  <c r="Y59" i="4" s="1"/>
  <c r="S64" i="4"/>
  <c r="N64" i="4"/>
  <c r="Y64" i="4" s="1"/>
  <c r="N66" i="4"/>
  <c r="S66" i="4"/>
  <c r="N67" i="4"/>
  <c r="Y67" i="4" s="1"/>
  <c r="S67" i="4"/>
  <c r="Y58" i="4" l="1"/>
  <c r="Y61" i="4"/>
  <c r="Y66" i="4"/>
  <c r="Y63" i="4"/>
  <c r="Y68" i="4"/>
  <c r="Z62" i="4"/>
  <c r="AA62" i="4"/>
  <c r="Z60" i="4"/>
  <c r="AA60" i="4"/>
  <c r="Z65" i="4"/>
  <c r="AA65" i="4"/>
  <c r="O56" i="4"/>
  <c r="Z57" i="4" l="1"/>
  <c r="AA57" i="4"/>
  <c r="Z58" i="4"/>
  <c r="AA58" i="4"/>
  <c r="AA68" i="4"/>
  <c r="Z68" i="4"/>
  <c r="Z63" i="4"/>
  <c r="AA63" i="4"/>
  <c r="AA61" i="4"/>
  <c r="Z61" i="4"/>
  <c r="N56" i="4"/>
  <c r="S56" i="4"/>
  <c r="AB65" i="4"/>
  <c r="AB62" i="4"/>
  <c r="Z64" i="4"/>
  <c r="AA64" i="4"/>
  <c r="AA59" i="4"/>
  <c r="Z59" i="4"/>
  <c r="Z66" i="4"/>
  <c r="AA66" i="4"/>
  <c r="Z67" i="4"/>
  <c r="AA67" i="4"/>
  <c r="AB60" i="4"/>
  <c r="AB57" i="4" l="1"/>
  <c r="AB58" i="4"/>
  <c r="Y56" i="4"/>
  <c r="AB63" i="4"/>
  <c r="AB68" i="4"/>
  <c r="AB61" i="4"/>
  <c r="AB64" i="4"/>
  <c r="AB59" i="4"/>
  <c r="AB67" i="4"/>
  <c r="AB66" i="4"/>
  <c r="AA56" i="4" l="1"/>
  <c r="Z56" i="4"/>
  <c r="O55" i="4"/>
  <c r="AB56" i="4" l="1"/>
  <c r="N55" i="4"/>
  <c r="S55" i="4"/>
  <c r="Y55" i="4" l="1"/>
  <c r="Z55" i="4" l="1"/>
  <c r="AA55" i="4"/>
  <c r="AB55" i="4" l="1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R183" i="4" l="1"/>
  <c r="O2" i="4"/>
  <c r="O183" i="4" s="1"/>
  <c r="N3" i="4" l="1"/>
  <c r="S3" i="4"/>
  <c r="N4" i="4"/>
  <c r="S4" i="4"/>
  <c r="N5" i="4"/>
  <c r="S5" i="4"/>
  <c r="N6" i="4"/>
  <c r="S6" i="4"/>
  <c r="N7" i="4"/>
  <c r="S7" i="4"/>
  <c r="N8" i="4"/>
  <c r="S8" i="4"/>
  <c r="N9" i="4"/>
  <c r="S9" i="4"/>
  <c r="N10" i="4"/>
  <c r="S10" i="4"/>
  <c r="N11" i="4"/>
  <c r="S11" i="4"/>
  <c r="N12" i="4"/>
  <c r="S12" i="4"/>
  <c r="N13" i="4"/>
  <c r="S13" i="4"/>
  <c r="S14" i="4"/>
  <c r="N14" i="4"/>
  <c r="Y14" i="4" s="1"/>
  <c r="N15" i="4"/>
  <c r="S15" i="4"/>
  <c r="S16" i="4"/>
  <c r="N16" i="4"/>
  <c r="N17" i="4"/>
  <c r="S17" i="4"/>
  <c r="S19" i="4"/>
  <c r="N19" i="4"/>
  <c r="S20" i="4"/>
  <c r="N20" i="4"/>
  <c r="Y20" i="4" s="1"/>
  <c r="S21" i="4"/>
  <c r="N21" i="4"/>
  <c r="N22" i="4"/>
  <c r="S22" i="4"/>
  <c r="S23" i="4"/>
  <c r="N23" i="4"/>
  <c r="N24" i="4"/>
  <c r="S24" i="4"/>
  <c r="N25" i="4"/>
  <c r="S25" i="4"/>
  <c r="S26" i="4"/>
  <c r="N26" i="4"/>
  <c r="Y26" i="4" s="1"/>
  <c r="S27" i="4"/>
  <c r="N27" i="4"/>
  <c r="Y27" i="4" s="1"/>
  <c r="S28" i="4"/>
  <c r="N28" i="4"/>
  <c r="Y28" i="4" s="1"/>
  <c r="N29" i="4"/>
  <c r="S29" i="4"/>
  <c r="S30" i="4"/>
  <c r="N30" i="4"/>
  <c r="Y30" i="4" s="1"/>
  <c r="N31" i="4"/>
  <c r="S31" i="4"/>
  <c r="N32" i="4"/>
  <c r="S32" i="4"/>
  <c r="N33" i="4"/>
  <c r="S33" i="4"/>
  <c r="N34" i="4"/>
  <c r="S34" i="4"/>
  <c r="S35" i="4"/>
  <c r="N35" i="4"/>
  <c r="S36" i="4"/>
  <c r="N36" i="4"/>
  <c r="Y36" i="4" s="1"/>
  <c r="S37" i="4"/>
  <c r="N37" i="4"/>
  <c r="Y37" i="4" s="1"/>
  <c r="N38" i="4"/>
  <c r="S38" i="4"/>
  <c r="S39" i="4"/>
  <c r="N39" i="4"/>
  <c r="N40" i="4"/>
  <c r="S40" i="4"/>
  <c r="N41" i="4"/>
  <c r="S41" i="4"/>
  <c r="N42" i="4"/>
  <c r="S42" i="4"/>
  <c r="N43" i="4"/>
  <c r="S43" i="4"/>
  <c r="N44" i="4"/>
  <c r="S44" i="4"/>
  <c r="S45" i="4"/>
  <c r="N45" i="4"/>
  <c r="Y45" i="4" s="1"/>
  <c r="N46" i="4"/>
  <c r="S46" i="4"/>
  <c r="N47" i="4"/>
  <c r="S47" i="4"/>
  <c r="N48" i="4"/>
  <c r="S48" i="4"/>
  <c r="N49" i="4"/>
  <c r="S49" i="4"/>
  <c r="S50" i="4"/>
  <c r="N50" i="4"/>
  <c r="S51" i="4"/>
  <c r="N51" i="4"/>
  <c r="Y51" i="4" s="1"/>
  <c r="N52" i="4"/>
  <c r="S52" i="4"/>
  <c r="S53" i="4"/>
  <c r="N53" i="4"/>
  <c r="N54" i="4"/>
  <c r="S54" i="4"/>
  <c r="Y35" i="4" l="1"/>
  <c r="Y16" i="4"/>
  <c r="Y31" i="4"/>
  <c r="Y50" i="4"/>
  <c r="Y23" i="4"/>
  <c r="Y25" i="4"/>
  <c r="Y53" i="4"/>
  <c r="Y21" i="4"/>
  <c r="Y13" i="4"/>
  <c r="Y10" i="4"/>
  <c r="Y19" i="4"/>
  <c r="Y24" i="4"/>
  <c r="Y29" i="4"/>
  <c r="Y39" i="4"/>
  <c r="Y3" i="4"/>
  <c r="Y33" i="4"/>
  <c r="Y4" i="4"/>
  <c r="Y5" i="4"/>
  <c r="Y6" i="4"/>
  <c r="Y7" i="4"/>
  <c r="Y8" i="4"/>
  <c r="Y9" i="4"/>
  <c r="Y32" i="4"/>
  <c r="Y11" i="4"/>
  <c r="Y12" i="4"/>
  <c r="Y15" i="4"/>
  <c r="Y17" i="4"/>
  <c r="Y22" i="4"/>
  <c r="Y34" i="4"/>
  <c r="Y38" i="4"/>
  <c r="Y40" i="4"/>
  <c r="Y41" i="4"/>
  <c r="Y42" i="4"/>
  <c r="Y43" i="4"/>
  <c r="Y44" i="4"/>
  <c r="Y46" i="4"/>
  <c r="Y47" i="4"/>
  <c r="Y48" i="4"/>
  <c r="Y49" i="4"/>
  <c r="Y52" i="4"/>
  <c r="Y54" i="4"/>
  <c r="Z20" i="4"/>
  <c r="AA20" i="4"/>
  <c r="AA26" i="4"/>
  <c r="Z26" i="4"/>
  <c r="Z27" i="4"/>
  <c r="AA27" i="4"/>
  <c r="Z28" i="4"/>
  <c r="AA28" i="4"/>
  <c r="Z35" i="4"/>
  <c r="AA35" i="4"/>
  <c r="Z36" i="4"/>
  <c r="AA36" i="4"/>
  <c r="AA37" i="4"/>
  <c r="Z37" i="4"/>
  <c r="N2" i="4"/>
  <c r="S2" i="4"/>
  <c r="Z16" i="4" l="1"/>
  <c r="AA16" i="4"/>
  <c r="Z50" i="4"/>
  <c r="AA50" i="4"/>
  <c r="AA53" i="4"/>
  <c r="Z53" i="4"/>
  <c r="Z21" i="4"/>
  <c r="AA21" i="4"/>
  <c r="Z19" i="4"/>
  <c r="AA19" i="4"/>
  <c r="Z39" i="4"/>
  <c r="AA39" i="4"/>
  <c r="Y2" i="4"/>
  <c r="Z14" i="4"/>
  <c r="AA14" i="4"/>
  <c r="AA23" i="4"/>
  <c r="Z23" i="4"/>
  <c r="AA51" i="4"/>
  <c r="Z51" i="4"/>
  <c r="Z30" i="4"/>
  <c r="AA30" i="4"/>
  <c r="Z24" i="4"/>
  <c r="AA24" i="4"/>
  <c r="AB20" i="4"/>
  <c r="AB27" i="4"/>
  <c r="AB28" i="4"/>
  <c r="AB35" i="4"/>
  <c r="AB36" i="4"/>
  <c r="Z43" i="4"/>
  <c r="AA43" i="4"/>
  <c r="Z45" i="4"/>
  <c r="AA45" i="4"/>
  <c r="AA3" i="4"/>
  <c r="Z3" i="4"/>
  <c r="Z4" i="4"/>
  <c r="AA4" i="4"/>
  <c r="Z5" i="4"/>
  <c r="AA5" i="4"/>
  <c r="AA6" i="4"/>
  <c r="Z6" i="4"/>
  <c r="Z7" i="4"/>
  <c r="AA7" i="4"/>
  <c r="AA8" i="4"/>
  <c r="Z8" i="4"/>
  <c r="AA9" i="4"/>
  <c r="Z9" i="4"/>
  <c r="Z10" i="4"/>
  <c r="AA10" i="4"/>
  <c r="AA11" i="4"/>
  <c r="Z11" i="4"/>
  <c r="Z12" i="4"/>
  <c r="AA12" i="4"/>
  <c r="AA13" i="4"/>
  <c r="Z13" i="4"/>
  <c r="AA15" i="4"/>
  <c r="Z15" i="4"/>
  <c r="AA17" i="4"/>
  <c r="Z17" i="4"/>
  <c r="AA22" i="4"/>
  <c r="Z22" i="4"/>
  <c r="AA25" i="4"/>
  <c r="Z25" i="4"/>
  <c r="Z29" i="4"/>
  <c r="AA29" i="4"/>
  <c r="AA31" i="4"/>
  <c r="Z31" i="4"/>
  <c r="AA32" i="4"/>
  <c r="Z32" i="4"/>
  <c r="Z33" i="4"/>
  <c r="AA33" i="4"/>
  <c r="Z34" i="4"/>
  <c r="AA34" i="4"/>
  <c r="Z38" i="4"/>
  <c r="AA38" i="4"/>
  <c r="Z40" i="4"/>
  <c r="AA40" i="4"/>
  <c r="Z41" i="4"/>
  <c r="AA41" i="4"/>
  <c r="Z42" i="4"/>
  <c r="AA42" i="4"/>
  <c r="AA44" i="4"/>
  <c r="Z44" i="4"/>
  <c r="AA46" i="4"/>
  <c r="Z46" i="4"/>
  <c r="Z47" i="4"/>
  <c r="AA47" i="4"/>
  <c r="Z48" i="4"/>
  <c r="AA48" i="4"/>
  <c r="AA49" i="4"/>
  <c r="Z49" i="4"/>
  <c r="AA52" i="4"/>
  <c r="Z52" i="4"/>
  <c r="Z54" i="4"/>
  <c r="AA54" i="4"/>
  <c r="AB26" i="4"/>
  <c r="AB37" i="4"/>
  <c r="AB16" i="4" l="1"/>
  <c r="AB50" i="4"/>
  <c r="AB53" i="4"/>
  <c r="AB21" i="4"/>
  <c r="AB39" i="4"/>
  <c r="AB19" i="4"/>
  <c r="AB14" i="4"/>
  <c r="AB30" i="4"/>
  <c r="AB24" i="4"/>
  <c r="AB23" i="4"/>
  <c r="AB51" i="4"/>
  <c r="AB47" i="4"/>
  <c r="AB43" i="4"/>
  <c r="AB45" i="4"/>
  <c r="AB4" i="4"/>
  <c r="AB7" i="4"/>
  <c r="AB10" i="4"/>
  <c r="AB12" i="4"/>
  <c r="AB29" i="4"/>
  <c r="AB33" i="4"/>
  <c r="AB41" i="4"/>
  <c r="AB42" i="4"/>
  <c r="AB48" i="4"/>
  <c r="AB54" i="4"/>
  <c r="AB38" i="4"/>
  <c r="AB40" i="4"/>
  <c r="AB49" i="4"/>
  <c r="AB5" i="4"/>
  <c r="AB32" i="4"/>
  <c r="Z2" i="4"/>
  <c r="AA2" i="4"/>
  <c r="AB3" i="4"/>
  <c r="AB6" i="4"/>
  <c r="AB8" i="4"/>
  <c r="AB9" i="4"/>
  <c r="AB11" i="4"/>
  <c r="AB13" i="4"/>
  <c r="AB15" i="4"/>
  <c r="AB17" i="4"/>
  <c r="AB22" i="4"/>
  <c r="AB25" i="4"/>
  <c r="AB31" i="4"/>
  <c r="AB52" i="4"/>
  <c r="AB34" i="4"/>
  <c r="AB44" i="4"/>
  <c r="AB46" i="4"/>
  <c r="I183" i="4"/>
  <c r="S18" i="4"/>
  <c r="S183" i="4" s="1"/>
  <c r="N18" i="4"/>
  <c r="Y18" i="4" l="1"/>
  <c r="AB2" i="4"/>
  <c r="N183" i="4"/>
  <c r="Z18" i="4" l="1"/>
  <c r="Z183" i="4" s="1"/>
  <c r="AA18" i="4"/>
  <c r="Y183" i="4"/>
  <c r="AA183" i="4" l="1"/>
  <c r="AB18" i="4"/>
  <c r="X2" i="7"/>
  <c r="W2" i="7"/>
  <c r="F184" i="2" l="1"/>
  <c r="AB183" i="4"/>
  <c r="Y2" i="7"/>
  <c r="W3" i="7"/>
  <c r="X3" i="7"/>
  <c r="Y3" i="7" l="1"/>
  <c r="W5" i="7" l="1"/>
  <c r="X6" i="7"/>
  <c r="X7" i="7"/>
  <c r="X5" i="7"/>
  <c r="X4" i="7"/>
  <c r="V9" i="7"/>
  <c r="X8" i="7"/>
  <c r="W4" i="7"/>
  <c r="W6" i="7"/>
  <c r="W8" i="7"/>
  <c r="W7" i="7"/>
  <c r="W9" i="7" l="1"/>
  <c r="Y5" i="7"/>
  <c r="Y7" i="7"/>
  <c r="Y8" i="7"/>
  <c r="Y4" i="7"/>
  <c r="X9" i="7"/>
  <c r="Y6" i="7"/>
  <c r="Y9" i="7" l="1"/>
</calcChain>
</file>

<file path=xl/sharedStrings.xml><?xml version="1.0" encoding="utf-8"?>
<sst xmlns="http://schemas.openxmlformats.org/spreadsheetml/2006/main" count="2130" uniqueCount="995">
  <si>
    <t>Employee Code</t>
  </si>
  <si>
    <t>Age</t>
  </si>
  <si>
    <t>Gender</t>
  </si>
  <si>
    <t>Net Pay</t>
  </si>
  <si>
    <t>C0129</t>
  </si>
  <si>
    <t>KALU</t>
  </si>
  <si>
    <t>AGWU</t>
  </si>
  <si>
    <t>M</t>
  </si>
  <si>
    <t>IDI - IDI_ORO</t>
  </si>
  <si>
    <t>C0293</t>
  </si>
  <si>
    <t>OLANIYAN</t>
  </si>
  <si>
    <t>OLAKUNLE</t>
  </si>
  <si>
    <t>ELECTRICIAN</t>
  </si>
  <si>
    <t>C0585</t>
  </si>
  <si>
    <t>FEMI</t>
  </si>
  <si>
    <t>BELLO</t>
  </si>
  <si>
    <t>SCAFFOLDER  SUPERVISOR</t>
  </si>
  <si>
    <t>C0974</t>
  </si>
  <si>
    <t>ETUERI</t>
  </si>
  <si>
    <t>STEPHEN</t>
  </si>
  <si>
    <t>MACHINE SHOP SUPRITENDENT</t>
  </si>
  <si>
    <t>C1001</t>
  </si>
  <si>
    <t>GBADAMOSI</t>
  </si>
  <si>
    <t>JIMOH</t>
  </si>
  <si>
    <t>BLASTER&amp; PAINTER SUPERVISOR</t>
  </si>
  <si>
    <t>AGEGE - AGEGE</t>
  </si>
  <si>
    <t>C1035</t>
  </si>
  <si>
    <t>EJEH</t>
  </si>
  <si>
    <t>DONATUS</t>
  </si>
  <si>
    <t>RIGGER AND CRANE OPERATOR</t>
  </si>
  <si>
    <t>C1065</t>
  </si>
  <si>
    <t>OGHENERIE</t>
  </si>
  <si>
    <t>VINCENT</t>
  </si>
  <si>
    <t>FITTER 1</t>
  </si>
  <si>
    <t>C1078</t>
  </si>
  <si>
    <t>LUKPATA</t>
  </si>
  <si>
    <t>MATHIAS</t>
  </si>
  <si>
    <t>FORKLIFT OPERATOR</t>
  </si>
  <si>
    <t>C1096</t>
  </si>
  <si>
    <t>ADEDOYIN</t>
  </si>
  <si>
    <t>MECHANIC</t>
  </si>
  <si>
    <t>C1144</t>
  </si>
  <si>
    <t>OGWUA</t>
  </si>
  <si>
    <t>C1162</t>
  </si>
  <si>
    <t>ADEKOYA</t>
  </si>
  <si>
    <t>ADEWALE</t>
  </si>
  <si>
    <t>6GR (SMAW &amp; GTAW)</t>
  </si>
  <si>
    <t>C1220</t>
  </si>
  <si>
    <t>NWODO</t>
  </si>
  <si>
    <t>DANIEL</t>
  </si>
  <si>
    <t>WELDER</t>
  </si>
  <si>
    <t>C1491</t>
  </si>
  <si>
    <t>NNAMDI</t>
  </si>
  <si>
    <t>GRINDER</t>
  </si>
  <si>
    <t>C1533</t>
  </si>
  <si>
    <t>OKEKE</t>
  </si>
  <si>
    <t>CRANE/RIGGER  SUPERVISOR</t>
  </si>
  <si>
    <t>C1612</t>
  </si>
  <si>
    <t>MBAMARA</t>
  </si>
  <si>
    <t>RICHARD</t>
  </si>
  <si>
    <t>HYDROTESTER</t>
  </si>
  <si>
    <t>C1705</t>
  </si>
  <si>
    <t>ROTIMI</t>
  </si>
  <si>
    <t>MATTHEW</t>
  </si>
  <si>
    <t>C1720</t>
  </si>
  <si>
    <t>RAYMOND</t>
  </si>
  <si>
    <t>ADANOU</t>
  </si>
  <si>
    <t>C1728</t>
  </si>
  <si>
    <t>IBRAHIM</t>
  </si>
  <si>
    <t>MOHAMMED</t>
  </si>
  <si>
    <t>C1736</t>
  </si>
  <si>
    <t>JEROME</t>
  </si>
  <si>
    <t>C1775</t>
  </si>
  <si>
    <t>BASHRU</t>
  </si>
  <si>
    <t>MOMODU</t>
  </si>
  <si>
    <t>C1779</t>
  </si>
  <si>
    <t>EBUNO</t>
  </si>
  <si>
    <t>KENNEDY</t>
  </si>
  <si>
    <t>C1783</t>
  </si>
  <si>
    <t>DARAMOLA</t>
  </si>
  <si>
    <t>OLUGBENGA</t>
  </si>
  <si>
    <t>C1788</t>
  </si>
  <si>
    <t>SAMUEL</t>
  </si>
  <si>
    <t>JONAH</t>
  </si>
  <si>
    <t>C1789</t>
  </si>
  <si>
    <t>MBOCHI</t>
  </si>
  <si>
    <t>MONDAY</t>
  </si>
  <si>
    <t>C1793</t>
  </si>
  <si>
    <t>ITORO</t>
  </si>
  <si>
    <t>SAVIOUR</t>
  </si>
  <si>
    <t>C1804</t>
  </si>
  <si>
    <t>UMA</t>
  </si>
  <si>
    <t>C1820</t>
  </si>
  <si>
    <t>OKORO</t>
  </si>
  <si>
    <t>SUNDAY</t>
  </si>
  <si>
    <t>C1823</t>
  </si>
  <si>
    <t>EGBUJOR</t>
  </si>
  <si>
    <t>BURNER</t>
  </si>
  <si>
    <t>C1824</t>
  </si>
  <si>
    <t>ADAOWO</t>
  </si>
  <si>
    <t>ALPHONSUS</t>
  </si>
  <si>
    <t>C1840</t>
  </si>
  <si>
    <t>ISINGUZO</t>
  </si>
  <si>
    <t>FRIDAY</t>
  </si>
  <si>
    <t>C1849</t>
  </si>
  <si>
    <t>OKORIE</t>
  </si>
  <si>
    <t>SUCCESS</t>
  </si>
  <si>
    <t>FACTORY CLEANER</t>
  </si>
  <si>
    <t>C1882</t>
  </si>
  <si>
    <t>MOMOH</t>
  </si>
  <si>
    <t>FITTER SUPERVISOR</t>
  </si>
  <si>
    <t>C1888</t>
  </si>
  <si>
    <t>YEKINI</t>
  </si>
  <si>
    <t>OLATUNJI</t>
  </si>
  <si>
    <t>C1920</t>
  </si>
  <si>
    <t>LATEEF</t>
  </si>
  <si>
    <t>AZEEZ</t>
  </si>
  <si>
    <t>BLASTER/PAINTER</t>
  </si>
  <si>
    <t>C1924</t>
  </si>
  <si>
    <t>ANIMASHAUN</t>
  </si>
  <si>
    <t>AFEES</t>
  </si>
  <si>
    <t>C1931</t>
  </si>
  <si>
    <t>ABIODUN</t>
  </si>
  <si>
    <t>EZEKIEL</t>
  </si>
  <si>
    <t>C1938</t>
  </si>
  <si>
    <t>ONYEMERI</t>
  </si>
  <si>
    <t>ABRAHAM</t>
  </si>
  <si>
    <t>C1966</t>
  </si>
  <si>
    <t>ADEMOLA</t>
  </si>
  <si>
    <t>C1967</t>
  </si>
  <si>
    <t>ADESUGBA</t>
  </si>
  <si>
    <t>C1975</t>
  </si>
  <si>
    <t>AKINNIFESI</t>
  </si>
  <si>
    <t>TOYIN</t>
  </si>
  <si>
    <t>DRILLER</t>
  </si>
  <si>
    <t>C1979</t>
  </si>
  <si>
    <t>YUSUF</t>
  </si>
  <si>
    <t>C1982</t>
  </si>
  <si>
    <t>BUSARI</t>
  </si>
  <si>
    <t>WASIU</t>
  </si>
  <si>
    <t>C1983</t>
  </si>
  <si>
    <t>EBEYE</t>
  </si>
  <si>
    <t>EMEKA</t>
  </si>
  <si>
    <t>PAINTER</t>
  </si>
  <si>
    <t>C2000</t>
  </si>
  <si>
    <t>KAREEM</t>
  </si>
  <si>
    <t>3G SMAW WELDER</t>
  </si>
  <si>
    <t>C2002</t>
  </si>
  <si>
    <t>NWOSU</t>
  </si>
  <si>
    <t>CHIBUEZE</t>
  </si>
  <si>
    <t>6G WELDER</t>
  </si>
  <si>
    <t>C2011</t>
  </si>
  <si>
    <t>AJAYI</t>
  </si>
  <si>
    <t>ADEBAYO</t>
  </si>
  <si>
    <t>FITTER</t>
  </si>
  <si>
    <t>C2015</t>
  </si>
  <si>
    <t>AMUNE</t>
  </si>
  <si>
    <t>FESTUS</t>
  </si>
  <si>
    <t>C2023</t>
  </si>
  <si>
    <t>IDIKA</t>
  </si>
  <si>
    <t>DAVID</t>
  </si>
  <si>
    <t>SCAFFOLDER</t>
  </si>
  <si>
    <t>C2052</t>
  </si>
  <si>
    <t>OGWUCHE</t>
  </si>
  <si>
    <t>ACHEM</t>
  </si>
  <si>
    <t>C2083</t>
  </si>
  <si>
    <t>STEVE</t>
  </si>
  <si>
    <t>C2087</t>
  </si>
  <si>
    <t>NKANU</t>
  </si>
  <si>
    <t>THOMPSON</t>
  </si>
  <si>
    <t>C2088</t>
  </si>
  <si>
    <t>RABIU</t>
  </si>
  <si>
    <t>CRANE OPERATOR &amp; RIGGER</t>
  </si>
  <si>
    <t>C2097</t>
  </si>
  <si>
    <t>COKER</t>
  </si>
  <si>
    <t>C2098</t>
  </si>
  <si>
    <t>OLAITAN</t>
  </si>
  <si>
    <t>C2116</t>
  </si>
  <si>
    <t>OJADA</t>
  </si>
  <si>
    <t>FAMOUS</t>
  </si>
  <si>
    <t>C2129</t>
  </si>
  <si>
    <t>OSINEKE</t>
  </si>
  <si>
    <t>ANDREW</t>
  </si>
  <si>
    <t>C2130</t>
  </si>
  <si>
    <t>ATOYEBI</t>
  </si>
  <si>
    <t>SHOLA</t>
  </si>
  <si>
    <t>C2136</t>
  </si>
  <si>
    <t>NGELE</t>
  </si>
  <si>
    <t>JAMES</t>
  </si>
  <si>
    <t>C2154</t>
  </si>
  <si>
    <t>BANKOLE</t>
  </si>
  <si>
    <t>SOLOMON</t>
  </si>
  <si>
    <t>C2171</t>
  </si>
  <si>
    <t>AZEMOBO</t>
  </si>
  <si>
    <t>C2236</t>
  </si>
  <si>
    <t>KELVIN</t>
  </si>
  <si>
    <t>C2290</t>
  </si>
  <si>
    <t>OLUWATOSIN</t>
  </si>
  <si>
    <t>C2291</t>
  </si>
  <si>
    <t>FITTER MATE</t>
  </si>
  <si>
    <t>C2300</t>
  </si>
  <si>
    <t>TAIWO</t>
  </si>
  <si>
    <t>C2326</t>
  </si>
  <si>
    <t>AIYEDE</t>
  </si>
  <si>
    <t>C2328</t>
  </si>
  <si>
    <t>C2337</t>
  </si>
  <si>
    <t>OLOWU</t>
  </si>
  <si>
    <t>SAHEED</t>
  </si>
  <si>
    <t>C2338</t>
  </si>
  <si>
    <t>AKANLE</t>
  </si>
  <si>
    <t>OLADIPUPO</t>
  </si>
  <si>
    <t>C2340</t>
  </si>
  <si>
    <t>IFEANYI</t>
  </si>
  <si>
    <t>3G WELDER</t>
  </si>
  <si>
    <t>C2341</t>
  </si>
  <si>
    <t>UDECHUKWU</t>
  </si>
  <si>
    <t>C2342</t>
  </si>
  <si>
    <t>OGUNBIYI</t>
  </si>
  <si>
    <t>C2343</t>
  </si>
  <si>
    <t>ADEYEYE</t>
  </si>
  <si>
    <t>ADESOJI</t>
  </si>
  <si>
    <t>C2383</t>
  </si>
  <si>
    <t>OYEWOLE</t>
  </si>
  <si>
    <t>C2387</t>
  </si>
  <si>
    <t>ADEKUNLE</t>
  </si>
  <si>
    <t>KOLAWOLE</t>
  </si>
  <si>
    <t>C2394</t>
  </si>
  <si>
    <t>IDOWU</t>
  </si>
  <si>
    <t>KETTLE</t>
  </si>
  <si>
    <t>C2395</t>
  </si>
  <si>
    <t>AKEEM</t>
  </si>
  <si>
    <t>AKINGBADE</t>
  </si>
  <si>
    <t>C2396</t>
  </si>
  <si>
    <t>AKINDELE</t>
  </si>
  <si>
    <t>MUSBAU</t>
  </si>
  <si>
    <t>ALIYU</t>
  </si>
  <si>
    <t>C2404</t>
  </si>
  <si>
    <t>AMEH</t>
  </si>
  <si>
    <t>MATHEW</t>
  </si>
  <si>
    <t>C2408</t>
  </si>
  <si>
    <t>ANTHONY</t>
  </si>
  <si>
    <t>LAWRENCE</t>
  </si>
  <si>
    <t>SKIMMER TECHNICIAN</t>
  </si>
  <si>
    <t>C2410</t>
  </si>
  <si>
    <t>AFENIFORO</t>
  </si>
  <si>
    <t>AYODELE</t>
  </si>
  <si>
    <t>C2412</t>
  </si>
  <si>
    <t>BABATUNDE</t>
  </si>
  <si>
    <t>OYELEYE</t>
  </si>
  <si>
    <t>C2413</t>
  </si>
  <si>
    <t>UBANI</t>
  </si>
  <si>
    <t>C2421</t>
  </si>
  <si>
    <t>OKPE</t>
  </si>
  <si>
    <t>C2422</t>
  </si>
  <si>
    <t>UDEH</t>
  </si>
  <si>
    <t>C2427</t>
  </si>
  <si>
    <t>EBELE</t>
  </si>
  <si>
    <t>SIMON</t>
  </si>
  <si>
    <t>C2431</t>
  </si>
  <si>
    <t>EZEBIRO</t>
  </si>
  <si>
    <t>C2438</t>
  </si>
  <si>
    <t>EZENWA</t>
  </si>
  <si>
    <t>C2443</t>
  </si>
  <si>
    <t>GANIYU</t>
  </si>
  <si>
    <t>ADEBIYI</t>
  </si>
  <si>
    <t>C2445</t>
  </si>
  <si>
    <t>GODWIN</t>
  </si>
  <si>
    <t>C2449</t>
  </si>
  <si>
    <t>ICHUKWU</t>
  </si>
  <si>
    <t>PETER</t>
  </si>
  <si>
    <t>C2456</t>
  </si>
  <si>
    <t>IMONI</t>
  </si>
  <si>
    <t>OGAH</t>
  </si>
  <si>
    <t>RIGGER</t>
  </si>
  <si>
    <t>C2460</t>
  </si>
  <si>
    <t>JACOB</t>
  </si>
  <si>
    <t>AKPO</t>
  </si>
  <si>
    <t>C2462</t>
  </si>
  <si>
    <t>JAMIU</t>
  </si>
  <si>
    <t>NASIRU</t>
  </si>
  <si>
    <t>C2463</t>
  </si>
  <si>
    <t>JANET</t>
  </si>
  <si>
    <t>F</t>
  </si>
  <si>
    <t>C2469</t>
  </si>
  <si>
    <t>KINGSLEY</t>
  </si>
  <si>
    <t>OBIEJE</t>
  </si>
  <si>
    <t>C2470</t>
  </si>
  <si>
    <t>LAWAL</t>
  </si>
  <si>
    <t>C2477</t>
  </si>
  <si>
    <t>GAMBO</t>
  </si>
  <si>
    <t>C2483</t>
  </si>
  <si>
    <t>OBILIKWU</t>
  </si>
  <si>
    <t>JOHN</t>
  </si>
  <si>
    <t>C2484</t>
  </si>
  <si>
    <t>OBINNA</t>
  </si>
  <si>
    <t>ONUOHA</t>
  </si>
  <si>
    <t>C2491</t>
  </si>
  <si>
    <t>OGUNYEMI</t>
  </si>
  <si>
    <t>C2492</t>
  </si>
  <si>
    <t>TIMOTHY</t>
  </si>
  <si>
    <t>C2506</t>
  </si>
  <si>
    <t>ONOJA</t>
  </si>
  <si>
    <t>C2507</t>
  </si>
  <si>
    <t>ONWUNTA</t>
  </si>
  <si>
    <t>CHINEMERE</t>
  </si>
  <si>
    <t>C2512</t>
  </si>
  <si>
    <t>OVAT</t>
  </si>
  <si>
    <t>QC ASSISTANCE</t>
  </si>
  <si>
    <t>C2513</t>
  </si>
  <si>
    <t>OWOLABI</t>
  </si>
  <si>
    <t>OLAYIWOLA</t>
  </si>
  <si>
    <t>C2515</t>
  </si>
  <si>
    <t>KAZEEM</t>
  </si>
  <si>
    <t>C2516</t>
  </si>
  <si>
    <t>OZILI</t>
  </si>
  <si>
    <t>NDUBUISI</t>
  </si>
  <si>
    <t>C2522</t>
  </si>
  <si>
    <t>RASAK</t>
  </si>
  <si>
    <t>C2523</t>
  </si>
  <si>
    <t>OMOGBOLAHAN</t>
  </si>
  <si>
    <t>C2526</t>
  </si>
  <si>
    <t>ROMANUS</t>
  </si>
  <si>
    <t>ABLE</t>
  </si>
  <si>
    <t>C2534</t>
  </si>
  <si>
    <t>STANLEY</t>
  </si>
  <si>
    <t>C2536</t>
  </si>
  <si>
    <t>EMMANUEL</t>
  </si>
  <si>
    <t>C2537</t>
  </si>
  <si>
    <t>SIMIRE</t>
  </si>
  <si>
    <t>C2555</t>
  </si>
  <si>
    <t>EZE</t>
  </si>
  <si>
    <t>C2585</t>
  </si>
  <si>
    <t>AZIEKWE</t>
  </si>
  <si>
    <t>C2597</t>
  </si>
  <si>
    <t>IRIKEFE</t>
  </si>
  <si>
    <t>OYABUGBE</t>
  </si>
  <si>
    <t>C2604</t>
  </si>
  <si>
    <t>ADAH</t>
  </si>
  <si>
    <t>PATRICK</t>
  </si>
  <si>
    <t>C2605</t>
  </si>
  <si>
    <t>ONAJI</t>
  </si>
  <si>
    <t>C2607</t>
  </si>
  <si>
    <t>ADEOSUN</t>
  </si>
  <si>
    <t>C0695</t>
  </si>
  <si>
    <t>AWOYEMI</t>
  </si>
  <si>
    <t>JULIUS</t>
  </si>
  <si>
    <t>C1229</t>
  </si>
  <si>
    <t>OLAWALE</t>
  </si>
  <si>
    <t>SHITTU</t>
  </si>
  <si>
    <t>C1544</t>
  </si>
  <si>
    <t>ADENIYI</t>
  </si>
  <si>
    <t>JOSEPH</t>
  </si>
  <si>
    <t>C1607</t>
  </si>
  <si>
    <t>CHUKWUDUMEBI</t>
  </si>
  <si>
    <t>CNC OPERATOR</t>
  </si>
  <si>
    <t>C1686</t>
  </si>
  <si>
    <t>FRED</t>
  </si>
  <si>
    <t>MICAH</t>
  </si>
  <si>
    <t>C1771</t>
  </si>
  <si>
    <t>BADEJO</t>
  </si>
  <si>
    <t>C1772</t>
  </si>
  <si>
    <t>C1870</t>
  </si>
  <si>
    <t>OHIEMBOR</t>
  </si>
  <si>
    <t>C1933</t>
  </si>
  <si>
    <t>ADESEYE</t>
  </si>
  <si>
    <t>TAJUDEEN</t>
  </si>
  <si>
    <t>C1954</t>
  </si>
  <si>
    <t>AKPAN</t>
  </si>
  <si>
    <t>KUFREOBONG</t>
  </si>
  <si>
    <t>C1955</t>
  </si>
  <si>
    <t>OKERE</t>
  </si>
  <si>
    <t>C1989</t>
  </si>
  <si>
    <t>SADIQ</t>
  </si>
  <si>
    <t>STORE MATE</t>
  </si>
  <si>
    <t>C2080</t>
  </si>
  <si>
    <t>C2082</t>
  </si>
  <si>
    <t>ADEBANJO</t>
  </si>
  <si>
    <t>OKEOWO</t>
  </si>
  <si>
    <t>C2121</t>
  </si>
  <si>
    <t>C2138</t>
  </si>
  <si>
    <t>C2193</t>
  </si>
  <si>
    <t>EMEH</t>
  </si>
  <si>
    <t>C2220</t>
  </si>
  <si>
    <t>UGBEKILE</t>
  </si>
  <si>
    <t>ABEL</t>
  </si>
  <si>
    <t>C2221</t>
  </si>
  <si>
    <t>YUNUS</t>
  </si>
  <si>
    <t>KAMORUDEEN</t>
  </si>
  <si>
    <t>C2222</t>
  </si>
  <si>
    <t>EZEAGU</t>
  </si>
  <si>
    <t>C2224</t>
  </si>
  <si>
    <t>AGBATA</t>
  </si>
  <si>
    <t>CHRISTIAN</t>
  </si>
  <si>
    <t>C2225</t>
  </si>
  <si>
    <t>C2614</t>
  </si>
  <si>
    <t>ADELEKE</t>
  </si>
  <si>
    <t>C2615</t>
  </si>
  <si>
    <t>HART</t>
  </si>
  <si>
    <t>CECILIA</t>
  </si>
  <si>
    <t>C2622</t>
  </si>
  <si>
    <t>AUDU</t>
  </si>
  <si>
    <t>C2623</t>
  </si>
  <si>
    <t>NWACHUKWU</t>
  </si>
  <si>
    <t>C2626</t>
  </si>
  <si>
    <t>BONIFACE</t>
  </si>
  <si>
    <t>C2482</t>
  </si>
  <si>
    <t>C2632</t>
  </si>
  <si>
    <t>OGUNBONA</t>
  </si>
  <si>
    <t>AYUBA</t>
  </si>
  <si>
    <t>C2633</t>
  </si>
  <si>
    <t>KENECHUKWU</t>
  </si>
  <si>
    <t>C1926</t>
  </si>
  <si>
    <t>NGOZIKA</t>
  </si>
  <si>
    <t>NZEDURU</t>
  </si>
  <si>
    <t>C2319</t>
  </si>
  <si>
    <t>TORTI</t>
  </si>
  <si>
    <t>C2647</t>
  </si>
  <si>
    <t>ADEYEMI</t>
  </si>
  <si>
    <t>HENRY</t>
  </si>
  <si>
    <t>C2663</t>
  </si>
  <si>
    <t>JEREMIAH</t>
  </si>
  <si>
    <t>C2664</t>
  </si>
  <si>
    <t>C2690</t>
  </si>
  <si>
    <t>OJO</t>
  </si>
  <si>
    <t>C2697</t>
  </si>
  <si>
    <t>YERIMA</t>
  </si>
  <si>
    <t>C2699</t>
  </si>
  <si>
    <t>AKINMOLADUN</t>
  </si>
  <si>
    <t>AKINLABI</t>
  </si>
  <si>
    <t>C2704</t>
  </si>
  <si>
    <t>ADEBISI</t>
  </si>
  <si>
    <t>OLALEKAN</t>
  </si>
  <si>
    <t>C2722</t>
  </si>
  <si>
    <t>ADENIJI</t>
  </si>
  <si>
    <t>C2724</t>
  </si>
  <si>
    <t>AMANOKHAI</t>
  </si>
  <si>
    <t>MOSES</t>
  </si>
  <si>
    <t>WELDER MATE</t>
  </si>
  <si>
    <t>C2725</t>
  </si>
  <si>
    <t>AMODU</t>
  </si>
  <si>
    <t>C2728</t>
  </si>
  <si>
    <t>UDOH</t>
  </si>
  <si>
    <t>C2751</t>
  </si>
  <si>
    <t>ODUNNIYI</t>
  </si>
  <si>
    <t>FUAD</t>
  </si>
  <si>
    <t>C2757</t>
  </si>
  <si>
    <t>BENJAMIN</t>
  </si>
  <si>
    <t>C2760</t>
  </si>
  <si>
    <t>TEMIDAYO</t>
  </si>
  <si>
    <t>C2776</t>
  </si>
  <si>
    <t>C2790</t>
  </si>
  <si>
    <t>OLUWASEYI</t>
  </si>
  <si>
    <t>C2795</t>
  </si>
  <si>
    <t>IDOKO</t>
  </si>
  <si>
    <t>C2805</t>
  </si>
  <si>
    <t>UZOMA</t>
  </si>
  <si>
    <t>VERONICA</t>
  </si>
  <si>
    <t>C2806</t>
  </si>
  <si>
    <t>C2808</t>
  </si>
  <si>
    <t>CHIJOKE</t>
  </si>
  <si>
    <t>C2813</t>
  </si>
  <si>
    <t>AKINGBOYE</t>
  </si>
  <si>
    <t>GIDEON</t>
  </si>
  <si>
    <t>C2812</t>
  </si>
  <si>
    <t>ONABANJO</t>
  </si>
  <si>
    <t>C2810</t>
  </si>
  <si>
    <t>EKWERE</t>
  </si>
  <si>
    <t>C2814</t>
  </si>
  <si>
    <t>FASHINA</t>
  </si>
  <si>
    <t>AYOMIDE</t>
  </si>
  <si>
    <t>C2815</t>
  </si>
  <si>
    <t>OKPUTU</t>
  </si>
  <si>
    <t>PAUL</t>
  </si>
  <si>
    <t>C2817</t>
  </si>
  <si>
    <t>FATOYINBO</t>
  </si>
  <si>
    <t>C2818</t>
  </si>
  <si>
    <t>ODJEGBA</t>
  </si>
  <si>
    <t>C2816</t>
  </si>
  <si>
    <t>ANANU</t>
  </si>
  <si>
    <t>C2820</t>
  </si>
  <si>
    <t>SAMAILA</t>
  </si>
  <si>
    <t>HELPER</t>
  </si>
  <si>
    <t>C2819</t>
  </si>
  <si>
    <t>AWE</t>
  </si>
  <si>
    <t>C2823</t>
  </si>
  <si>
    <t>AMADI</t>
  </si>
  <si>
    <t>VALINS</t>
  </si>
  <si>
    <t>C2824</t>
  </si>
  <si>
    <t>SALAWU</t>
  </si>
  <si>
    <t>C2822</t>
  </si>
  <si>
    <t>EBIALE</t>
  </si>
  <si>
    <t>Employee Bank Details</t>
  </si>
  <si>
    <t>Employee Name</t>
  </si>
  <si>
    <t>Bank</t>
  </si>
  <si>
    <t>Account No</t>
  </si>
  <si>
    <t>Sort Code</t>
  </si>
  <si>
    <t>NET Salary</t>
  </si>
  <si>
    <t>Location</t>
  </si>
  <si>
    <t>KALU AGWU OKWARA OKWARA</t>
  </si>
  <si>
    <t>Fidelity Bank Plc</t>
  </si>
  <si>
    <t>4020099243</t>
  </si>
  <si>
    <t>070150003</t>
  </si>
  <si>
    <t xml:space="preserve">OLANIYAN OLAKUNLE  </t>
  </si>
  <si>
    <t>Guaranty Trust Bank Plc</t>
  </si>
  <si>
    <t>0128756772</t>
  </si>
  <si>
    <t>058152052</t>
  </si>
  <si>
    <t xml:space="preserve">FEMI BELLO  </t>
  </si>
  <si>
    <t>Access Bank Plc</t>
  </si>
  <si>
    <t>0000214630</t>
  </si>
  <si>
    <t>044150149</t>
  </si>
  <si>
    <t xml:space="preserve">ETUERI STEPHEN  </t>
  </si>
  <si>
    <t>Zenith Bank Plc</t>
  </si>
  <si>
    <t>2082484750</t>
  </si>
  <si>
    <t>1</t>
  </si>
  <si>
    <t xml:space="preserve">EJEH DONATUS  </t>
  </si>
  <si>
    <t>0147788781</t>
  </si>
  <si>
    <t xml:space="preserve">OGHENERIE VINCENT  </t>
  </si>
  <si>
    <t>6050577180</t>
  </si>
  <si>
    <t xml:space="preserve">OGWUA CHRIS  </t>
  </si>
  <si>
    <t>6231398469</t>
  </si>
  <si>
    <t xml:space="preserve">ADEKOYA ADEWALE  </t>
  </si>
  <si>
    <t>Polaris Bank</t>
  </si>
  <si>
    <t>3011580494</t>
  </si>
  <si>
    <t>076151006</t>
  </si>
  <si>
    <t xml:space="preserve">VINCENT NNAMDI  </t>
  </si>
  <si>
    <t>4020099542</t>
  </si>
  <si>
    <t xml:space="preserve">OKEKE VINCENT  </t>
  </si>
  <si>
    <t>Stanbic IBTC Bank Plc</t>
  </si>
  <si>
    <t>0033804939</t>
  </si>
  <si>
    <t>221150014</t>
  </si>
  <si>
    <t xml:space="preserve">MBAMARA RICHARD  </t>
  </si>
  <si>
    <t>6237537987</t>
  </si>
  <si>
    <t xml:space="preserve">ROTIMI MATTHEW  </t>
  </si>
  <si>
    <t>0212808307</t>
  </si>
  <si>
    <t xml:space="preserve">IBRAHIM MOHAMMED  </t>
  </si>
  <si>
    <t>0026316672</t>
  </si>
  <si>
    <t xml:space="preserve">JEROME MICHAEL  </t>
  </si>
  <si>
    <t>Skye Bank</t>
  </si>
  <si>
    <t>1762982279</t>
  </si>
  <si>
    <t xml:space="preserve">EBUNO KENNEDY  </t>
  </si>
  <si>
    <t>6050582735</t>
  </si>
  <si>
    <t>SAMUEL JONAH EMEWU EMEWU</t>
  </si>
  <si>
    <t>1120728895</t>
  </si>
  <si>
    <t xml:space="preserve">MBOCHI MONDAY  </t>
  </si>
  <si>
    <t>6050583110</t>
  </si>
  <si>
    <t xml:space="preserve">OKORO SUNDAY  </t>
  </si>
  <si>
    <t>0005790172</t>
  </si>
  <si>
    <t xml:space="preserve">EGBUJOR MATTHEW  </t>
  </si>
  <si>
    <t>6050576224</t>
  </si>
  <si>
    <t xml:space="preserve">ADAOWO ALPHONSUS  </t>
  </si>
  <si>
    <t>6050582041</t>
  </si>
  <si>
    <t xml:space="preserve">ISINGUZO FRIDAY  </t>
  </si>
  <si>
    <t>6050576516</t>
  </si>
  <si>
    <t>OKORIE SUCCESS JAMES JAMES</t>
  </si>
  <si>
    <t>6230277554</t>
  </si>
  <si>
    <t xml:space="preserve">MOHAMMED MOMOH  </t>
  </si>
  <si>
    <t>First Bank of Nigeria Limited</t>
  </si>
  <si>
    <t>2011119362</t>
  </si>
  <si>
    <t>011151003</t>
  </si>
  <si>
    <t xml:space="preserve">YEKINI OLATUNJI  </t>
  </si>
  <si>
    <t>2087765843</t>
  </si>
  <si>
    <t xml:space="preserve">LATEEF AZEEZ  </t>
  </si>
  <si>
    <t>0158086137</t>
  </si>
  <si>
    <t xml:space="preserve">ANIMASHAUN AFEES  </t>
  </si>
  <si>
    <t>223848464</t>
  </si>
  <si>
    <t xml:space="preserve">ONYEMERI ABRAHAM  </t>
  </si>
  <si>
    <t>6050571047</t>
  </si>
  <si>
    <t xml:space="preserve">BELLO ADEMOLA  </t>
  </si>
  <si>
    <t>0867442055</t>
  </si>
  <si>
    <t xml:space="preserve">ADESUGBA SUNDAY  </t>
  </si>
  <si>
    <t>2394961798</t>
  </si>
  <si>
    <t xml:space="preserve">WAHABI YUSUF  </t>
  </si>
  <si>
    <t>4020103186</t>
  </si>
  <si>
    <t xml:space="preserve">BUSARI WASIU  </t>
  </si>
  <si>
    <t>0140792282</t>
  </si>
  <si>
    <t xml:space="preserve">EBEYE EMEKA  </t>
  </si>
  <si>
    <t>Ecobank Nigeria</t>
  </si>
  <si>
    <t>0810054009</t>
  </si>
  <si>
    <t>050150311</t>
  </si>
  <si>
    <t xml:space="preserve">NWOSU CHIBUEZE  </t>
  </si>
  <si>
    <t>3044682139</t>
  </si>
  <si>
    <t xml:space="preserve">IDIKA DAVID  </t>
  </si>
  <si>
    <t>4020099308</t>
  </si>
  <si>
    <t xml:space="preserve">OGWUCHE ACHEM  </t>
  </si>
  <si>
    <t>3033479667</t>
  </si>
  <si>
    <t xml:space="preserve">OYELEYE LATEEF  </t>
  </si>
  <si>
    <t>1120728888</t>
  </si>
  <si>
    <t xml:space="preserve">OJADA FAMOUS  </t>
  </si>
  <si>
    <t>3068413463</t>
  </si>
  <si>
    <t xml:space="preserve">OSINEKE ANDREW  </t>
  </si>
  <si>
    <t>Sterling Bank Plc</t>
  </si>
  <si>
    <t>0066528123</t>
  </si>
  <si>
    <t>232150016</t>
  </si>
  <si>
    <t xml:space="preserve">ATOYEBI SHOLA  </t>
  </si>
  <si>
    <t>2389297884</t>
  </si>
  <si>
    <t xml:space="preserve">BANKOLE SOLOMON  </t>
  </si>
  <si>
    <t>2284108306</t>
  </si>
  <si>
    <t>IWUAGWU KELVIN NDUBUISI NDUBUISI</t>
  </si>
  <si>
    <t>4020101058</t>
  </si>
  <si>
    <t xml:space="preserve">AIYEDE SUNDAY  </t>
  </si>
  <si>
    <t>0037716580</t>
  </si>
  <si>
    <t xml:space="preserve">OLOWU SAHEED  </t>
  </si>
  <si>
    <t>6050577386</t>
  </si>
  <si>
    <t xml:space="preserve">ADEKUNLE KOLAWOLE  </t>
  </si>
  <si>
    <t>1019909914</t>
  </si>
  <si>
    <t>United Bank for Africa Plc</t>
  </si>
  <si>
    <t>033150011</t>
  </si>
  <si>
    <t xml:space="preserve">AMEH MATHEW  </t>
  </si>
  <si>
    <t>2190500645</t>
  </si>
  <si>
    <t xml:space="preserve">AFENIFORO AYODELE  </t>
  </si>
  <si>
    <t>4070334353</t>
  </si>
  <si>
    <t xml:space="preserve">DANIEL OKPE  </t>
  </si>
  <si>
    <t>2066834128</t>
  </si>
  <si>
    <t>DAVID UDEH ANTHONY ANTHONY</t>
  </si>
  <si>
    <t>0034111065</t>
  </si>
  <si>
    <t xml:space="preserve">EBELE SIMON  </t>
  </si>
  <si>
    <t>6171895932</t>
  </si>
  <si>
    <t xml:space="preserve">EZENWA CHIBUZOR  </t>
  </si>
  <si>
    <t>2209301498</t>
  </si>
  <si>
    <t xml:space="preserve"> AKOR GODWIN  </t>
  </si>
  <si>
    <t>0569721821</t>
  </si>
  <si>
    <t xml:space="preserve">ICHUKWU PETER  </t>
  </si>
  <si>
    <t>0599364867</t>
  </si>
  <si>
    <t xml:space="preserve">IMONI OGAH  </t>
  </si>
  <si>
    <t>1766485586</t>
  </si>
  <si>
    <t xml:space="preserve">JAMIU NASIRU  </t>
  </si>
  <si>
    <t>2051749974</t>
  </si>
  <si>
    <t xml:space="preserve"> JAMES JANET  </t>
  </si>
  <si>
    <t>2416428162</t>
  </si>
  <si>
    <t xml:space="preserve">KINGSLEY OBIEJE  </t>
  </si>
  <si>
    <t>3015587072</t>
  </si>
  <si>
    <t xml:space="preserve">LAWAL YEKINI  </t>
  </si>
  <si>
    <t>0005774860</t>
  </si>
  <si>
    <t>MOHAMMED GAMBO SULE SULE</t>
  </si>
  <si>
    <t>0032786269</t>
  </si>
  <si>
    <t xml:space="preserve">OBILIKWU RAPHAEL  </t>
  </si>
  <si>
    <t>2419467034</t>
  </si>
  <si>
    <t xml:space="preserve">OGWUA TIMOTHY  </t>
  </si>
  <si>
    <t>2157120651</t>
  </si>
  <si>
    <t xml:space="preserve">ONWUNTA CHINEMERE  </t>
  </si>
  <si>
    <t>2000484152</t>
  </si>
  <si>
    <t xml:space="preserve">OWOLABI OLAYIWOLA  </t>
  </si>
  <si>
    <t>3052773276</t>
  </si>
  <si>
    <t xml:space="preserve">OYEWOLE KAZEEM  </t>
  </si>
  <si>
    <t>4318480624</t>
  </si>
  <si>
    <t xml:space="preserve">ROMANUS ABLE  </t>
  </si>
  <si>
    <t>Union Bank of Nigeria Plc</t>
  </si>
  <si>
    <t>0107453467</t>
  </si>
  <si>
    <t>032154568</t>
  </si>
  <si>
    <t xml:space="preserve">SUNDAY EMMANUEL  </t>
  </si>
  <si>
    <t>0422659368</t>
  </si>
  <si>
    <t xml:space="preserve">SUNDAY SIMIRE  </t>
  </si>
  <si>
    <t>2157448368</t>
  </si>
  <si>
    <t xml:space="preserve">IRIKEFE OYABUGBE  </t>
  </si>
  <si>
    <t>6050576994</t>
  </si>
  <si>
    <t>ADAH PATRICK OHEME OHEME</t>
  </si>
  <si>
    <t>2117347573</t>
  </si>
  <si>
    <t xml:space="preserve">ONAJI FRIDAY  </t>
  </si>
  <si>
    <t>2111014563</t>
  </si>
  <si>
    <t xml:space="preserve">HART CECILIA  </t>
  </si>
  <si>
    <t>2191783951</t>
  </si>
  <si>
    <t xml:space="preserve">NWACHUKWU MONDAY  </t>
  </si>
  <si>
    <t>2001413067</t>
  </si>
  <si>
    <t xml:space="preserve">JOHN AUDU  </t>
  </si>
  <si>
    <t>0006050248</t>
  </si>
  <si>
    <t xml:space="preserve">OKPE BONIFACE  </t>
  </si>
  <si>
    <t>2000466774</t>
  </si>
  <si>
    <t>First City Monument Bank Limited</t>
  </si>
  <si>
    <t>214150018</t>
  </si>
  <si>
    <t xml:space="preserve">AMANOKHAI MOSES  </t>
  </si>
  <si>
    <t>0064990863</t>
  </si>
  <si>
    <t>AMODU HENRY AUDU AUDU</t>
  </si>
  <si>
    <t>0128450939</t>
  </si>
  <si>
    <t>UDOH CHRISTIAN AMOS AMOS</t>
  </si>
  <si>
    <t>0060933874</t>
  </si>
  <si>
    <t>SUNDAY OLANREWAJU ISAIAH ISAIAH</t>
  </si>
  <si>
    <t>4450033961</t>
  </si>
  <si>
    <t xml:space="preserve">ALIYU MUHAMMAD  </t>
  </si>
  <si>
    <t>3207165556</t>
  </si>
  <si>
    <t xml:space="preserve">UZOMA VERONICA  </t>
  </si>
  <si>
    <t>0087128423</t>
  </si>
  <si>
    <t xml:space="preserve">UZOMA CHIJOKE  </t>
  </si>
  <si>
    <t>2111002511</t>
  </si>
  <si>
    <t xml:space="preserve">SAMAILA BILKISU  </t>
  </si>
  <si>
    <t>1038928167</t>
  </si>
  <si>
    <t>4020105283</t>
  </si>
  <si>
    <t>0606367290</t>
  </si>
  <si>
    <t>6160593533</t>
  </si>
  <si>
    <t>0014252324</t>
  </si>
  <si>
    <t>0664256978</t>
  </si>
  <si>
    <t>2188685084</t>
  </si>
  <si>
    <t>2088853873</t>
  </si>
  <si>
    <t>2003154957</t>
  </si>
  <si>
    <t>6050576451</t>
  </si>
  <si>
    <t>6018734020</t>
  </si>
  <si>
    <t>1569397211</t>
  </si>
  <si>
    <t>0529092048</t>
  </si>
  <si>
    <t>1120638260</t>
  </si>
  <si>
    <t>2394529051</t>
  </si>
  <si>
    <t>5330087207</t>
  </si>
  <si>
    <t>0161014864</t>
  </si>
  <si>
    <t>0866418255</t>
  </si>
  <si>
    <t>3030040677</t>
  </si>
  <si>
    <t>0617100383</t>
  </si>
  <si>
    <t>0032045417</t>
  </si>
  <si>
    <t>0050434986</t>
  </si>
  <si>
    <t>0012647155</t>
  </si>
  <si>
    <t>0380660017</t>
  </si>
  <si>
    <t>2011090472</t>
  </si>
  <si>
    <t>3032298829</t>
  </si>
  <si>
    <t>Keystone Bank Limited</t>
  </si>
  <si>
    <t>6009423385</t>
  </si>
  <si>
    <t>082150001</t>
  </si>
  <si>
    <t>0066759134</t>
  </si>
  <si>
    <t>0123564138</t>
  </si>
  <si>
    <t>2039233996</t>
  </si>
  <si>
    <t>2005048698</t>
  </si>
  <si>
    <t>6025776173</t>
  </si>
  <si>
    <t>6018833662</t>
  </si>
  <si>
    <t>3001372574</t>
  </si>
  <si>
    <t>4020098239</t>
  </si>
  <si>
    <t>0036948885</t>
  </si>
  <si>
    <t>3042849785</t>
  </si>
  <si>
    <t>3057402544</t>
  </si>
  <si>
    <t>2119101245</t>
  </si>
  <si>
    <t>0040479212</t>
  </si>
  <si>
    <t>1144340412</t>
  </si>
  <si>
    <t>2057877770</t>
  </si>
  <si>
    <t>0019229341</t>
  </si>
  <si>
    <t>4020103980</t>
  </si>
  <si>
    <t>4211388821</t>
  </si>
  <si>
    <t>3015733305</t>
  </si>
  <si>
    <t>2066237547</t>
  </si>
  <si>
    <t>6050577207</t>
  </si>
  <si>
    <t>3039181245</t>
  </si>
  <si>
    <t>2000941660</t>
  </si>
  <si>
    <t>0454234939</t>
  </si>
  <si>
    <t>0029521873</t>
  </si>
  <si>
    <t>0150661422</t>
  </si>
  <si>
    <t xml:space="preserve">HAMMED IDOWU  </t>
  </si>
  <si>
    <t>0729570216</t>
  </si>
  <si>
    <t>4020097988</t>
  </si>
  <si>
    <t xml:space="preserve">AKINDELE MUSBAU  </t>
  </si>
  <si>
    <t>5330178152</t>
  </si>
  <si>
    <t xml:space="preserve">ANTHONY LAWRENCE  </t>
  </si>
  <si>
    <t>0742476502</t>
  </si>
  <si>
    <t>2089542877</t>
  </si>
  <si>
    <t>2036688430</t>
  </si>
  <si>
    <t xml:space="preserve">GANIYU ADEBIYI  </t>
  </si>
  <si>
    <t>0254241197</t>
  </si>
  <si>
    <t>1001802817</t>
  </si>
  <si>
    <t>2401190357</t>
  </si>
  <si>
    <t>6011571039</t>
  </si>
  <si>
    <t>3022947106</t>
  </si>
  <si>
    <t xml:space="preserve">ONOJA MICHAEL  </t>
  </si>
  <si>
    <t>0797313568</t>
  </si>
  <si>
    <t xml:space="preserve">OVAT SUNDAY  </t>
  </si>
  <si>
    <t>4243185836</t>
  </si>
  <si>
    <t>1403985606</t>
  </si>
  <si>
    <t xml:space="preserve">RASAK JAMIU  </t>
  </si>
  <si>
    <t>0743000458</t>
  </si>
  <si>
    <t>0938563632</t>
  </si>
  <si>
    <t>2190497792</t>
  </si>
  <si>
    <t>4020097940</t>
  </si>
  <si>
    <t>243811</t>
  </si>
  <si>
    <t>0800170320</t>
  </si>
  <si>
    <t>0162107947</t>
  </si>
  <si>
    <t>0152834824</t>
  </si>
  <si>
    <t>5791052220</t>
  </si>
  <si>
    <t>3069237992</t>
  </si>
  <si>
    <t>0714034161</t>
  </si>
  <si>
    <t>2251223076</t>
  </si>
  <si>
    <t>0109040744</t>
  </si>
  <si>
    <t>3089124775</t>
  </si>
  <si>
    <t>2018278211</t>
  </si>
  <si>
    <t>0139087591</t>
  </si>
  <si>
    <t>2252901698</t>
  </si>
  <si>
    <t>0918465347</t>
  </si>
  <si>
    <t>0069947431</t>
  </si>
  <si>
    <t>6035361932</t>
  </si>
  <si>
    <t>Wema Bank Plc</t>
  </si>
  <si>
    <t>0238485392</t>
  </si>
  <si>
    <t>0270332072</t>
  </si>
  <si>
    <t>0468239331</t>
  </si>
  <si>
    <t>3025811857</t>
  </si>
  <si>
    <t>0016498346</t>
  </si>
  <si>
    <t>1226218497</t>
  </si>
  <si>
    <t>2393427301</t>
  </si>
  <si>
    <t>3054243198</t>
  </si>
  <si>
    <t>6017773770</t>
  </si>
  <si>
    <t>0233753896</t>
  </si>
  <si>
    <t>2002378560</t>
  </si>
  <si>
    <t>2171959394</t>
  </si>
  <si>
    <t>6023280856</t>
  </si>
  <si>
    <t>2011099918</t>
  </si>
  <si>
    <t>2225208513</t>
  </si>
  <si>
    <t>2267726679</t>
  </si>
  <si>
    <t>3031302466</t>
  </si>
  <si>
    <t>Emp. Code</t>
  </si>
  <si>
    <t>First Name</t>
  </si>
  <si>
    <t>Last Name</t>
  </si>
  <si>
    <t>Job Title</t>
  </si>
  <si>
    <t>GRINDER/PWHT ASSISTANT</t>
  </si>
  <si>
    <t>SMAW&amp;GTAW (CS) WELDER</t>
  </si>
  <si>
    <t>IDI-IDI  ORO</t>
  </si>
  <si>
    <t>AKOR</t>
  </si>
  <si>
    <t>RAPHEAL</t>
  </si>
  <si>
    <t>OGUWA</t>
  </si>
  <si>
    <t xml:space="preserve">WELDER </t>
  </si>
  <si>
    <t>OLAREWAJU</t>
  </si>
  <si>
    <t>CHIBUZO</t>
  </si>
  <si>
    <t>JAME</t>
  </si>
  <si>
    <t>IWAUGWU</t>
  </si>
  <si>
    <t>WAHAB</t>
  </si>
  <si>
    <t>BANDSAW</t>
  </si>
  <si>
    <t>CRANE OPERATOR</t>
  </si>
  <si>
    <t xml:space="preserve">6G GTAW </t>
  </si>
  <si>
    <t>SCALFOLDER</t>
  </si>
  <si>
    <t>MICHAE</t>
  </si>
  <si>
    <t>IDI-IDI_ORO</t>
  </si>
  <si>
    <t>BILIKISU</t>
  </si>
  <si>
    <t>Daily Rate</t>
  </si>
  <si>
    <t>AGE</t>
  </si>
  <si>
    <t>Total Weekday</t>
  </si>
  <si>
    <t>Total Saturday</t>
  </si>
  <si>
    <t>Total Sunday</t>
  </si>
  <si>
    <t>Public Holiday</t>
  </si>
  <si>
    <t>Weekday OVT</t>
  </si>
  <si>
    <t>Night Worked</t>
  </si>
  <si>
    <t>Wkd Earning</t>
  </si>
  <si>
    <t>Wkd Ovt Amt</t>
  </si>
  <si>
    <t>Sat Ovt Amt</t>
  </si>
  <si>
    <t>Sun Ovt Amt</t>
  </si>
  <si>
    <t>PH Amt</t>
  </si>
  <si>
    <t>Night Amt</t>
  </si>
  <si>
    <t>Meal Allowance</t>
  </si>
  <si>
    <t>Transport</t>
  </si>
  <si>
    <t>Total Earnings</t>
  </si>
  <si>
    <t>WHT</t>
  </si>
  <si>
    <t>Gross Salary</t>
  </si>
  <si>
    <t>WAREHOUSE OFFICER</t>
  </si>
  <si>
    <t>PHC-TCM</t>
  </si>
  <si>
    <t>Site Allowance</t>
  </si>
  <si>
    <t>TCM Meal</t>
  </si>
  <si>
    <t>TCM TRANSPORT</t>
  </si>
  <si>
    <t>MICHEAL</t>
  </si>
  <si>
    <t>WALE</t>
  </si>
  <si>
    <t>ORJIKA</t>
  </si>
  <si>
    <t>FITTER / CNC OPR</t>
  </si>
  <si>
    <t>LIFTNG SUP.</t>
  </si>
  <si>
    <t>MUYIWA</t>
  </si>
  <si>
    <t>BLASTER / PAINTER</t>
  </si>
  <si>
    <t>AHMED</t>
  </si>
  <si>
    <t>DUROJAIYE</t>
  </si>
  <si>
    <t>AIGBOVBOILE</t>
  </si>
  <si>
    <t xml:space="preserve">BABA </t>
  </si>
  <si>
    <t>PREP. SUP</t>
  </si>
  <si>
    <t>JIMMY</t>
  </si>
  <si>
    <t>JUDE</t>
  </si>
  <si>
    <t>ADEGBOLADE</t>
  </si>
  <si>
    <t>ERAGHARE</t>
  </si>
  <si>
    <t>GABRIEL</t>
  </si>
  <si>
    <t>MUSA</t>
  </si>
  <si>
    <t>FITTER-MATE</t>
  </si>
  <si>
    <t>OKEY</t>
  </si>
  <si>
    <t xml:space="preserve">TIMOTHY </t>
  </si>
  <si>
    <t>ADEKANBI</t>
  </si>
  <si>
    <t>MUYIDEEN</t>
  </si>
  <si>
    <t>SMAW +FCAW WELDER</t>
  </si>
  <si>
    <t xml:space="preserve">USMAN </t>
  </si>
  <si>
    <t>TACK WELDER</t>
  </si>
  <si>
    <t>BARTHOLOMEN</t>
  </si>
  <si>
    <t>ADESHINA</t>
  </si>
  <si>
    <t>SWAW + FCAW</t>
  </si>
  <si>
    <t>OKONIYA</t>
  </si>
  <si>
    <t>DLPC</t>
  </si>
  <si>
    <t>Total</t>
  </si>
  <si>
    <t>C2825</t>
  </si>
  <si>
    <t>ISMAIL</t>
  </si>
  <si>
    <t>AKANDE</t>
  </si>
  <si>
    <t>C2096</t>
  </si>
  <si>
    <t>C2826</t>
  </si>
  <si>
    <t>BLASTER</t>
  </si>
  <si>
    <t>CHARLES</t>
  </si>
  <si>
    <t>AKAKA</t>
  </si>
  <si>
    <t>TUNDE</t>
  </si>
  <si>
    <t>Arrears</t>
  </si>
  <si>
    <t>C2827</t>
  </si>
  <si>
    <t>AGEGE</t>
  </si>
  <si>
    <t>JIMOH GBADAMOSI</t>
  </si>
  <si>
    <t>MATHIAS LUKPATA</t>
  </si>
  <si>
    <t>ADANOU RAYMOND</t>
  </si>
  <si>
    <t>MOMODU BASHRU</t>
  </si>
  <si>
    <t>OLUGBENGA DARAMOLA</t>
  </si>
  <si>
    <t>SAVIOUR ITORO</t>
  </si>
  <si>
    <t>UMA KALU</t>
  </si>
  <si>
    <t>EZEKIEL ABIODUN</t>
  </si>
  <si>
    <t>FESTUS AMUNE</t>
  </si>
  <si>
    <t>SUNDAY COKER</t>
  </si>
  <si>
    <t>FEMI OLAITAN</t>
  </si>
  <si>
    <t>OLADIPUPO AKANLE</t>
  </si>
  <si>
    <t>TAIWO OGUNBIYI</t>
  </si>
  <si>
    <t>ADESOJI ADEYEYE</t>
  </si>
  <si>
    <t>AKINGBADE AKEEM</t>
  </si>
  <si>
    <t>OYELEYE BABATUNDE</t>
  </si>
  <si>
    <t>EZEBIRO EMEKA</t>
  </si>
  <si>
    <t>AKPO JACOB</t>
  </si>
  <si>
    <t>ONUOHA OBINNA</t>
  </si>
  <si>
    <t>AYODELE OGUNYEMI</t>
  </si>
  <si>
    <t>NDUBUISI OZILI</t>
  </si>
  <si>
    <t>OMOGBOLAHAN RASAK</t>
  </si>
  <si>
    <t>OVAT STANLEY</t>
  </si>
  <si>
    <t>RASAK ADEOSUN</t>
  </si>
  <si>
    <t>JULIUS AWOYEMI</t>
  </si>
  <si>
    <t>IDOWU GANIYU</t>
  </si>
  <si>
    <t>KUFREOBONG AKPAN</t>
  </si>
  <si>
    <t>AIYEDE OKERE</t>
  </si>
  <si>
    <t>OLAWALE SADIQ</t>
  </si>
  <si>
    <t>OKEOWO ADEBANJO</t>
  </si>
  <si>
    <t>JULIUS TAIWO</t>
  </si>
  <si>
    <t>DAVID EMEH</t>
  </si>
  <si>
    <t>ABEL UGBEKILE</t>
  </si>
  <si>
    <t>KAMORUDEEN YUNUS</t>
  </si>
  <si>
    <t>ANTHONY EZEAGU</t>
  </si>
  <si>
    <t>CHRISTIAN AGBATA</t>
  </si>
  <si>
    <t>ABEL DANIEL</t>
  </si>
  <si>
    <t>AYUBA OGUNBONA</t>
  </si>
  <si>
    <t>SUNDAY KENECHUKWU</t>
  </si>
  <si>
    <t>NZEDURU NGOZIKA</t>
  </si>
  <si>
    <t>JEREMIAH DAVID</t>
  </si>
  <si>
    <t>PETER OJO</t>
  </si>
  <si>
    <t>YERIMA SUNDAY</t>
  </si>
  <si>
    <t>TEMIDAYO AJAYI</t>
  </si>
  <si>
    <t>MICAH FRED</t>
  </si>
  <si>
    <t>SHITTU WALE</t>
  </si>
  <si>
    <t>ABIODUN OYEWOLE</t>
  </si>
  <si>
    <t>ORJIKA CHUKWUDUMEBI</t>
  </si>
  <si>
    <t>JOSEPH ADENIYI</t>
  </si>
  <si>
    <t>MUYIWA BADEJO</t>
  </si>
  <si>
    <t>TAJUDEEN ADESEYE</t>
  </si>
  <si>
    <t>AKINNIFESI TOYIN</t>
  </si>
  <si>
    <t>OBILIKWU JOHN</t>
  </si>
  <si>
    <t>JAMES NGELE</t>
  </si>
  <si>
    <t>DANIEL UDECHUKWU</t>
  </si>
  <si>
    <t>ADEDOYIN DUROJAIYE</t>
  </si>
  <si>
    <t>OLUWASEYI ADEBANJO</t>
  </si>
  <si>
    <t>STANLEY AIGBOVBOILE</t>
  </si>
  <si>
    <t>BABA  IDOKO</t>
  </si>
  <si>
    <t>JOHN OHIEMBOR</t>
  </si>
  <si>
    <t>NDUBUISI TORTI</t>
  </si>
  <si>
    <t>JIMMY UDOH</t>
  </si>
  <si>
    <t>JUDE EZE</t>
  </si>
  <si>
    <t>SUNDAY ADENIJI</t>
  </si>
  <si>
    <t>RABIU ADEGBOLADE</t>
  </si>
  <si>
    <t>EKWERE AKPAN</t>
  </si>
  <si>
    <t>AJAYI ADEBAYO</t>
  </si>
  <si>
    <t>GIDEON AKINGBOYE</t>
  </si>
  <si>
    <t>IDOWU ADELEKE</t>
  </si>
  <si>
    <t>AKINLABI AKINMOLADUN</t>
  </si>
  <si>
    <t>STEVE ERAGHARE</t>
  </si>
  <si>
    <t>ADEBISI OLALEKAN</t>
  </si>
  <si>
    <t>TAIWO GABRIEL</t>
  </si>
  <si>
    <t>MUSA AZEMOBO</t>
  </si>
  <si>
    <t>FUAD ODUNNIYI</t>
  </si>
  <si>
    <t>OKEY NGELE</t>
  </si>
  <si>
    <t>AYOMIDE FASHINA</t>
  </si>
  <si>
    <t>WASIU ONABANJO</t>
  </si>
  <si>
    <t>IFEANYI ABEL</t>
  </si>
  <si>
    <t>TIMOTHY  ADEKANBI</t>
  </si>
  <si>
    <t>EMMANUEL AZIEKWE</t>
  </si>
  <si>
    <t>SALAWU MUYIDEEN</t>
  </si>
  <si>
    <t>VALINS AMADI</t>
  </si>
  <si>
    <t>USMAN  KAREEM</t>
  </si>
  <si>
    <t>UBANI BARTHOLOMEN</t>
  </si>
  <si>
    <t>OLUWATOSIN ADEBAYO</t>
  </si>
  <si>
    <t>ADESHINA ADEYEMI</t>
  </si>
  <si>
    <t>ADEKUNLE AWE</t>
  </si>
  <si>
    <t>PETER ODJEGBA</t>
  </si>
  <si>
    <t>DANIEL NWODO</t>
  </si>
  <si>
    <t>SAMUEL FATOYINBO</t>
  </si>
  <si>
    <t>PAUL OKPUTU</t>
  </si>
  <si>
    <t>CHIBUZO ANANU</t>
  </si>
  <si>
    <t>BENJAMIN OKONIYA</t>
  </si>
  <si>
    <t>NKANU THOMPSON</t>
  </si>
  <si>
    <t>EBIALE VINCENT</t>
  </si>
  <si>
    <t>ISMAIL AKANDE</t>
  </si>
  <si>
    <t>SUNDAY OWOLABI</t>
  </si>
  <si>
    <t>CHARLES AKAKA</t>
  </si>
  <si>
    <t>TUNDE OYEWOLE</t>
  </si>
  <si>
    <t>COMPANY</t>
  </si>
  <si>
    <t>DLE</t>
  </si>
  <si>
    <t>HEADCOUNT</t>
  </si>
  <si>
    <t>GROSS PAY</t>
  </si>
  <si>
    <t>NET PAY</t>
  </si>
  <si>
    <t>AUGUST 2026 DAYRATE PAYMENT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</si>
</sst>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7"/>
      <name val="Verdana"/>
      <family val="2"/>
    </font>
    <font>
      <sz val="7"/>
      <name val="Verdana"/>
      <family val="2"/>
    </font>
    <font>
      <sz val="6"/>
      <name val="Verdana"/>
      <family val="2"/>
    </font>
    <font>
      <sz val="7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right" vertical="top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0" fontId="3" fillId="0" borderId="0" xfId="0" applyFont="1" applyAlignment="1">
      <alignment horizontal="left" vertical="center" wrapText="1" shrinkToFit="1" readingOrder="1"/>
    </xf>
    <xf numFmtId="4" fontId="2" fillId="0" borderId="0" xfId="0" applyNumberFormat="1" applyFont="1" applyAlignment="1">
      <alignment horizontal="right" vertical="center" wrapText="1" shrinkToFit="1" readingOrder="1"/>
    </xf>
    <xf numFmtId="43" fontId="0" fillId="0" borderId="0" xfId="0" applyNumberFormat="1"/>
    <xf numFmtId="43" fontId="7" fillId="0" borderId="0" xfId="1" applyFont="1"/>
    <xf numFmtId="0" fontId="1" fillId="0" borderId="0" xfId="0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center" wrapText="1" shrinkToFit="1" readingOrder="1"/>
    </xf>
    <xf numFmtId="0" fontId="0" fillId="2" borderId="0" xfId="0" applyFill="1"/>
    <xf numFmtId="4" fontId="0" fillId="2" borderId="0" xfId="0" applyNumberFormat="1" applyFill="1"/>
    <xf numFmtId="43" fontId="0" fillId="2" borderId="0" xfId="0" applyNumberFormat="1" applyFill="1"/>
    <xf numFmtId="49" fontId="10" fillId="0" borderId="0" xfId="0" applyNumberFormat="1" applyFont="1" applyAlignment="1">
      <alignment horizontal="left" vertical="top" wrapText="1" shrinkToFit="1" readingOrder="1"/>
    </xf>
    <xf numFmtId="0" fontId="11" fillId="0" borderId="0" xfId="0" applyFont="1"/>
    <xf numFmtId="49" fontId="10" fillId="0" borderId="0" xfId="0" applyNumberFormat="1" applyFont="1" applyAlignment="1">
      <alignment horizontal="left" vertical="center" wrapText="1" shrinkToFit="1" readingOrder="1"/>
    </xf>
    <xf numFmtId="4" fontId="10" fillId="0" borderId="0" xfId="0" applyNumberFormat="1" applyFont="1" applyAlignment="1">
      <alignment horizontal="right" vertical="center" wrapText="1" shrinkToFit="1" readingOrder="1"/>
    </xf>
    <xf numFmtId="4" fontId="11" fillId="0" borderId="0" xfId="0" applyNumberFormat="1" applyFont="1"/>
    <xf numFmtId="0" fontId="9" fillId="0" borderId="0" xfId="0" applyFont="1"/>
  </cellXfs>
  <cellStyles count="2">
    <cellStyle name="Comma" xfId="1" builtinId="3"/>
    <cellStyle name="Normal" xfId="0" builtinId="0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Verdana"/>
        <family val="2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Verdana"/>
        <family val="2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Verdana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center" textRotation="0" wrapText="1" indent="0" justifyLastLine="0" shrinkToFit="1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top" textRotation="0" wrapText="1" indent="0" justifyLastLine="0" shrinkToFit="1" readingOrder="1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center" textRotation="0" wrapText="1" indent="0" justifyLastLine="0" shrinkToFit="1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top" textRotation="0" wrapText="1" indent="0" justifyLastLine="0" shrinkToFit="1" readingOrder="1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5" formatCode="_(* #,##0.00_);_(* \(#,##0.00\);_(* &quot;-&quot;??_);_(@_)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C3B717-8159-47AC-9BFF-4F1EF8C7501C}" name="Table7" displayName="Table7" ref="A3:D6" totalsRowCount="1">
  <autoFilter ref="A3:D5" xr:uid="{82C3B717-8159-47AC-9BFF-4F1EF8C7501C}"/>
  <tableColumns count="4">
    <tableColumn id="1" xr3:uid="{57CAA51A-973E-4C88-88A0-9D5C66810408}" name="COMPANY" totalsRowLabel="Total"/>
    <tableColumn id="2" xr3:uid="{717AD2D4-FDAE-45C3-AEBD-EBDBCA173132}" name="HEADCOUNT" totalsRowFunction="sum">
      <calculatedColumnFormula>Table52[[#Totals],[Emp. Code]]</calculatedColumnFormula>
    </tableColumn>
    <tableColumn id="3" xr3:uid="{B2719325-DACC-4D36-918C-1ED226BAF8B3}" name="GROSS PAY" totalsRowFunction="sum" dataDxfId="6">
      <calculatedColumnFormula>Table52[[#Totals],[Gross Salary]]</calculatedColumnFormula>
    </tableColumn>
    <tableColumn id="4" xr3:uid="{8ED697CA-13CA-4917-9BBC-8089EB55EFD8}" name="NET PAY" totalsRowFunction="sum" dataDxfId="5">
      <calculatedColumnFormula>Table52[[#Totals],[Net Pay]]</calculatedColumnFormula>
    </tableColumn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28B760-A5F1-40C6-A8A1-3C3FF4A29E80}" name="Table4" displayName="Table4" ref="A1:AB183" totalsRowCount="1">
  <autoFilter ref="A1:AB182" xr:uid="{F228B760-A5F1-40C6-A8A1-3C3FF4A29E80}"/>
  <tableColumns count="28">
    <tableColumn id="1" xr3:uid="{31950060-AD8D-4CE6-B606-EE3362781C5A}" name="Emp. Code" totalsRowFunction="count"/>
    <tableColumn id="2" xr3:uid="{760F89D9-EFE6-490B-A3F6-FDEA0F9615A8}" name="First Name"/>
    <tableColumn id="3" xr3:uid="{E4FC8B79-2521-49B0-8CE7-9F86CD972954}" name="Last Name"/>
    <tableColumn id="4" xr3:uid="{0890C841-432A-456E-857C-93BE315B3E68}" name="Job Title"/>
    <tableColumn id="5" xr3:uid="{4CE3D16F-9375-4D0A-AFA7-DD3534A699CC}" name="Location"/>
    <tableColumn id="6" xr3:uid="{950DECCD-7737-4BDF-88EA-EE5995651485}" name="Daily Rate" dataDxfId="107"/>
    <tableColumn id="7" xr3:uid="{A4C7486F-6D5D-4DA8-AF19-8F33618FF8C7}" name="AGE" dataDxfId="106"/>
    <tableColumn id="8" xr3:uid="{437F9E5C-48C4-4B63-BD07-C29482C5B8D6}" name="Gender" dataDxfId="105"/>
    <tableColumn id="10" xr3:uid="{48803063-064E-42F7-9445-39753D5C0C5D}" name="Total Weekday" totalsRowFunction="sum" dataDxfId="104"/>
    <tableColumn id="31" xr3:uid="{97775B51-24FE-4D7A-8EF8-9AAC50E49FE5}" name="Weekday OVT" totalsRowFunction="sum" dataDxfId="103"/>
    <tableColumn id="11" xr3:uid="{D6EFF488-D63E-43D5-8418-35614E764DEC}" name="Total Saturday" totalsRowFunction="sum" dataDxfId="102"/>
    <tableColumn id="12" xr3:uid="{201E0686-0B7F-40D9-B6E6-AEEF160C3D1E}" name="Total Sunday" totalsRowFunction="sum" dataDxfId="101"/>
    <tableColumn id="14" xr3:uid="{23CFC9CF-F610-4CD2-BBD9-9CB70A192F15}" name="Night Worked" totalsRowFunction="sum" dataDxfId="100"/>
    <tableColumn id="15" xr3:uid="{2C39E6D4-98FC-43EF-B6CF-976C0E67603C}" name="Wkd Earning" totalsRowFunction="sum" dataDxfId="99" totalsRowDxfId="98">
      <calculatedColumnFormula>Table4[[#This Row],[Total Weekday]]*Table4[[#This Row],[Daily Rate]]</calculatedColumnFormula>
    </tableColumn>
    <tableColumn id="16" xr3:uid="{A6F366D7-0EE0-493C-ADEB-48808FEEFBCF}" name="Wkd Ovt Amt" totalsRowFunction="sum" dataDxfId="97" totalsRowDxfId="96">
      <calculatedColumnFormula>Table4[[#This Row],[Daily Rate]]/8*1.5*Table4[[#This Row],[Weekday OVT]]</calculatedColumnFormula>
    </tableColumn>
    <tableColumn id="17" xr3:uid="{2463F5BF-2846-43B1-A283-C9230B76E131}" name="Sat Ovt Amt" totalsRowFunction="sum" dataDxfId="95" totalsRowDxfId="94">
      <calculatedColumnFormula>Table4[[#This Row],[Daily Rate]]/8*(1.5*Table4[[#This Row],[Total Saturday]])</calculatedColumnFormula>
    </tableColumn>
    <tableColumn id="18" xr3:uid="{32A4D824-5701-44A6-94D8-3934C4088C1C}" name="Sun Ovt Amt" totalsRowFunction="sum" dataDxfId="93" totalsRowDxfId="92">
      <calculatedColumnFormula>Table4[[#This Row],[Daily Rate]]/8*(2*Table4[[#This Row],[Total Sunday]])</calculatedColumnFormula>
    </tableColumn>
    <tableColumn id="20" xr3:uid="{7B6C1A13-964B-49B2-ACB9-284F5F2EF933}" name="Night Amt" totalsRowFunction="sum" dataDxfId="34" totalsRowDxfId="91">
      <calculatedColumnFormula>2500*Table4[[#This Row],[Night Worked]]</calculatedColumnFormula>
    </tableColumn>
    <tableColumn id="21" xr3:uid="{B900D480-BC3E-4F0C-8C49-8CEF353E4B4C}" name="Meal Allowance" totalsRowFunction="sum" dataDxfId="90" totalsRowDxfId="89">
      <calculatedColumnFormula>500*Table4[[#This Row],[Total Weekday]]</calculatedColumnFormula>
    </tableColumn>
    <tableColumn id="22" xr3:uid="{6729F751-B2D2-46A9-B5B2-0DF968883A3D}" name="Transport" totalsRowFunction="sum" dataDxfId="88" totalsRowDxfId="87"/>
    <tableColumn id="32" xr3:uid="{A1CF7E45-FFF4-4952-91B5-84BCDA572832}" name="Site Allowance" totalsRowFunction="sum" dataDxfId="86" totalsRowDxfId="85"/>
    <tableColumn id="33" xr3:uid="{3C8EC9F9-99A8-436E-9E25-4A6C22250DBD}" name="TCM Meal" totalsRowFunction="sum" dataDxfId="84" totalsRowDxfId="83"/>
    <tableColumn id="34" xr3:uid="{01E86A64-0C98-4312-A84F-4104E3D4E096}" name="TCM TRANSPORT" totalsRowFunction="sum" dataDxfId="82" totalsRowDxfId="81"/>
    <tableColumn id="28" xr3:uid="{FD644107-4899-4AEF-99B8-C17534EF3138}" name="Arrears" totalsRowDxfId="36"/>
    <tableColumn id="24" xr3:uid="{C113C416-DB3D-4155-9D37-B9A14AF9BF93}" name="Total Earnings" totalsRowFunction="sum" dataDxfId="35" totalsRowDxfId="80">
      <calculatedColumnFormula>SUM(Table4[[#This Row],[Wkd Earning]:[Arrears]])</calculatedColumnFormula>
    </tableColumn>
    <tableColumn id="25" xr3:uid="{7A27D229-7DA8-4C53-BD12-D0F7930242FA}" name="WHT" totalsRowFunction="sum" dataDxfId="79" totalsRowDxfId="78">
      <calculatedColumnFormula>0.05*Table4[[#This Row],[Total Earnings]]</calculatedColumnFormula>
    </tableColumn>
    <tableColumn id="26" xr3:uid="{03F39323-67CB-4CD7-8007-08DDB3237504}" name="Gross Salary" totalsRowFunction="sum" dataDxfId="77" totalsRowDxfId="76">
      <calculatedColumnFormula>Table4[[#This Row],[Total Earnings]]</calculatedColumnFormula>
    </tableColumn>
    <tableColumn id="27" xr3:uid="{854673A5-D69E-4230-955A-B66AE6458634}" name="Net Pay" totalsRowFunction="sum" dataDxfId="75" totalsRowDxfId="74">
      <calculatedColumnFormula>Table4[[#This Row],[Gross Salary]]-Table4[[#This Row],[WHT]]</calculatedColumnFormula>
    </tableColumn>
  </tableColumns>
  <tableStyleInfo name="TableStyleLight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9EEE8-5F08-452E-85C0-4E4EA28B6935}" name="Table52" displayName="Table52" ref="A1:Y9" totalsRowCount="1">
  <autoFilter ref="A1:Y8" xr:uid="{E32ECF88-A0B8-44AB-9AF8-CD6E83981F7C}"/>
  <tableColumns count="25">
    <tableColumn id="1" xr3:uid="{879CEBDD-0466-4B91-B8E6-321A2F45C71B}" name="Emp. Code" totalsRowFunction="count"/>
    <tableColumn id="2" xr3:uid="{B2921B26-E14F-4114-AB18-A331F0EEC4F9}" name="First Name"/>
    <tableColumn id="3" xr3:uid="{4957A7AE-5203-41F6-806E-6F5B1857FE95}" name="Last Name"/>
    <tableColumn id="4" xr3:uid="{43C7F6B8-4544-4E44-80D0-C2F308A5F564}" name="Job Title"/>
    <tableColumn id="6" xr3:uid="{C9CF9068-4A09-4DD1-9F23-4FCF9FCA70F3}" name="Daily Rate" totalsRowFunction="sum" dataDxfId="73" totalsRowDxfId="72"/>
    <tableColumn id="7" xr3:uid="{86B9BB5C-7B03-4CE8-A6BD-B7079B6E8081}" name="Age" dataDxfId="71"/>
    <tableColumn id="8" xr3:uid="{83F5057E-4C40-4F1D-BF2A-1159C5C247D1}" name="Gender" dataDxfId="70"/>
    <tableColumn id="9" xr3:uid="{D4D029F4-6D39-4109-B3F0-26B1BF4180DF}" name="Total Weekday" totalsRowFunction="sum" dataDxfId="69"/>
    <tableColumn id="10" xr3:uid="{A398F111-6EE5-42F5-8886-AF3DB12EE8C2}" name="Weekday OVT" totalsRowFunction="sum" dataDxfId="68"/>
    <tableColumn id="11" xr3:uid="{C0A683D4-BDB0-404D-89D1-DBB8943FDD76}" name="Total Saturday" totalsRowFunction="sum" dataDxfId="67"/>
    <tableColumn id="12" xr3:uid="{DFB3845F-59C8-4242-91DC-A3DD9EBC7323}" name="Total Sunday" dataDxfId="66"/>
    <tableColumn id="13" xr3:uid="{4F6EDF5A-BEAD-41EC-B60D-85D06529EACB}" name="Public Holiday" dataDxfId="65"/>
    <tableColumn id="14" xr3:uid="{47FEDB3B-45E6-4A3E-BBBF-3C191CDF2B43}" name="Night Worked" dataDxfId="64"/>
    <tableColumn id="15" xr3:uid="{D7CE082B-EF1E-4948-B47D-EC7192D31A30}" name="Wkd Earning" totalsRowFunction="sum" dataDxfId="63" totalsRowDxfId="62">
      <calculatedColumnFormula>Table52[[#This Row],[Total Weekday]]*Table52[[#This Row],[Daily Rate]]</calculatedColumnFormula>
    </tableColumn>
    <tableColumn id="16" xr3:uid="{99B3C450-786F-4890-A3F4-3FAA92FEDF28}" name="Wkd Ovt Amt" totalsRowFunction="sum" dataDxfId="61" totalsRowDxfId="60">
      <calculatedColumnFormula>Table52[[#This Row],[Daily Rate]]/8*(1.5*Table52[[#This Row],[Weekday OVT]])</calculatedColumnFormula>
    </tableColumn>
    <tableColumn id="17" xr3:uid="{DA214CFC-9996-404A-B86C-DFF57413AADB}" name="Sat Ovt Amt" totalsRowFunction="sum" dataDxfId="59" totalsRowDxfId="58">
      <calculatedColumnFormula>Table52[[#This Row],[Daily Rate]]/8*(1.5*Table52[[#This Row],[Total Saturday]])</calculatedColumnFormula>
    </tableColumn>
    <tableColumn id="18" xr3:uid="{FCD7FFBC-6A06-4892-A66D-F0903750A08D}" name="Sun Ovt Amt" totalsRowFunction="sum" dataDxfId="57" totalsRowDxfId="56">
      <calculatedColumnFormula>Table52[[#This Row],[Daily Rate]]/8*(2*Table52[[#This Row],[Total Sunday]])</calculatedColumnFormula>
    </tableColumn>
    <tableColumn id="19" xr3:uid="{59AF9F9B-13AD-4585-8947-D38CD66548DF}" name="PH Amt" totalsRowFunction="sum" dataDxfId="55" totalsRowDxfId="54">
      <calculatedColumnFormula>Table52[[#This Row],[Daily Rate]]/8*(2*Table52[[#This Row],[Public Holiday]])</calculatedColumnFormula>
    </tableColumn>
    <tableColumn id="20" xr3:uid="{95884946-E4A0-426D-8A52-DFF3FA2D385C}" name="Night Amt" totalsRowFunction="sum" dataDxfId="53" totalsRowDxfId="52">
      <calculatedColumnFormula>1100*Table52[[#This Row],[Night Worked]]</calculatedColumnFormula>
    </tableColumn>
    <tableColumn id="21" xr3:uid="{5216F9CD-872B-460E-9B65-4C46B927D6B7}" name="Meal Allowance" totalsRowFunction="sum" dataDxfId="51" totalsRowDxfId="50">
      <calculatedColumnFormula>500*Table52[[#This Row],[Total Weekday]]</calculatedColumnFormula>
    </tableColumn>
    <tableColumn id="22" xr3:uid="{88584199-BAAC-4DDE-AE64-7B80AD84FEA4}" name="Transport" totalsRowFunction="sum" dataDxfId="49" totalsRowDxfId="48"/>
    <tableColumn id="24" xr3:uid="{F2C34763-CEF9-420E-BD70-A8F974012039}" name="Total Earnings" totalsRowFunction="sum" dataDxfId="47" totalsRowDxfId="46">
      <calculatedColumnFormula>SUM(Table52[[#This Row],[Wkd Earning]:[Transport]])</calculatedColumnFormula>
    </tableColumn>
    <tableColumn id="25" xr3:uid="{291F6EEF-ABBC-404F-8C62-AD07A6A5B5E9}" name="WHT" totalsRowFunction="sum" dataDxfId="45" totalsRowDxfId="44">
      <calculatedColumnFormula>0.05*Table52[[#This Row],[Total Earnings]]</calculatedColumnFormula>
    </tableColumn>
    <tableColumn id="26" xr3:uid="{0D60A6A0-4C1F-46F3-AC26-B27E3E8EA8D9}" name="Gross Salary" totalsRowFunction="sum" dataDxfId="43" totalsRowDxfId="42">
      <calculatedColumnFormula>Table52[[#This Row],[Total Earnings]]</calculatedColumnFormula>
    </tableColumn>
    <tableColumn id="27" xr3:uid="{7514F117-7F32-409A-A421-9FE34F2CEFEF}" name="Net Pay" totalsRowFunction="sum" dataDxfId="41" totalsRowDxfId="40">
      <calculatedColumnFormula>Table52[[#This Row],[Gross Salary]]-Table52[[#This Row],[WHT]]</calculatedColumnFormula>
    </tableColumn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B3C40-A00F-4434-A556-FA247A36A31E}" name="Table13" displayName="Table13" ref="A2:F184" totalsRowCount="1" headerRowDxfId="39" dataDxfId="38">
  <autoFilter ref="A2:F183" xr:uid="{10C0BE80-A38C-42A8-965F-5848588ECE23}"/>
  <tableColumns count="6">
    <tableColumn id="1" xr3:uid="{1991F4FF-0FAE-42C1-AA74-06A50144A624}" name="Employee Code" totalsRowFunction="count" dataDxfId="37" totalsRowDxfId="17"/>
    <tableColumn id="2" xr3:uid="{7C3D38E1-A9A2-4AEC-B4E8-0556E8E121CC}" name="Employee Name" dataDxfId="11" totalsRowDxfId="16"/>
    <tableColumn id="3" xr3:uid="{063C6110-BC13-4CCE-AAE8-588F26C22F19}" name="Bank" dataDxfId="10" totalsRowDxfId="15"/>
    <tableColumn id="4" xr3:uid="{6359A05D-A30E-4C0F-BD71-976A19EDD2A0}" name="Account No" dataDxfId="9" totalsRowDxfId="14"/>
    <tableColumn id="5" xr3:uid="{8AB8D4A0-57CE-4DA2-B7B5-E6BC1AE76202}" name="Sort Code" dataDxfId="8" totalsRowDxfId="13"/>
    <tableColumn id="6" xr3:uid="{FA4EDA64-3059-4D8B-BFD4-D5ABBF2E4E25}" name="NET Salary" totalsRowFunction="sum" dataDxfId="7" totalsRowDxfId="12">
      <calculatedColumnFormula>_xlfn.XLOOKUP(Table13[[#This Row],[Employee Code]],DLE!A:A,DLE!AB:AB)</calculatedColumnFormula>
    </tableColumn>
  </tableColumns>
  <tableStyleInfo name="TableStyleLight15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3E5948-5551-4502-9326-EFEF23824C6D}" name="Table146" displayName="Table146" ref="A2:G10" totalsRowCount="1" headerRowDxfId="33" dataDxfId="32">
  <autoFilter ref="A2:G9" xr:uid="{177EE783-07F7-47A8-BBE8-69BB056F0365}"/>
  <tableColumns count="7">
    <tableColumn id="1" xr3:uid="{4C2375F4-4597-4791-9EFB-3B0BDC7BBD73}" name="Employee Code" totalsRowFunction="count" dataDxfId="31" totalsRowDxfId="24"/>
    <tableColumn id="2" xr3:uid="{4509B2BF-D483-4C64-87FD-44CD7E913D31}" name="Employee Name" dataDxfId="30" totalsRowDxfId="23"/>
    <tableColumn id="3" xr3:uid="{0F156C07-43EE-4AE7-B892-817F774CCDBF}" name="Bank" dataDxfId="29" totalsRowDxfId="22"/>
    <tableColumn id="4" xr3:uid="{E3CD86A9-A0CB-4443-8508-52A95443B47D}" name="Account No" dataDxfId="28" totalsRowDxfId="21"/>
    <tableColumn id="5" xr3:uid="{F84F2E49-12C4-4685-A776-6562C80184BC}" name="Sort Code" dataDxfId="27" totalsRowDxfId="20"/>
    <tableColumn id="6" xr3:uid="{8BC09ECB-710E-4642-B87B-FABADEFF0FC6}" name="NET Salary" totalsRowFunction="sum" dataDxfId="26" totalsRowDxfId="19">
      <calculatedColumnFormula>_xlfn.XLOOKUP(Table146[[#This Row],[Employee Code]],#REF!,#REF!)</calculatedColumnFormula>
    </tableColumn>
    <tableColumn id="7" xr3:uid="{8BE5E43F-11BE-4148-900E-51AE09B58FDC}" name="Location" dataDxfId="25" totalsRowDxfId="1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2624-A15E-44AC-8309-2FAA7DC3A7CA}">
  <dimension ref="A1:D6"/>
  <sheetViews>
    <sheetView tabSelected="1" workbookViewId="0">
      <selection activeCell="J8" sqref="J8"/>
    </sheetView>
  </sheetViews>
  <sheetFormatPr defaultRowHeight="14.4" x14ac:dyDescent="0.3"/>
  <cols>
    <col min="1" max="1" width="39.44140625" bestFit="1" customWidth="1"/>
    <col min="2" max="2" width="13.77734375" customWidth="1"/>
    <col min="3" max="3" width="12.5546875" bestFit="1" customWidth="1"/>
    <col min="4" max="4" width="12.6640625" bestFit="1" customWidth="1"/>
  </cols>
  <sheetData>
    <row r="1" spans="1:4" x14ac:dyDescent="0.3">
      <c r="A1" s="21" t="s">
        <v>994</v>
      </c>
    </row>
    <row r="3" spans="1:4" x14ac:dyDescent="0.3">
      <c r="A3" t="s">
        <v>989</v>
      </c>
      <c r="B3" t="s">
        <v>991</v>
      </c>
      <c r="C3" t="s">
        <v>992</v>
      </c>
      <c r="D3" t="s">
        <v>993</v>
      </c>
    </row>
    <row r="4" spans="1:4" x14ac:dyDescent="0.3">
      <c r="A4" t="s">
        <v>990</v>
      </c>
      <c r="B4">
        <f>Table4[[#Totals],[Emp. Code]]</f>
        <v>181</v>
      </c>
      <c r="C4" s="1">
        <f>Table4[[#Totals],[Gross Salary]]</f>
        <v>68406170</v>
      </c>
      <c r="D4" s="1">
        <f>Table4[[#Totals],[Net Pay]]</f>
        <v>64985861.5</v>
      </c>
    </row>
    <row r="5" spans="1:4" x14ac:dyDescent="0.3">
      <c r="A5" t="s">
        <v>875</v>
      </c>
      <c r="B5">
        <f>Table52[[#Totals],[Emp. Code]]</f>
        <v>7</v>
      </c>
      <c r="C5" s="1">
        <f>Table52[[#Totals],[Gross Salary]]</f>
        <v>1656987.5</v>
      </c>
      <c r="D5" s="1">
        <f>Table52[[#Totals],[Net Pay]]</f>
        <v>1574138.125</v>
      </c>
    </row>
    <row r="6" spans="1:4" x14ac:dyDescent="0.3">
      <c r="A6" t="s">
        <v>876</v>
      </c>
      <c r="B6">
        <f>SUBTOTAL(109,Table7[HEADCOUNT])</f>
        <v>188</v>
      </c>
      <c r="C6" s="1">
        <f>SUBTOTAL(109,Table7[GROSS PAY])</f>
        <v>70063157.5</v>
      </c>
      <c r="D6" s="1">
        <f>SUBTOTAL(109,Table7[NET PAY])</f>
        <v>66559999.625</v>
      </c>
    </row>
  </sheetData>
  <pageMargins left="0.7" right="0.7" top="0.75" bottom="0.75" header="0.3" footer="0.3"/>
  <ignoredErrors>
    <ignoredError sqref="B4:D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C446-B2A7-4A90-AD8B-7C16E216F9AB}">
  <dimension ref="A1:AB184"/>
  <sheetViews>
    <sheetView topLeftCell="U170" zoomScale="86" zoomScaleNormal="86" workbookViewId="0">
      <selection activeCell="B185" sqref="B185"/>
    </sheetView>
  </sheetViews>
  <sheetFormatPr defaultRowHeight="14.4" x14ac:dyDescent="0.3"/>
  <cols>
    <col min="1" max="1" width="11.44140625" customWidth="1"/>
    <col min="2" max="2" width="14.88671875" customWidth="1"/>
    <col min="3" max="3" width="13.109375" customWidth="1"/>
    <col min="4" max="4" width="28.44140625" bestFit="1" customWidth="1"/>
    <col min="5" max="5" width="15" bestFit="1" customWidth="1"/>
    <col min="6" max="6" width="10.44140625" customWidth="1"/>
    <col min="7" max="7" width="7.77734375" customWidth="1"/>
    <col min="8" max="8" width="8.5546875" customWidth="1"/>
    <col min="9" max="9" width="12.77734375" customWidth="1"/>
    <col min="10" max="10" width="15.88671875" customWidth="1"/>
    <col min="11" max="11" width="17.77734375" customWidth="1"/>
    <col min="12" max="12" width="16.33203125" customWidth="1"/>
    <col min="13" max="13" width="16.21875" bestFit="1" customWidth="1"/>
    <col min="14" max="14" width="15.21875" bestFit="1" customWidth="1"/>
    <col min="15" max="15" width="16" customWidth="1"/>
    <col min="16" max="16" width="14.6640625" customWidth="1"/>
    <col min="17" max="17" width="15.77734375" bestFit="1" customWidth="1"/>
    <col min="18" max="18" width="13.6640625" bestFit="1" customWidth="1"/>
    <col min="19" max="19" width="18.5546875" bestFit="1" customWidth="1"/>
    <col min="20" max="20" width="14.6640625" customWidth="1"/>
    <col min="21" max="21" width="17.44140625" bestFit="1" customWidth="1"/>
    <col min="22" max="24" width="15" customWidth="1"/>
    <col min="25" max="25" width="16.6640625" bestFit="1" customWidth="1"/>
    <col min="26" max="26" width="17" customWidth="1"/>
    <col min="27" max="27" width="15" bestFit="1" customWidth="1"/>
    <col min="28" max="28" width="14" customWidth="1"/>
  </cols>
  <sheetData>
    <row r="1" spans="1:28" x14ac:dyDescent="0.3">
      <c r="A1" t="s">
        <v>798</v>
      </c>
      <c r="B1" t="s">
        <v>799</v>
      </c>
      <c r="C1" t="s">
        <v>800</v>
      </c>
      <c r="D1" t="s">
        <v>801</v>
      </c>
      <c r="E1" t="s">
        <v>497</v>
      </c>
      <c r="F1" t="s">
        <v>821</v>
      </c>
      <c r="G1" t="s">
        <v>822</v>
      </c>
      <c r="H1" t="s">
        <v>2</v>
      </c>
      <c r="I1" t="s">
        <v>823</v>
      </c>
      <c r="J1" t="s">
        <v>827</v>
      </c>
      <c r="K1" t="s">
        <v>824</v>
      </c>
      <c r="L1" t="s">
        <v>825</v>
      </c>
      <c r="M1" t="s">
        <v>828</v>
      </c>
      <c r="N1" t="s">
        <v>829</v>
      </c>
      <c r="O1" t="s">
        <v>830</v>
      </c>
      <c r="P1" t="s">
        <v>831</v>
      </c>
      <c r="Q1" t="s">
        <v>832</v>
      </c>
      <c r="R1" t="s">
        <v>834</v>
      </c>
      <c r="S1" t="s">
        <v>835</v>
      </c>
      <c r="T1" t="s">
        <v>836</v>
      </c>
      <c r="U1" t="s">
        <v>842</v>
      </c>
      <c r="V1" t="s">
        <v>843</v>
      </c>
      <c r="W1" t="s">
        <v>844</v>
      </c>
      <c r="X1" t="s">
        <v>886</v>
      </c>
      <c r="Y1" t="s">
        <v>837</v>
      </c>
      <c r="Z1" t="s">
        <v>838</v>
      </c>
      <c r="AA1" t="s">
        <v>839</v>
      </c>
      <c r="AB1" t="s">
        <v>3</v>
      </c>
    </row>
    <row r="2" spans="1:28" x14ac:dyDescent="0.3">
      <c r="A2" t="s">
        <v>30</v>
      </c>
      <c r="B2" t="s">
        <v>32</v>
      </c>
      <c r="C2" t="s">
        <v>31</v>
      </c>
      <c r="D2" t="s">
        <v>33</v>
      </c>
      <c r="E2" t="s">
        <v>8</v>
      </c>
      <c r="F2" s="1">
        <v>14050</v>
      </c>
      <c r="G2">
        <v>63</v>
      </c>
      <c r="H2" t="s">
        <v>7</v>
      </c>
      <c r="I2">
        <v>22</v>
      </c>
      <c r="J2">
        <v>13</v>
      </c>
      <c r="K2">
        <v>0</v>
      </c>
      <c r="L2">
        <v>0</v>
      </c>
      <c r="M2">
        <v>0</v>
      </c>
      <c r="N2" s="1">
        <f>Table4[[#This Row],[Total Weekday]]*Table4[[#This Row],[Daily Rate]]</f>
        <v>309100</v>
      </c>
      <c r="O2" s="9">
        <f>Table4[[#This Row],[Daily Rate]]/8*1.5*Table4[[#This Row],[Weekday OVT]]</f>
        <v>34246.875</v>
      </c>
      <c r="P2" s="1">
        <f>Table4[[#This Row],[Daily Rate]]/8*(1.5*Table4[[#This Row],[Total Saturday]])</f>
        <v>0</v>
      </c>
      <c r="Q2" s="1">
        <f>Table4[[#This Row],[Daily Rate]]/8*(2*Table4[[#This Row],[Total Sunday]])</f>
        <v>0</v>
      </c>
      <c r="R2" s="1">
        <f>2500*Table4[[#This Row],[Night Worked]]</f>
        <v>0</v>
      </c>
      <c r="S2" s="1">
        <f>500*Table4[[#This Row],[Total Weekday]]</f>
        <v>11000</v>
      </c>
      <c r="T2" s="1"/>
      <c r="U2" s="1"/>
      <c r="V2" s="1"/>
      <c r="W2" s="1"/>
      <c r="X2" s="1"/>
      <c r="Y2" s="1">
        <f>SUM(Table4[[#This Row],[Wkd Earning]:[Arrears]])</f>
        <v>354346.875</v>
      </c>
      <c r="Z2" s="1">
        <f>0.05*Table4[[#This Row],[Total Earnings]]</f>
        <v>17717.34375</v>
      </c>
      <c r="AA2" s="1">
        <f>Table4[[#This Row],[Total Earnings]]</f>
        <v>354346.875</v>
      </c>
      <c r="AB2" s="1">
        <f>Table4[[#This Row],[Gross Salary]]-Table4[[#This Row],[WHT]]</f>
        <v>336629.53125</v>
      </c>
    </row>
    <row r="3" spans="1:28" x14ac:dyDescent="0.3">
      <c r="A3" t="s">
        <v>111</v>
      </c>
      <c r="B3" t="s">
        <v>113</v>
      </c>
      <c r="C3" t="s">
        <v>112</v>
      </c>
      <c r="D3" t="s">
        <v>46</v>
      </c>
      <c r="E3" t="s">
        <v>8</v>
      </c>
      <c r="F3" s="1">
        <v>16700</v>
      </c>
      <c r="G3">
        <v>57</v>
      </c>
      <c r="H3" t="s">
        <v>7</v>
      </c>
      <c r="I3">
        <v>22</v>
      </c>
      <c r="J3">
        <v>10</v>
      </c>
      <c r="K3">
        <v>0</v>
      </c>
      <c r="L3">
        <v>0</v>
      </c>
      <c r="M3">
        <v>0</v>
      </c>
      <c r="N3" s="1">
        <f>Table4[[#This Row],[Total Weekday]]*Table4[[#This Row],[Daily Rate]]</f>
        <v>367400</v>
      </c>
      <c r="O3" s="8">
        <f>Table4[[#This Row],[Daily Rate]]/8*1.5*Table4[[#This Row],[Weekday OVT]]</f>
        <v>31312.5</v>
      </c>
      <c r="P3" s="1">
        <f>Table4[[#This Row],[Daily Rate]]/8*(1.5*Table4[[#This Row],[Total Saturday]])</f>
        <v>0</v>
      </c>
      <c r="Q3" s="1">
        <f>Table4[[#This Row],[Daily Rate]]/8*(2*Table4[[#This Row],[Total Sunday]])</f>
        <v>0</v>
      </c>
      <c r="R3" s="1">
        <f>2500*Table4[[#This Row],[Night Worked]]</f>
        <v>0</v>
      </c>
      <c r="S3" s="1">
        <f>500*Table4[[#This Row],[Total Weekday]]</f>
        <v>11000</v>
      </c>
      <c r="T3" s="1"/>
      <c r="U3" s="1"/>
      <c r="V3" s="1"/>
      <c r="W3" s="1"/>
      <c r="X3" s="1"/>
      <c r="Y3" s="1">
        <f>SUM(Table4[[#This Row],[Wkd Earning]:[Arrears]])</f>
        <v>409712.5</v>
      </c>
      <c r="Z3" s="1">
        <f>0.05*Table4[[#This Row],[Total Earnings]]</f>
        <v>20485.625</v>
      </c>
      <c r="AA3" s="1">
        <f>Table4[[#This Row],[Total Earnings]]</f>
        <v>409712.5</v>
      </c>
      <c r="AB3" s="1">
        <f>Table4[[#This Row],[Gross Salary]]-Table4[[#This Row],[WHT]]</f>
        <v>389226.875</v>
      </c>
    </row>
    <row r="4" spans="1:28" x14ac:dyDescent="0.3">
      <c r="A4" t="s">
        <v>308</v>
      </c>
      <c r="B4" t="s">
        <v>310</v>
      </c>
      <c r="C4" t="s">
        <v>309</v>
      </c>
      <c r="D4" t="s">
        <v>154</v>
      </c>
      <c r="E4" t="s">
        <v>8</v>
      </c>
      <c r="F4" s="1">
        <v>14050</v>
      </c>
      <c r="G4">
        <v>62</v>
      </c>
      <c r="H4" t="s">
        <v>7</v>
      </c>
      <c r="I4">
        <v>22</v>
      </c>
      <c r="J4">
        <v>14</v>
      </c>
      <c r="K4">
        <v>0</v>
      </c>
      <c r="L4">
        <v>0</v>
      </c>
      <c r="M4">
        <v>0</v>
      </c>
      <c r="N4" s="1">
        <f>Table4[[#This Row],[Total Weekday]]*Table4[[#This Row],[Daily Rate]]</f>
        <v>309100</v>
      </c>
      <c r="O4" s="8">
        <f>Table4[[#This Row],[Daily Rate]]/8*1.5*Table4[[#This Row],[Weekday OVT]]</f>
        <v>36881.25</v>
      </c>
      <c r="P4" s="1">
        <f>Table4[[#This Row],[Daily Rate]]/8*(1.5*Table4[[#This Row],[Total Saturday]])</f>
        <v>0</v>
      </c>
      <c r="Q4" s="1">
        <f>Table4[[#This Row],[Daily Rate]]/8*(2*Table4[[#This Row],[Total Sunday]])</f>
        <v>0</v>
      </c>
      <c r="R4" s="1">
        <f>2500*Table4[[#This Row],[Night Worked]]</f>
        <v>0</v>
      </c>
      <c r="S4" s="1">
        <f>500*Table4[[#This Row],[Total Weekday]]</f>
        <v>11000</v>
      </c>
      <c r="T4" s="1"/>
      <c r="U4" s="1"/>
      <c r="V4" s="1"/>
      <c r="W4" s="1"/>
      <c r="X4" s="1"/>
      <c r="Y4" s="1">
        <f>SUM(Table4[[#This Row],[Wkd Earning]:[Arrears]])</f>
        <v>356981.25</v>
      </c>
      <c r="Z4" s="1">
        <f>0.05*Table4[[#This Row],[Total Earnings]]</f>
        <v>17849.0625</v>
      </c>
      <c r="AA4" s="1">
        <f>Table4[[#This Row],[Total Earnings]]</f>
        <v>356981.25</v>
      </c>
      <c r="AB4" s="1">
        <f>Table4[[#This Row],[Gross Salary]]-Table4[[#This Row],[WHT]]</f>
        <v>339132.1875</v>
      </c>
    </row>
    <row r="5" spans="1:28" x14ac:dyDescent="0.3">
      <c r="A5" t="s">
        <v>4</v>
      </c>
      <c r="B5" t="s">
        <v>6</v>
      </c>
      <c r="C5" t="s">
        <v>5</v>
      </c>
      <c r="D5" t="s">
        <v>802</v>
      </c>
      <c r="E5" t="s">
        <v>8</v>
      </c>
      <c r="F5" s="1">
        <v>13050</v>
      </c>
      <c r="G5">
        <v>64</v>
      </c>
      <c r="H5" t="s">
        <v>7</v>
      </c>
      <c r="I5">
        <v>22</v>
      </c>
      <c r="J5">
        <v>12</v>
      </c>
      <c r="K5">
        <v>0</v>
      </c>
      <c r="L5">
        <v>0</v>
      </c>
      <c r="M5">
        <v>0</v>
      </c>
      <c r="N5" s="1">
        <f>Table4[[#This Row],[Total Weekday]]*Table4[[#This Row],[Daily Rate]]</f>
        <v>287100</v>
      </c>
      <c r="O5" s="8">
        <f>Table4[[#This Row],[Daily Rate]]/8*1.5*Table4[[#This Row],[Weekday OVT]]</f>
        <v>29362.5</v>
      </c>
      <c r="P5" s="1">
        <f>Table4[[#This Row],[Daily Rate]]/8*(1.5*Table4[[#This Row],[Total Saturday]])</f>
        <v>0</v>
      </c>
      <c r="Q5" s="1">
        <f>Table4[[#This Row],[Daily Rate]]/8*(2*Table4[[#This Row],[Total Sunday]])</f>
        <v>0</v>
      </c>
      <c r="R5" s="1">
        <f>2500*Table4[[#This Row],[Night Worked]]</f>
        <v>0</v>
      </c>
      <c r="S5" s="1">
        <f>500*Table4[[#This Row],[Total Weekday]]</f>
        <v>11000</v>
      </c>
      <c r="T5" s="1"/>
      <c r="U5" s="1"/>
      <c r="V5" s="1"/>
      <c r="W5" s="1"/>
      <c r="X5" s="1"/>
      <c r="Y5" s="1">
        <f>SUM(Table4[[#This Row],[Wkd Earning]:[Arrears]])</f>
        <v>327462.5</v>
      </c>
      <c r="Z5" s="1">
        <f>0.05*Table4[[#This Row],[Total Earnings]]</f>
        <v>16373.125</v>
      </c>
      <c r="AA5" s="1">
        <f>Table4[[#This Row],[Total Earnings]]</f>
        <v>327462.5</v>
      </c>
      <c r="AB5" s="1">
        <f>Table4[[#This Row],[Gross Salary]]-Table4[[#This Row],[WHT]]</f>
        <v>311089.375</v>
      </c>
    </row>
    <row r="6" spans="1:28" x14ac:dyDescent="0.3">
      <c r="A6" t="s">
        <v>9</v>
      </c>
      <c r="B6" t="s">
        <v>11</v>
      </c>
      <c r="C6" t="s">
        <v>10</v>
      </c>
      <c r="D6" t="s">
        <v>12</v>
      </c>
      <c r="E6" t="s">
        <v>8</v>
      </c>
      <c r="F6" s="1">
        <v>10250</v>
      </c>
      <c r="G6">
        <v>57</v>
      </c>
      <c r="H6" t="s">
        <v>7</v>
      </c>
      <c r="I6">
        <v>27</v>
      </c>
      <c r="J6">
        <v>43</v>
      </c>
      <c r="K6">
        <v>35</v>
      </c>
      <c r="L6">
        <v>10</v>
      </c>
      <c r="M6">
        <v>8</v>
      </c>
      <c r="N6" s="1">
        <f>Table4[[#This Row],[Total Weekday]]*Table4[[#This Row],[Daily Rate]]</f>
        <v>276750</v>
      </c>
      <c r="O6" s="8">
        <f>Table4[[#This Row],[Daily Rate]]/8*1.5*Table4[[#This Row],[Weekday OVT]]</f>
        <v>82640.625</v>
      </c>
      <c r="P6" s="1">
        <f>Table4[[#This Row],[Daily Rate]]/8*(1.5*Table4[[#This Row],[Total Saturday]])</f>
        <v>67265.625</v>
      </c>
      <c r="Q6" s="1">
        <f>Table4[[#This Row],[Daily Rate]]/8*(2*Table4[[#This Row],[Total Sunday]])</f>
        <v>25625</v>
      </c>
      <c r="R6" s="1">
        <f>2500*Table4[[#This Row],[Night Worked]]</f>
        <v>20000</v>
      </c>
      <c r="S6" s="1">
        <f>500*Table4[[#This Row],[Total Weekday]]</f>
        <v>13500</v>
      </c>
      <c r="T6" s="1"/>
      <c r="U6" s="1"/>
      <c r="V6" s="1"/>
      <c r="W6" s="1"/>
      <c r="X6" s="1"/>
      <c r="Y6" s="1">
        <f>SUM(Table4[[#This Row],[Wkd Earning]:[Arrears]])</f>
        <v>485781.25</v>
      </c>
      <c r="Z6" s="1">
        <f>0.05*Table4[[#This Row],[Total Earnings]]</f>
        <v>24289.0625</v>
      </c>
      <c r="AA6" s="1">
        <f>Table4[[#This Row],[Total Earnings]]</f>
        <v>485781.25</v>
      </c>
      <c r="AB6" s="1">
        <f>Table4[[#This Row],[Gross Salary]]-Table4[[#This Row],[WHT]]</f>
        <v>461492.1875</v>
      </c>
    </row>
    <row r="7" spans="1:28" x14ac:dyDescent="0.3">
      <c r="A7" t="s">
        <v>17</v>
      </c>
      <c r="B7" t="s">
        <v>19</v>
      </c>
      <c r="C7" t="s">
        <v>18</v>
      </c>
      <c r="D7" t="s">
        <v>20</v>
      </c>
      <c r="E7" t="s">
        <v>8</v>
      </c>
      <c r="F7" s="1">
        <v>17850</v>
      </c>
      <c r="G7">
        <v>78</v>
      </c>
      <c r="H7" t="s">
        <v>7</v>
      </c>
      <c r="I7">
        <v>22</v>
      </c>
      <c r="J7">
        <v>0</v>
      </c>
      <c r="K7">
        <v>0</v>
      </c>
      <c r="L7">
        <v>0</v>
      </c>
      <c r="M7">
        <v>0</v>
      </c>
      <c r="N7" s="1">
        <f>Table4[[#This Row],[Total Weekday]]*Table4[[#This Row],[Daily Rate]]</f>
        <v>392700</v>
      </c>
      <c r="O7" s="8">
        <f>Table4[[#This Row],[Daily Rate]]/8*1.5*Table4[[#This Row],[Weekday OVT]]</f>
        <v>0</v>
      </c>
      <c r="P7" s="1">
        <f>Table4[[#This Row],[Daily Rate]]/8*(1.5*Table4[[#This Row],[Total Saturday]])</f>
        <v>0</v>
      </c>
      <c r="Q7" s="1">
        <f>Table4[[#This Row],[Daily Rate]]/8*(2*Table4[[#This Row],[Total Sunday]])</f>
        <v>0</v>
      </c>
      <c r="R7" s="1">
        <f>2500*Table4[[#This Row],[Night Worked]]</f>
        <v>0</v>
      </c>
      <c r="S7" s="1">
        <f>500*Table4[[#This Row],[Total Weekday]]</f>
        <v>11000</v>
      </c>
      <c r="T7" s="1"/>
      <c r="U7" s="1"/>
      <c r="V7" s="1"/>
      <c r="W7" s="1"/>
      <c r="X7" s="1"/>
      <c r="Y7" s="1">
        <f>SUM(Table4[[#This Row],[Wkd Earning]:[Arrears]])</f>
        <v>403700</v>
      </c>
      <c r="Z7" s="1">
        <f>0.05*Table4[[#This Row],[Total Earnings]]</f>
        <v>20185</v>
      </c>
      <c r="AA7" s="1">
        <f>Table4[[#This Row],[Total Earnings]]</f>
        <v>403700</v>
      </c>
      <c r="AB7" s="1">
        <f>Table4[[#This Row],[Gross Salary]]-Table4[[#This Row],[WHT]]</f>
        <v>383515</v>
      </c>
    </row>
    <row r="8" spans="1:28" x14ac:dyDescent="0.3">
      <c r="A8" t="s">
        <v>26</v>
      </c>
      <c r="B8" t="s">
        <v>28</v>
      </c>
      <c r="C8" t="s">
        <v>27</v>
      </c>
      <c r="D8" t="s">
        <v>273</v>
      </c>
      <c r="E8" t="s">
        <v>8</v>
      </c>
      <c r="F8" s="1">
        <v>13150</v>
      </c>
      <c r="G8">
        <v>52</v>
      </c>
      <c r="H8" t="s">
        <v>7</v>
      </c>
      <c r="I8">
        <v>22</v>
      </c>
      <c r="J8">
        <v>10</v>
      </c>
      <c r="K8">
        <v>0</v>
      </c>
      <c r="L8">
        <v>0</v>
      </c>
      <c r="M8">
        <v>0</v>
      </c>
      <c r="N8" s="1">
        <f>Table4[[#This Row],[Total Weekday]]*Table4[[#This Row],[Daily Rate]]</f>
        <v>289300</v>
      </c>
      <c r="O8" s="8">
        <f>Table4[[#This Row],[Daily Rate]]/8*1.5*Table4[[#This Row],[Weekday OVT]]</f>
        <v>24656.25</v>
      </c>
      <c r="P8" s="1">
        <f>Table4[[#This Row],[Daily Rate]]/8*(1.5*Table4[[#This Row],[Total Saturday]])</f>
        <v>0</v>
      </c>
      <c r="Q8" s="1">
        <f>Table4[[#This Row],[Daily Rate]]/8*(2*Table4[[#This Row],[Total Sunday]])</f>
        <v>0</v>
      </c>
      <c r="R8" s="1">
        <f>2500*Table4[[#This Row],[Night Worked]]</f>
        <v>0</v>
      </c>
      <c r="S8" s="1">
        <f>500*Table4[[#This Row],[Total Weekday]]</f>
        <v>11000</v>
      </c>
      <c r="T8" s="1"/>
      <c r="U8" s="1"/>
      <c r="V8" s="1"/>
      <c r="W8" s="1"/>
      <c r="X8" s="1"/>
      <c r="Y8" s="1">
        <f>SUM(Table4[[#This Row],[Wkd Earning]:[Arrears]])</f>
        <v>324956.25</v>
      </c>
      <c r="Z8" s="1">
        <f>0.05*Table4[[#This Row],[Total Earnings]]</f>
        <v>16247.8125</v>
      </c>
      <c r="AA8" s="1">
        <f>Table4[[#This Row],[Total Earnings]]</f>
        <v>324956.25</v>
      </c>
      <c r="AB8" s="1">
        <f>Table4[[#This Row],[Gross Salary]]-Table4[[#This Row],[WHT]]</f>
        <v>308708.4375</v>
      </c>
    </row>
    <row r="9" spans="1:28" s="13" customFormat="1" x14ac:dyDescent="0.3">
      <c r="A9" s="13" t="s">
        <v>43</v>
      </c>
      <c r="B9" s="13" t="s">
        <v>45</v>
      </c>
      <c r="C9" s="13" t="s">
        <v>44</v>
      </c>
      <c r="D9" s="13" t="s">
        <v>46</v>
      </c>
      <c r="E9" s="13" t="s">
        <v>8</v>
      </c>
      <c r="F9" s="14">
        <v>23500</v>
      </c>
      <c r="G9" s="13">
        <v>55</v>
      </c>
      <c r="H9" s="13" t="s">
        <v>7</v>
      </c>
      <c r="I9" s="13">
        <v>25</v>
      </c>
      <c r="J9" s="13">
        <v>15</v>
      </c>
      <c r="K9" s="13">
        <v>6</v>
      </c>
      <c r="L9" s="13">
        <v>0</v>
      </c>
      <c r="M9" s="13">
        <v>0</v>
      </c>
      <c r="N9" s="14">
        <f>Table4[[#This Row],[Total Weekday]]*Table4[[#This Row],[Daily Rate]]</f>
        <v>587500</v>
      </c>
      <c r="O9" s="15">
        <f>Table4[[#This Row],[Daily Rate]]/8*1.5*Table4[[#This Row],[Weekday OVT]]</f>
        <v>66093.75</v>
      </c>
      <c r="P9" s="14">
        <f>Table4[[#This Row],[Daily Rate]]/8*(1.5*Table4[[#This Row],[Total Saturday]])</f>
        <v>26437.5</v>
      </c>
      <c r="Q9" s="14">
        <f>Table4[[#This Row],[Daily Rate]]/8*(2*Table4[[#This Row],[Total Sunday]])</f>
        <v>0</v>
      </c>
      <c r="R9" s="14">
        <f>2500*Table4[[#This Row],[Night Worked]]</f>
        <v>0</v>
      </c>
      <c r="S9" s="14">
        <f>500*Table4[[#This Row],[Total Weekday]]</f>
        <v>12500</v>
      </c>
      <c r="T9" s="14">
        <v>12000</v>
      </c>
      <c r="U9" s="14"/>
      <c r="V9" s="14"/>
      <c r="W9" s="14"/>
      <c r="X9" s="14"/>
      <c r="Y9" s="14">
        <f>SUM(Table4[[#This Row],[Wkd Earning]:[Arrears]])</f>
        <v>704531.25</v>
      </c>
      <c r="Z9" s="14">
        <f>0.05*Table4[[#This Row],[Total Earnings]]</f>
        <v>35226.5625</v>
      </c>
      <c r="AA9" s="14">
        <f>Table4[[#This Row],[Total Earnings]]</f>
        <v>704531.25</v>
      </c>
      <c r="AB9" s="14">
        <f>Table4[[#This Row],[Gross Salary]]-Table4[[#This Row],[WHT]]</f>
        <v>669304.6875</v>
      </c>
    </row>
    <row r="10" spans="1:28" x14ac:dyDescent="0.3">
      <c r="A10" t="s">
        <v>51</v>
      </c>
      <c r="B10" t="s">
        <v>52</v>
      </c>
      <c r="C10" t="s">
        <v>32</v>
      </c>
      <c r="D10" t="s">
        <v>53</v>
      </c>
      <c r="E10" t="s">
        <v>8</v>
      </c>
      <c r="F10" s="1">
        <v>10250</v>
      </c>
      <c r="G10">
        <v>46</v>
      </c>
      <c r="H10" t="s">
        <v>7</v>
      </c>
      <c r="I10">
        <v>22</v>
      </c>
      <c r="J10">
        <v>10</v>
      </c>
      <c r="K10">
        <v>0</v>
      </c>
      <c r="L10">
        <v>0</v>
      </c>
      <c r="M10">
        <v>0</v>
      </c>
      <c r="N10" s="1">
        <f>Table4[[#This Row],[Total Weekday]]*Table4[[#This Row],[Daily Rate]]</f>
        <v>225500</v>
      </c>
      <c r="O10" s="8">
        <f>Table4[[#This Row],[Daily Rate]]/8*1.5*Table4[[#This Row],[Weekday OVT]]</f>
        <v>19218.75</v>
      </c>
      <c r="P10" s="1">
        <f>Table4[[#This Row],[Daily Rate]]/8*(1.5*Table4[[#This Row],[Total Saturday]])</f>
        <v>0</v>
      </c>
      <c r="Q10" s="1">
        <f>Table4[[#This Row],[Daily Rate]]/8*(2*Table4[[#This Row],[Total Sunday]])</f>
        <v>0</v>
      </c>
      <c r="R10" s="1">
        <f>2500*Table4[[#This Row],[Night Worked]]</f>
        <v>0</v>
      </c>
      <c r="S10" s="1">
        <f>500*Table4[[#This Row],[Total Weekday]]</f>
        <v>11000</v>
      </c>
      <c r="T10" s="1"/>
      <c r="U10" s="1"/>
      <c r="V10" s="1"/>
      <c r="W10" s="1"/>
      <c r="X10" s="1"/>
      <c r="Y10" s="1">
        <f>SUM(Table4[[#This Row],[Wkd Earning]:[Arrears]])</f>
        <v>255718.75</v>
      </c>
      <c r="Z10" s="1">
        <f>0.05*Table4[[#This Row],[Total Earnings]]</f>
        <v>12785.9375</v>
      </c>
      <c r="AA10" s="1">
        <f>Table4[[#This Row],[Total Earnings]]</f>
        <v>255718.75</v>
      </c>
      <c r="AB10" s="1">
        <f>Table4[[#This Row],[Gross Salary]]-Table4[[#This Row],[WHT]]</f>
        <v>242932.8125</v>
      </c>
    </row>
    <row r="11" spans="1:28" x14ac:dyDescent="0.3">
      <c r="A11" t="s">
        <v>61</v>
      </c>
      <c r="B11" t="s">
        <v>63</v>
      </c>
      <c r="C11" t="s">
        <v>62</v>
      </c>
      <c r="D11" t="s">
        <v>40</v>
      </c>
      <c r="E11" t="s">
        <v>8</v>
      </c>
      <c r="F11" s="1">
        <v>10250</v>
      </c>
      <c r="G11">
        <v>47</v>
      </c>
      <c r="H11" t="s">
        <v>7</v>
      </c>
      <c r="I11">
        <v>29</v>
      </c>
      <c r="J11">
        <v>15</v>
      </c>
      <c r="K11">
        <v>45</v>
      </c>
      <c r="L11">
        <v>20</v>
      </c>
      <c r="M11">
        <v>0</v>
      </c>
      <c r="N11" s="1">
        <f>Table4[[#This Row],[Total Weekday]]*Table4[[#This Row],[Daily Rate]]</f>
        <v>297250</v>
      </c>
      <c r="O11" s="8">
        <f>Table4[[#This Row],[Daily Rate]]/8*1.5*Table4[[#This Row],[Weekday OVT]]</f>
        <v>28828.125</v>
      </c>
      <c r="P11" s="1">
        <f>Table4[[#This Row],[Daily Rate]]/8*(1.5*Table4[[#This Row],[Total Saturday]])</f>
        <v>86484.375</v>
      </c>
      <c r="Q11" s="1">
        <f>Table4[[#This Row],[Daily Rate]]/8*(2*Table4[[#This Row],[Total Sunday]])</f>
        <v>51250</v>
      </c>
      <c r="R11" s="1">
        <f>2500*Table4[[#This Row],[Night Worked]]</f>
        <v>0</v>
      </c>
      <c r="S11" s="1">
        <f>500*Table4[[#This Row],[Total Weekday]]</f>
        <v>14500</v>
      </c>
      <c r="T11" s="1"/>
      <c r="U11" s="1"/>
      <c r="V11" s="1"/>
      <c r="W11" s="1"/>
      <c r="X11" s="1"/>
      <c r="Y11" s="1">
        <f>SUM(Table4[[#This Row],[Wkd Earning]:[Arrears]])</f>
        <v>478312.5</v>
      </c>
      <c r="Z11" s="1">
        <f>0.05*Table4[[#This Row],[Total Earnings]]</f>
        <v>23915.625</v>
      </c>
      <c r="AA11" s="1">
        <f>Table4[[#This Row],[Total Earnings]]</f>
        <v>478312.5</v>
      </c>
      <c r="AB11" s="1">
        <f>Table4[[#This Row],[Gross Salary]]-Table4[[#This Row],[WHT]]</f>
        <v>454396.875</v>
      </c>
    </row>
    <row r="12" spans="1:28" x14ac:dyDescent="0.3">
      <c r="A12" t="s">
        <v>67</v>
      </c>
      <c r="B12" t="s">
        <v>69</v>
      </c>
      <c r="C12" t="s">
        <v>68</v>
      </c>
      <c r="D12" t="s">
        <v>46</v>
      </c>
      <c r="E12" t="s">
        <v>8</v>
      </c>
      <c r="F12" s="1">
        <v>23500</v>
      </c>
      <c r="G12">
        <v>38</v>
      </c>
      <c r="H12" t="s">
        <v>7</v>
      </c>
      <c r="I12">
        <v>25</v>
      </c>
      <c r="J12">
        <v>10</v>
      </c>
      <c r="K12">
        <v>11</v>
      </c>
      <c r="L12">
        <v>0</v>
      </c>
      <c r="M12">
        <v>0</v>
      </c>
      <c r="N12" s="1">
        <f>Table4[[#This Row],[Total Weekday]]*Table4[[#This Row],[Daily Rate]]</f>
        <v>587500</v>
      </c>
      <c r="O12" s="8">
        <f>Table4[[#This Row],[Daily Rate]]/8*1.5*Table4[[#This Row],[Weekday OVT]]</f>
        <v>44062.5</v>
      </c>
      <c r="P12" s="1">
        <f>Table4[[#This Row],[Daily Rate]]/8*(1.5*Table4[[#This Row],[Total Saturday]])</f>
        <v>48468.75</v>
      </c>
      <c r="Q12" s="1">
        <f>Table4[[#This Row],[Daily Rate]]/8*(2*Table4[[#This Row],[Total Sunday]])</f>
        <v>0</v>
      </c>
      <c r="R12" s="1">
        <f>2500*Table4[[#This Row],[Night Worked]]</f>
        <v>0</v>
      </c>
      <c r="S12" s="1">
        <f>500*Table4[[#This Row],[Total Weekday]]</f>
        <v>12500</v>
      </c>
      <c r="T12" s="1"/>
      <c r="U12" s="1"/>
      <c r="V12" s="1"/>
      <c r="W12" s="1"/>
      <c r="X12" s="1"/>
      <c r="Y12" s="1">
        <f>SUM(Table4[[#This Row],[Wkd Earning]:[Arrears]])</f>
        <v>692531.25</v>
      </c>
      <c r="Z12" s="1">
        <f>0.05*Table4[[#This Row],[Total Earnings]]</f>
        <v>34626.5625</v>
      </c>
      <c r="AA12" s="1">
        <f>Table4[[#This Row],[Total Earnings]]</f>
        <v>692531.25</v>
      </c>
      <c r="AB12" s="1">
        <f>Table4[[#This Row],[Gross Salary]]-Table4[[#This Row],[WHT]]</f>
        <v>657904.6875</v>
      </c>
    </row>
    <row r="13" spans="1:28" x14ac:dyDescent="0.3">
      <c r="A13" t="s">
        <v>75</v>
      </c>
      <c r="B13" t="s">
        <v>77</v>
      </c>
      <c r="C13" t="s">
        <v>76</v>
      </c>
      <c r="D13" t="s">
        <v>803</v>
      </c>
      <c r="E13" t="s">
        <v>8</v>
      </c>
      <c r="F13" s="1">
        <v>23500</v>
      </c>
      <c r="G13">
        <v>62</v>
      </c>
      <c r="H13" t="s">
        <v>7</v>
      </c>
      <c r="I13">
        <v>24</v>
      </c>
      <c r="J13">
        <v>17</v>
      </c>
      <c r="K13">
        <v>0</v>
      </c>
      <c r="L13">
        <v>0</v>
      </c>
      <c r="M13">
        <v>0</v>
      </c>
      <c r="N13" s="1">
        <f>Table4[[#This Row],[Total Weekday]]*Table4[[#This Row],[Daily Rate]]</f>
        <v>564000</v>
      </c>
      <c r="O13" s="8">
        <f>Table4[[#This Row],[Daily Rate]]/8*1.5*Table4[[#This Row],[Weekday OVT]]</f>
        <v>74906.25</v>
      </c>
      <c r="P13" s="1">
        <f>Table4[[#This Row],[Daily Rate]]/8*(1.5*Table4[[#This Row],[Total Saturday]])</f>
        <v>0</v>
      </c>
      <c r="Q13" s="1">
        <f>Table4[[#This Row],[Daily Rate]]/8*(2*Table4[[#This Row],[Total Sunday]])</f>
        <v>0</v>
      </c>
      <c r="R13" s="1">
        <f>2500*Table4[[#This Row],[Night Worked]]</f>
        <v>0</v>
      </c>
      <c r="S13" s="1">
        <f>500*Table4[[#This Row],[Total Weekday]]</f>
        <v>12000</v>
      </c>
      <c r="T13" s="1"/>
      <c r="U13" s="1"/>
      <c r="V13" s="1"/>
      <c r="W13" s="1"/>
      <c r="X13" s="1"/>
      <c r="Y13" s="1">
        <f>SUM(Table4[[#This Row],[Wkd Earning]:[Arrears]])</f>
        <v>650906.25</v>
      </c>
      <c r="Z13" s="1">
        <f>0.05*Table4[[#This Row],[Total Earnings]]</f>
        <v>32545.3125</v>
      </c>
      <c r="AA13" s="1">
        <f>Table4[[#This Row],[Total Earnings]]</f>
        <v>650906.25</v>
      </c>
      <c r="AB13" s="1">
        <f>Table4[[#This Row],[Gross Salary]]-Table4[[#This Row],[WHT]]</f>
        <v>618360.9375</v>
      </c>
    </row>
    <row r="14" spans="1:28" x14ac:dyDescent="0.3">
      <c r="A14" t="s">
        <v>81</v>
      </c>
      <c r="B14" t="s">
        <v>83</v>
      </c>
      <c r="C14" t="s">
        <v>82</v>
      </c>
      <c r="D14" t="s">
        <v>154</v>
      </c>
      <c r="E14" t="s">
        <v>8</v>
      </c>
      <c r="F14" s="1">
        <v>14050</v>
      </c>
      <c r="G14">
        <v>49</v>
      </c>
      <c r="H14" t="s">
        <v>7</v>
      </c>
      <c r="I14">
        <v>22</v>
      </c>
      <c r="J14">
        <v>6</v>
      </c>
      <c r="K14">
        <v>0</v>
      </c>
      <c r="L14">
        <v>0</v>
      </c>
      <c r="M14">
        <v>0</v>
      </c>
      <c r="N14" s="1">
        <f>Table4[[#This Row],[Total Weekday]]*Table4[[#This Row],[Daily Rate]]</f>
        <v>309100</v>
      </c>
      <c r="O14" s="8">
        <f>Table4[[#This Row],[Daily Rate]]/8*1.5*Table4[[#This Row],[Weekday OVT]]</f>
        <v>15806.25</v>
      </c>
      <c r="P14" s="1">
        <f>Table4[[#This Row],[Daily Rate]]/8*(1.5*Table4[[#This Row],[Total Saturday]])</f>
        <v>0</v>
      </c>
      <c r="Q14" s="1">
        <f>Table4[[#This Row],[Daily Rate]]/8*(2*Table4[[#This Row],[Total Sunday]])</f>
        <v>0</v>
      </c>
      <c r="R14" s="1">
        <f>2500*Table4[[#This Row],[Night Worked]]</f>
        <v>0</v>
      </c>
      <c r="S14" s="1">
        <f>500*Table4[[#This Row],[Total Weekday]]</f>
        <v>11000</v>
      </c>
      <c r="T14" s="1"/>
      <c r="U14" s="1"/>
      <c r="V14" s="1"/>
      <c r="W14" s="1"/>
      <c r="X14" s="1"/>
      <c r="Y14" s="1">
        <f>SUM(Table4[[#This Row],[Wkd Earning]:[Arrears]])</f>
        <v>335906.25</v>
      </c>
      <c r="Z14" s="1">
        <f>0.05*Table4[[#This Row],[Total Earnings]]</f>
        <v>16795.3125</v>
      </c>
      <c r="AA14" s="1">
        <f>Table4[[#This Row],[Total Earnings]]</f>
        <v>335906.25</v>
      </c>
      <c r="AB14" s="1">
        <f>Table4[[#This Row],[Gross Salary]]-Table4[[#This Row],[WHT]]</f>
        <v>319110.9375</v>
      </c>
    </row>
    <row r="15" spans="1:28" x14ac:dyDescent="0.3">
      <c r="A15" t="s">
        <v>92</v>
      </c>
      <c r="B15" t="s">
        <v>94</v>
      </c>
      <c r="C15" t="s">
        <v>93</v>
      </c>
      <c r="D15" t="s">
        <v>154</v>
      </c>
      <c r="E15" t="s">
        <v>8</v>
      </c>
      <c r="F15" s="1">
        <v>14050</v>
      </c>
      <c r="G15">
        <v>56</v>
      </c>
      <c r="H15" t="s">
        <v>7</v>
      </c>
      <c r="I15">
        <v>22</v>
      </c>
      <c r="J15">
        <v>13</v>
      </c>
      <c r="K15">
        <v>0</v>
      </c>
      <c r="L15">
        <v>0</v>
      </c>
      <c r="M15">
        <v>0</v>
      </c>
      <c r="N15" s="1">
        <f>Table4[[#This Row],[Total Weekday]]*Table4[[#This Row],[Daily Rate]]</f>
        <v>309100</v>
      </c>
      <c r="O15" s="8">
        <f>Table4[[#This Row],[Daily Rate]]/8*1.5*Table4[[#This Row],[Weekday OVT]]</f>
        <v>34246.875</v>
      </c>
      <c r="P15" s="1">
        <f>Table4[[#This Row],[Daily Rate]]/8*(1.5*Table4[[#This Row],[Total Saturday]])</f>
        <v>0</v>
      </c>
      <c r="Q15" s="1">
        <f>Table4[[#This Row],[Daily Rate]]/8*(2*Table4[[#This Row],[Total Sunday]])</f>
        <v>0</v>
      </c>
      <c r="R15" s="1">
        <f>2500*Table4[[#This Row],[Night Worked]]</f>
        <v>0</v>
      </c>
      <c r="S15" s="1">
        <f>500*Table4[[#This Row],[Total Weekday]]</f>
        <v>11000</v>
      </c>
      <c r="T15" s="1"/>
      <c r="U15" s="1"/>
      <c r="V15" s="1"/>
      <c r="W15" s="1"/>
      <c r="X15" s="1"/>
      <c r="Y15" s="1">
        <f>SUM(Table4[[#This Row],[Wkd Earning]:[Arrears]])</f>
        <v>354346.875</v>
      </c>
      <c r="Z15" s="1">
        <f>0.05*Table4[[#This Row],[Total Earnings]]</f>
        <v>17717.34375</v>
      </c>
      <c r="AA15" s="1">
        <f>Table4[[#This Row],[Total Earnings]]</f>
        <v>354346.875</v>
      </c>
      <c r="AB15" s="1">
        <f>Table4[[#This Row],[Gross Salary]]-Table4[[#This Row],[WHT]]</f>
        <v>336629.53125</v>
      </c>
    </row>
    <row r="16" spans="1:28" x14ac:dyDescent="0.3">
      <c r="A16" t="s">
        <v>95</v>
      </c>
      <c r="B16" t="s">
        <v>63</v>
      </c>
      <c r="C16" t="s">
        <v>96</v>
      </c>
      <c r="D16" t="s">
        <v>53</v>
      </c>
      <c r="E16" t="s">
        <v>8</v>
      </c>
      <c r="F16" s="1">
        <v>10250</v>
      </c>
      <c r="G16">
        <v>61</v>
      </c>
      <c r="H16" t="s">
        <v>7</v>
      </c>
      <c r="I16">
        <v>22</v>
      </c>
      <c r="J16">
        <v>15</v>
      </c>
      <c r="K16">
        <v>0</v>
      </c>
      <c r="L16">
        <v>0</v>
      </c>
      <c r="M16">
        <v>0</v>
      </c>
      <c r="N16" s="1">
        <f>Table4[[#This Row],[Total Weekday]]*Table4[[#This Row],[Daily Rate]]</f>
        <v>225500</v>
      </c>
      <c r="O16" s="8">
        <f>Table4[[#This Row],[Daily Rate]]/8*1.5*Table4[[#This Row],[Weekday OVT]]</f>
        <v>28828.125</v>
      </c>
      <c r="P16" s="1">
        <f>Table4[[#This Row],[Daily Rate]]/8*(1.5*Table4[[#This Row],[Total Saturday]])</f>
        <v>0</v>
      </c>
      <c r="Q16" s="1">
        <f>Table4[[#This Row],[Daily Rate]]/8*(2*Table4[[#This Row],[Total Sunday]])</f>
        <v>0</v>
      </c>
      <c r="R16" s="1">
        <f>2500*Table4[[#This Row],[Night Worked]]</f>
        <v>0</v>
      </c>
      <c r="S16" s="1">
        <f>500*Table4[[#This Row],[Total Weekday]]</f>
        <v>11000</v>
      </c>
      <c r="T16" s="1"/>
      <c r="U16" s="1"/>
      <c r="V16" s="1"/>
      <c r="W16" s="1"/>
      <c r="X16" s="1"/>
      <c r="Y16" s="1">
        <f>SUM(Table4[[#This Row],[Wkd Earning]:[Arrears]])</f>
        <v>265328.125</v>
      </c>
      <c r="Z16" s="1">
        <f>0.05*Table4[[#This Row],[Total Earnings]]</f>
        <v>13266.40625</v>
      </c>
      <c r="AA16" s="1">
        <f>Table4[[#This Row],[Total Earnings]]</f>
        <v>265328.125</v>
      </c>
      <c r="AB16" s="1">
        <f>Table4[[#This Row],[Gross Salary]]-Table4[[#This Row],[WHT]]</f>
        <v>252061.71875</v>
      </c>
    </row>
    <row r="17" spans="1:28" x14ac:dyDescent="0.3">
      <c r="A17" t="s">
        <v>98</v>
      </c>
      <c r="B17" t="s">
        <v>100</v>
      </c>
      <c r="C17" t="s">
        <v>99</v>
      </c>
      <c r="D17" t="s">
        <v>154</v>
      </c>
      <c r="E17" t="s">
        <v>8</v>
      </c>
      <c r="F17" s="1">
        <v>14050</v>
      </c>
      <c r="G17">
        <v>45</v>
      </c>
      <c r="H17" t="s">
        <v>7</v>
      </c>
      <c r="I17">
        <v>22</v>
      </c>
      <c r="J17">
        <v>4</v>
      </c>
      <c r="K17">
        <v>0</v>
      </c>
      <c r="L17">
        <v>0</v>
      </c>
      <c r="M17">
        <v>0</v>
      </c>
      <c r="N17" s="1">
        <f>Table4[[#This Row],[Total Weekday]]*Table4[[#This Row],[Daily Rate]]</f>
        <v>309100</v>
      </c>
      <c r="O17" s="8">
        <f>Table4[[#This Row],[Daily Rate]]/8*1.5*Table4[[#This Row],[Weekday OVT]]</f>
        <v>10537.5</v>
      </c>
      <c r="P17" s="1">
        <f>Table4[[#This Row],[Daily Rate]]/8*(1.5*Table4[[#This Row],[Total Saturday]])</f>
        <v>0</v>
      </c>
      <c r="Q17" s="1">
        <f>Table4[[#This Row],[Daily Rate]]/8*(2*Table4[[#This Row],[Total Sunday]])</f>
        <v>0</v>
      </c>
      <c r="R17" s="1">
        <f>2500*Table4[[#This Row],[Night Worked]]</f>
        <v>0</v>
      </c>
      <c r="S17" s="1">
        <f>500*Table4[[#This Row],[Total Weekday]]</f>
        <v>11000</v>
      </c>
      <c r="T17" s="1"/>
      <c r="U17" s="1"/>
      <c r="V17" s="1"/>
      <c r="W17" s="1"/>
      <c r="X17" s="1"/>
      <c r="Y17" s="1">
        <f>SUM(Table4[[#This Row],[Wkd Earning]:[Arrears]])</f>
        <v>330637.5</v>
      </c>
      <c r="Z17" s="1">
        <f>0.05*Table4[[#This Row],[Total Earnings]]</f>
        <v>16531.875</v>
      </c>
      <c r="AA17" s="1">
        <f>Table4[[#This Row],[Total Earnings]]</f>
        <v>330637.5</v>
      </c>
      <c r="AB17" s="1">
        <f>Table4[[#This Row],[Gross Salary]]-Table4[[#This Row],[WHT]]</f>
        <v>314105.625</v>
      </c>
    </row>
    <row r="18" spans="1:28" x14ac:dyDescent="0.3">
      <c r="A18" t="s">
        <v>101</v>
      </c>
      <c r="B18" t="s">
        <v>103</v>
      </c>
      <c r="C18" t="s">
        <v>102</v>
      </c>
      <c r="D18" t="s">
        <v>53</v>
      </c>
      <c r="E18" t="s">
        <v>8</v>
      </c>
      <c r="F18" s="1">
        <v>10250</v>
      </c>
      <c r="G18">
        <v>59</v>
      </c>
      <c r="H18" t="s">
        <v>7</v>
      </c>
      <c r="I18">
        <v>22</v>
      </c>
      <c r="J18">
        <v>13</v>
      </c>
      <c r="K18">
        <v>0</v>
      </c>
      <c r="L18">
        <v>0</v>
      </c>
      <c r="M18">
        <v>0</v>
      </c>
      <c r="N18" s="1">
        <f>Table4[[#This Row],[Total Weekday]]*Table4[[#This Row],[Daily Rate]]</f>
        <v>225500</v>
      </c>
      <c r="O18" s="8">
        <f>Table4[[#This Row],[Daily Rate]]/8*1.5*Table4[[#This Row],[Weekday OVT]]</f>
        <v>24984.375</v>
      </c>
      <c r="P18" s="1">
        <f>Table4[[#This Row],[Daily Rate]]/8*(1.5*Table4[[#This Row],[Total Saturday]])</f>
        <v>0</v>
      </c>
      <c r="Q18" s="1">
        <f>Table4[[#This Row],[Daily Rate]]/8*(2*Table4[[#This Row],[Total Sunday]])</f>
        <v>0</v>
      </c>
      <c r="R18" s="1">
        <f>2500*Table4[[#This Row],[Night Worked]]</f>
        <v>0</v>
      </c>
      <c r="S18" s="1">
        <f>500*Table4[[#This Row],[Total Weekday]]</f>
        <v>11000</v>
      </c>
      <c r="T18" s="1"/>
      <c r="U18" s="1"/>
      <c r="V18" s="1"/>
      <c r="W18" s="1"/>
      <c r="X18" s="1"/>
      <c r="Y18" s="1">
        <f>SUM(Table4[[#This Row],[Wkd Earning]:[Arrears]])</f>
        <v>261484.375</v>
      </c>
      <c r="Z18" s="1">
        <f>0.05*Table4[[#This Row],[Total Earnings]]</f>
        <v>13074.21875</v>
      </c>
      <c r="AA18" s="1">
        <f>Table4[[#This Row],[Total Earnings]]</f>
        <v>261484.375</v>
      </c>
      <c r="AB18" s="1">
        <f>Table4[[#This Row],[Gross Salary]]-Table4[[#This Row],[WHT]]</f>
        <v>248410.15625</v>
      </c>
    </row>
    <row r="19" spans="1:28" x14ac:dyDescent="0.3">
      <c r="A19" t="s">
        <v>104</v>
      </c>
      <c r="B19" t="s">
        <v>106</v>
      </c>
      <c r="C19" t="s">
        <v>105</v>
      </c>
      <c r="D19" t="s">
        <v>107</v>
      </c>
      <c r="E19" t="s">
        <v>8</v>
      </c>
      <c r="F19" s="1">
        <v>8600</v>
      </c>
      <c r="G19">
        <v>35</v>
      </c>
      <c r="H19" t="s">
        <v>7</v>
      </c>
      <c r="I19">
        <v>22</v>
      </c>
      <c r="J19">
        <v>0</v>
      </c>
      <c r="K19">
        <v>0</v>
      </c>
      <c r="L19">
        <v>0</v>
      </c>
      <c r="M19">
        <v>0</v>
      </c>
      <c r="N19" s="1">
        <f>Table4[[#This Row],[Total Weekday]]*Table4[[#This Row],[Daily Rate]]</f>
        <v>189200</v>
      </c>
      <c r="O19" s="8">
        <f>Table4[[#This Row],[Daily Rate]]/8*1.5*Table4[[#This Row],[Weekday OVT]]</f>
        <v>0</v>
      </c>
      <c r="P19" s="1">
        <f>Table4[[#This Row],[Daily Rate]]/8*(1.5*Table4[[#This Row],[Total Saturday]])</f>
        <v>0</v>
      </c>
      <c r="Q19" s="1">
        <f>Table4[[#This Row],[Daily Rate]]/8*(2*Table4[[#This Row],[Total Sunday]])</f>
        <v>0</v>
      </c>
      <c r="R19" s="1">
        <f>2500*Table4[[#This Row],[Night Worked]]</f>
        <v>0</v>
      </c>
      <c r="S19" s="1">
        <f>500*Table4[[#This Row],[Total Weekday]]</f>
        <v>11000</v>
      </c>
      <c r="T19" s="1"/>
      <c r="U19" s="1"/>
      <c r="V19" s="1"/>
      <c r="W19" s="1"/>
      <c r="X19" s="1"/>
      <c r="Y19" s="1">
        <f>SUM(Table4[[#This Row],[Wkd Earning]:[Arrears]])</f>
        <v>200200</v>
      </c>
      <c r="Z19" s="1">
        <f>0.05*Table4[[#This Row],[Total Earnings]]</f>
        <v>10010</v>
      </c>
      <c r="AA19" s="1">
        <f>Table4[[#This Row],[Total Earnings]]</f>
        <v>200200</v>
      </c>
      <c r="AB19" s="1">
        <f>Table4[[#This Row],[Gross Salary]]-Table4[[#This Row],[WHT]]</f>
        <v>190190</v>
      </c>
    </row>
    <row r="20" spans="1:28" x14ac:dyDescent="0.3">
      <c r="A20" t="s">
        <v>108</v>
      </c>
      <c r="B20" t="s">
        <v>109</v>
      </c>
      <c r="C20" t="s">
        <v>69</v>
      </c>
      <c r="D20" t="s">
        <v>110</v>
      </c>
      <c r="E20" t="s">
        <v>8</v>
      </c>
      <c r="F20" s="1">
        <v>17850</v>
      </c>
      <c r="G20">
        <v>52</v>
      </c>
      <c r="H20" t="s">
        <v>7</v>
      </c>
      <c r="I20">
        <v>31</v>
      </c>
      <c r="J20">
        <v>0</v>
      </c>
      <c r="K20">
        <v>55</v>
      </c>
      <c r="L20">
        <v>44</v>
      </c>
      <c r="M20">
        <v>0</v>
      </c>
      <c r="N20" s="1">
        <f>Table4[[#This Row],[Total Weekday]]*Table4[[#This Row],[Daily Rate]]</f>
        <v>553350</v>
      </c>
      <c r="O20" s="8">
        <f>Table4[[#This Row],[Daily Rate]]/8*1.5*Table4[[#This Row],[Weekday OVT]]</f>
        <v>0</v>
      </c>
      <c r="P20" s="1">
        <f>Table4[[#This Row],[Daily Rate]]/8*(1.5*Table4[[#This Row],[Total Saturday]])</f>
        <v>184078.125</v>
      </c>
      <c r="Q20" s="1">
        <f>Table4[[#This Row],[Daily Rate]]/8*(2*Table4[[#This Row],[Total Sunday]])</f>
        <v>196350</v>
      </c>
      <c r="R20" s="1">
        <f>2500*Table4[[#This Row],[Night Worked]]</f>
        <v>0</v>
      </c>
      <c r="S20" s="1">
        <f>500*Table4[[#This Row],[Total Weekday]]</f>
        <v>15500</v>
      </c>
      <c r="T20" s="1"/>
      <c r="U20" s="1"/>
      <c r="V20" s="1"/>
      <c r="W20" s="1"/>
      <c r="X20" s="1"/>
      <c r="Y20" s="1">
        <f>SUM(Table4[[#This Row],[Wkd Earning]:[Arrears]])</f>
        <v>949278.125</v>
      </c>
      <c r="Z20" s="1">
        <f>0.05*Table4[[#This Row],[Total Earnings]]</f>
        <v>47463.90625</v>
      </c>
      <c r="AA20" s="1">
        <f>Table4[[#This Row],[Total Earnings]]</f>
        <v>949278.125</v>
      </c>
      <c r="AB20" s="1">
        <f>Table4[[#This Row],[Gross Salary]]-Table4[[#This Row],[WHT]]</f>
        <v>901814.21875</v>
      </c>
    </row>
    <row r="21" spans="1:28" x14ac:dyDescent="0.3">
      <c r="A21" t="s">
        <v>114</v>
      </c>
      <c r="B21" t="s">
        <v>116</v>
      </c>
      <c r="C21" t="s">
        <v>115</v>
      </c>
      <c r="D21" t="s">
        <v>117</v>
      </c>
      <c r="E21" t="s">
        <v>8</v>
      </c>
      <c r="F21" s="1">
        <v>12750</v>
      </c>
      <c r="G21">
        <v>56</v>
      </c>
      <c r="H21" t="s">
        <v>7</v>
      </c>
      <c r="I21">
        <v>22</v>
      </c>
      <c r="J21">
        <v>0</v>
      </c>
      <c r="K21">
        <v>0</v>
      </c>
      <c r="L21">
        <v>0</v>
      </c>
      <c r="M21">
        <v>0</v>
      </c>
      <c r="N21" s="1">
        <f>Table4[[#This Row],[Total Weekday]]*Table4[[#This Row],[Daily Rate]]</f>
        <v>280500</v>
      </c>
      <c r="O21" s="8">
        <f>Table4[[#This Row],[Daily Rate]]/8*1.5*Table4[[#This Row],[Weekday OVT]]</f>
        <v>0</v>
      </c>
      <c r="P21" s="1">
        <f>Table4[[#This Row],[Daily Rate]]/8*(1.5*Table4[[#This Row],[Total Saturday]])</f>
        <v>0</v>
      </c>
      <c r="Q21" s="1">
        <f>Table4[[#This Row],[Daily Rate]]/8*(2*Table4[[#This Row],[Total Sunday]])</f>
        <v>0</v>
      </c>
      <c r="R21" s="1">
        <f>2500*Table4[[#This Row],[Night Worked]]</f>
        <v>0</v>
      </c>
      <c r="S21" s="1">
        <f>500*Table4[[#This Row],[Total Weekday]]</f>
        <v>11000</v>
      </c>
      <c r="T21" s="1"/>
      <c r="U21" s="1"/>
      <c r="V21" s="1"/>
      <c r="W21" s="1"/>
      <c r="X21" s="1"/>
      <c r="Y21" s="1">
        <f>SUM(Table4[[#This Row],[Wkd Earning]:[Arrears]])</f>
        <v>291500</v>
      </c>
      <c r="Z21" s="1">
        <f>0.05*Table4[[#This Row],[Total Earnings]]</f>
        <v>14575</v>
      </c>
      <c r="AA21" s="1">
        <f>Table4[[#This Row],[Total Earnings]]</f>
        <v>291500</v>
      </c>
      <c r="AB21" s="1">
        <f>Table4[[#This Row],[Gross Salary]]-Table4[[#This Row],[WHT]]</f>
        <v>276925</v>
      </c>
    </row>
    <row r="22" spans="1:28" x14ac:dyDescent="0.3">
      <c r="A22" t="s">
        <v>127</v>
      </c>
      <c r="B22" t="s">
        <v>128</v>
      </c>
      <c r="C22" t="s">
        <v>15</v>
      </c>
      <c r="D22" t="s">
        <v>273</v>
      </c>
      <c r="E22" t="s">
        <v>8</v>
      </c>
      <c r="F22" s="1">
        <v>13150</v>
      </c>
      <c r="G22">
        <v>55</v>
      </c>
      <c r="H22" t="s">
        <v>7</v>
      </c>
      <c r="I22">
        <v>23</v>
      </c>
      <c r="J22">
        <v>10</v>
      </c>
      <c r="K22">
        <v>8</v>
      </c>
      <c r="L22">
        <v>0</v>
      </c>
      <c r="M22">
        <v>0</v>
      </c>
      <c r="N22" s="1">
        <f>Table4[[#This Row],[Total Weekday]]*Table4[[#This Row],[Daily Rate]]</f>
        <v>302450</v>
      </c>
      <c r="O22" s="8">
        <f>Table4[[#This Row],[Daily Rate]]/8*1.5*Table4[[#This Row],[Weekday OVT]]</f>
        <v>24656.25</v>
      </c>
      <c r="P22" s="1">
        <f>Table4[[#This Row],[Daily Rate]]/8*(1.5*Table4[[#This Row],[Total Saturday]])</f>
        <v>19725</v>
      </c>
      <c r="Q22" s="1">
        <f>Table4[[#This Row],[Daily Rate]]/8*(2*Table4[[#This Row],[Total Sunday]])</f>
        <v>0</v>
      </c>
      <c r="R22" s="1">
        <f>2500*Table4[[#This Row],[Night Worked]]</f>
        <v>0</v>
      </c>
      <c r="S22" s="1">
        <f>500*Table4[[#This Row],[Total Weekday]]</f>
        <v>11500</v>
      </c>
      <c r="T22" s="1"/>
      <c r="U22" s="1"/>
      <c r="V22" s="1"/>
      <c r="W22" s="1"/>
      <c r="X22" s="1"/>
      <c r="Y22" s="1">
        <f>SUM(Table4[[#This Row],[Wkd Earning]:[Arrears]])</f>
        <v>358331.25</v>
      </c>
      <c r="Z22" s="1">
        <f>0.05*Table4[[#This Row],[Total Earnings]]</f>
        <v>17916.5625</v>
      </c>
      <c r="AA22" s="1">
        <f>Table4[[#This Row],[Total Earnings]]</f>
        <v>358331.25</v>
      </c>
      <c r="AB22" s="1">
        <f>Table4[[#This Row],[Gross Salary]]-Table4[[#This Row],[WHT]]</f>
        <v>340414.6875</v>
      </c>
    </row>
    <row r="23" spans="1:28" x14ac:dyDescent="0.3">
      <c r="A23" t="s">
        <v>129</v>
      </c>
      <c r="B23" t="s">
        <v>94</v>
      </c>
      <c r="C23" t="s">
        <v>130</v>
      </c>
      <c r="D23" t="s">
        <v>273</v>
      </c>
      <c r="E23" t="s">
        <v>8</v>
      </c>
      <c r="F23" s="1">
        <v>13150</v>
      </c>
      <c r="G23">
        <v>55</v>
      </c>
      <c r="H23" t="s">
        <v>7</v>
      </c>
      <c r="I23">
        <v>22</v>
      </c>
      <c r="J23">
        <v>10</v>
      </c>
      <c r="K23">
        <v>0</v>
      </c>
      <c r="L23">
        <v>0</v>
      </c>
      <c r="M23">
        <v>0</v>
      </c>
      <c r="N23" s="1">
        <f>Table4[[#This Row],[Total Weekday]]*Table4[[#This Row],[Daily Rate]]</f>
        <v>289300</v>
      </c>
      <c r="O23" s="8">
        <f>Table4[[#This Row],[Daily Rate]]/8*1.5*Table4[[#This Row],[Weekday OVT]]</f>
        <v>24656.25</v>
      </c>
      <c r="P23" s="1">
        <f>Table4[[#This Row],[Daily Rate]]/8*(1.5*Table4[[#This Row],[Total Saturday]])</f>
        <v>0</v>
      </c>
      <c r="Q23" s="1">
        <f>Table4[[#This Row],[Daily Rate]]/8*(2*Table4[[#This Row],[Total Sunday]])</f>
        <v>0</v>
      </c>
      <c r="R23" s="1">
        <f>2500*Table4[[#This Row],[Night Worked]]</f>
        <v>0</v>
      </c>
      <c r="S23" s="1">
        <f>500*Table4[[#This Row],[Total Weekday]]</f>
        <v>11000</v>
      </c>
      <c r="T23" s="1"/>
      <c r="U23" s="1"/>
      <c r="V23" s="1"/>
      <c r="W23" s="1"/>
      <c r="X23" s="1"/>
      <c r="Y23" s="1">
        <f>SUM(Table4[[#This Row],[Wkd Earning]:[Arrears]])</f>
        <v>324956.25</v>
      </c>
      <c r="Z23" s="1">
        <f>0.05*Table4[[#This Row],[Total Earnings]]</f>
        <v>16247.8125</v>
      </c>
      <c r="AA23" s="1">
        <f>Table4[[#This Row],[Total Earnings]]</f>
        <v>324956.25</v>
      </c>
      <c r="AB23" s="1">
        <f>Table4[[#This Row],[Gross Salary]]-Table4[[#This Row],[WHT]]</f>
        <v>308708.4375</v>
      </c>
    </row>
    <row r="24" spans="1:28" x14ac:dyDescent="0.3">
      <c r="A24" t="s">
        <v>137</v>
      </c>
      <c r="B24" t="s">
        <v>139</v>
      </c>
      <c r="C24" t="s">
        <v>138</v>
      </c>
      <c r="D24" t="s">
        <v>143</v>
      </c>
      <c r="E24" t="s">
        <v>8</v>
      </c>
      <c r="F24" s="1">
        <v>12750</v>
      </c>
      <c r="G24">
        <v>44</v>
      </c>
      <c r="H24" t="s">
        <v>7</v>
      </c>
      <c r="I24">
        <v>22</v>
      </c>
      <c r="J24">
        <v>0</v>
      </c>
      <c r="K24">
        <v>0</v>
      </c>
      <c r="L24">
        <v>0</v>
      </c>
      <c r="M24">
        <v>0</v>
      </c>
      <c r="N24" s="1">
        <f>Table4[[#This Row],[Total Weekday]]*Table4[[#This Row],[Daily Rate]]</f>
        <v>280500</v>
      </c>
      <c r="O24" s="8">
        <f>Table4[[#This Row],[Daily Rate]]/8*1.5*Table4[[#This Row],[Weekday OVT]]</f>
        <v>0</v>
      </c>
      <c r="P24" s="1">
        <f>Table4[[#This Row],[Daily Rate]]/8*(1.5*Table4[[#This Row],[Total Saturday]])</f>
        <v>0</v>
      </c>
      <c r="Q24" s="1">
        <f>Table4[[#This Row],[Daily Rate]]/8*(2*Table4[[#This Row],[Total Sunday]])</f>
        <v>0</v>
      </c>
      <c r="R24" s="1">
        <f>2500*Table4[[#This Row],[Night Worked]]</f>
        <v>0</v>
      </c>
      <c r="S24" s="1">
        <f>500*Table4[[#This Row],[Total Weekday]]</f>
        <v>11000</v>
      </c>
      <c r="T24" s="1"/>
      <c r="U24" s="1"/>
      <c r="V24" s="1"/>
      <c r="W24" s="1"/>
      <c r="X24" s="1"/>
      <c r="Y24" s="1">
        <f>SUM(Table4[[#This Row],[Wkd Earning]:[Arrears]])</f>
        <v>291500</v>
      </c>
      <c r="Z24" s="1">
        <f>0.05*Table4[[#This Row],[Total Earnings]]</f>
        <v>14575</v>
      </c>
      <c r="AA24" s="1">
        <f>Table4[[#This Row],[Total Earnings]]</f>
        <v>291500</v>
      </c>
      <c r="AB24" s="1">
        <f>Table4[[#This Row],[Gross Salary]]-Table4[[#This Row],[WHT]]</f>
        <v>276925</v>
      </c>
    </row>
    <row r="25" spans="1:28" x14ac:dyDescent="0.3">
      <c r="A25" t="s">
        <v>183</v>
      </c>
      <c r="B25" t="s">
        <v>185</v>
      </c>
      <c r="C25" t="s">
        <v>184</v>
      </c>
      <c r="D25" t="s">
        <v>143</v>
      </c>
      <c r="E25" t="s">
        <v>8</v>
      </c>
      <c r="F25" s="1">
        <v>12750</v>
      </c>
      <c r="G25">
        <v>58</v>
      </c>
      <c r="H25" t="s">
        <v>7</v>
      </c>
      <c r="I25">
        <v>22</v>
      </c>
      <c r="J25">
        <v>0</v>
      </c>
      <c r="K25">
        <v>0</v>
      </c>
      <c r="L25">
        <v>0</v>
      </c>
      <c r="M25">
        <v>0</v>
      </c>
      <c r="N25" s="1">
        <f>Table4[[#This Row],[Total Weekday]]*Table4[[#This Row],[Daily Rate]]</f>
        <v>280500</v>
      </c>
      <c r="O25" s="8">
        <f>Table4[[#This Row],[Daily Rate]]/8*1.5*Table4[[#This Row],[Weekday OVT]]</f>
        <v>0</v>
      </c>
      <c r="P25" s="1">
        <f>Table4[[#This Row],[Daily Rate]]/8*(1.5*Table4[[#This Row],[Total Saturday]])</f>
        <v>0</v>
      </c>
      <c r="Q25" s="1">
        <f>Table4[[#This Row],[Daily Rate]]/8*(2*Table4[[#This Row],[Total Sunday]])</f>
        <v>0</v>
      </c>
      <c r="R25" s="1">
        <f>2500*Table4[[#This Row],[Night Worked]]</f>
        <v>0</v>
      </c>
      <c r="S25" s="1">
        <f>500*Table4[[#This Row],[Total Weekday]]</f>
        <v>11000</v>
      </c>
      <c r="T25" s="1"/>
      <c r="U25" s="1"/>
      <c r="V25" s="1"/>
      <c r="W25" s="1"/>
      <c r="X25" s="1"/>
      <c r="Y25" s="1">
        <f>SUM(Table4[[#This Row],[Wkd Earning]:[Arrears]])</f>
        <v>291500</v>
      </c>
      <c r="Z25" s="1">
        <f>0.05*Table4[[#This Row],[Total Earnings]]</f>
        <v>14575</v>
      </c>
      <c r="AA25" s="1">
        <f>Table4[[#This Row],[Total Earnings]]</f>
        <v>291500</v>
      </c>
      <c r="AB25" s="1">
        <f>Table4[[#This Row],[Gross Salary]]-Table4[[#This Row],[WHT]]</f>
        <v>276925</v>
      </c>
    </row>
    <row r="26" spans="1:28" x14ac:dyDescent="0.3">
      <c r="A26" t="s">
        <v>189</v>
      </c>
      <c r="B26" t="s">
        <v>191</v>
      </c>
      <c r="C26" t="s">
        <v>190</v>
      </c>
      <c r="D26" t="s">
        <v>33</v>
      </c>
      <c r="E26" t="s">
        <v>8</v>
      </c>
      <c r="F26" s="1">
        <v>14050</v>
      </c>
      <c r="G26">
        <v>46</v>
      </c>
      <c r="H26" t="s">
        <v>7</v>
      </c>
      <c r="I26">
        <v>25</v>
      </c>
      <c r="J26">
        <v>24</v>
      </c>
      <c r="K26">
        <v>0</v>
      </c>
      <c r="L26">
        <v>0</v>
      </c>
      <c r="M26">
        <v>0</v>
      </c>
      <c r="N26" s="1">
        <f>Table4[[#This Row],[Total Weekday]]*Table4[[#This Row],[Daily Rate]]</f>
        <v>351250</v>
      </c>
      <c r="O26" s="8">
        <f>Table4[[#This Row],[Daily Rate]]/8*1.5*Table4[[#This Row],[Weekday OVT]]</f>
        <v>63225</v>
      </c>
      <c r="P26" s="1">
        <f>Table4[[#This Row],[Daily Rate]]/8*(1.5*Table4[[#This Row],[Total Saturday]])</f>
        <v>0</v>
      </c>
      <c r="Q26" s="1">
        <f>Table4[[#This Row],[Daily Rate]]/8*(2*Table4[[#This Row],[Total Sunday]])</f>
        <v>0</v>
      </c>
      <c r="R26" s="1">
        <f>2500*Table4[[#This Row],[Night Worked]]</f>
        <v>0</v>
      </c>
      <c r="S26" s="1">
        <f>500*Table4[[#This Row],[Total Weekday]]</f>
        <v>12500</v>
      </c>
      <c r="T26" s="1"/>
      <c r="U26" s="1"/>
      <c r="V26" s="1"/>
      <c r="W26" s="1"/>
      <c r="X26" s="1"/>
      <c r="Y26" s="1">
        <f>SUM(Table4[[#This Row],[Wkd Earning]:[Arrears]])</f>
        <v>426975</v>
      </c>
      <c r="Z26" s="1">
        <f>0.05*Table4[[#This Row],[Total Earnings]]</f>
        <v>21348.75</v>
      </c>
      <c r="AA26" s="1">
        <f>Table4[[#This Row],[Total Earnings]]</f>
        <v>426975</v>
      </c>
      <c r="AB26" s="1">
        <f>Table4[[#This Row],[Gross Salary]]-Table4[[#This Row],[WHT]]</f>
        <v>405626.25</v>
      </c>
    </row>
    <row r="27" spans="1:28" x14ac:dyDescent="0.3">
      <c r="A27" t="s">
        <v>205</v>
      </c>
      <c r="B27" t="s">
        <v>207</v>
      </c>
      <c r="C27" t="s">
        <v>206</v>
      </c>
      <c r="D27" t="s">
        <v>154</v>
      </c>
      <c r="E27" t="s">
        <v>8</v>
      </c>
      <c r="F27" s="1">
        <v>14050</v>
      </c>
      <c r="G27">
        <v>65</v>
      </c>
      <c r="H27" t="s">
        <v>7</v>
      </c>
      <c r="I27">
        <v>22</v>
      </c>
      <c r="J27">
        <v>0</v>
      </c>
      <c r="K27">
        <v>0</v>
      </c>
      <c r="L27">
        <v>0</v>
      </c>
      <c r="M27">
        <v>0</v>
      </c>
      <c r="N27" s="1">
        <f>Table4[[#This Row],[Total Weekday]]*Table4[[#This Row],[Daily Rate]]</f>
        <v>309100</v>
      </c>
      <c r="O27" s="8">
        <f>Table4[[#This Row],[Daily Rate]]/8*1.5*Table4[[#This Row],[Weekday OVT]]</f>
        <v>0</v>
      </c>
      <c r="P27" s="1">
        <f>Table4[[#This Row],[Daily Rate]]/8*(1.5*Table4[[#This Row],[Total Saturday]])</f>
        <v>0</v>
      </c>
      <c r="Q27" s="1">
        <f>Table4[[#This Row],[Daily Rate]]/8*(2*Table4[[#This Row],[Total Sunday]])</f>
        <v>0</v>
      </c>
      <c r="R27" s="1">
        <f>2500*Table4[[#This Row],[Night Worked]]</f>
        <v>0</v>
      </c>
      <c r="S27" s="1">
        <f>500*Table4[[#This Row],[Total Weekday]]</f>
        <v>11000</v>
      </c>
      <c r="T27" s="1"/>
      <c r="U27" s="1"/>
      <c r="V27" s="1"/>
      <c r="W27" s="1"/>
      <c r="X27" s="1"/>
      <c r="Y27" s="1">
        <f>SUM(Table4[[#This Row],[Wkd Earning]:[Arrears]])</f>
        <v>320100</v>
      </c>
      <c r="Z27" s="1">
        <f>0.05*Table4[[#This Row],[Total Earnings]]</f>
        <v>16005</v>
      </c>
      <c r="AA27" s="1">
        <f>Table4[[#This Row],[Total Earnings]]</f>
        <v>320100</v>
      </c>
      <c r="AB27" s="1">
        <f>Table4[[#This Row],[Gross Salary]]-Table4[[#This Row],[WHT]]</f>
        <v>304095</v>
      </c>
    </row>
    <row r="28" spans="1:28" x14ac:dyDescent="0.3">
      <c r="A28" t="s">
        <v>223</v>
      </c>
      <c r="B28" t="s">
        <v>225</v>
      </c>
      <c r="C28" t="s">
        <v>224</v>
      </c>
      <c r="D28" t="s">
        <v>199</v>
      </c>
      <c r="E28" t="s">
        <v>8</v>
      </c>
      <c r="F28" s="1">
        <v>10812</v>
      </c>
      <c r="G28">
        <v>32</v>
      </c>
      <c r="H28" t="s">
        <v>7</v>
      </c>
      <c r="I28">
        <v>24</v>
      </c>
      <c r="J28">
        <v>31</v>
      </c>
      <c r="K28">
        <v>15</v>
      </c>
      <c r="L28">
        <v>0</v>
      </c>
      <c r="M28">
        <v>0</v>
      </c>
      <c r="N28" s="1">
        <f>Table4[[#This Row],[Total Weekday]]*Table4[[#This Row],[Daily Rate]]</f>
        <v>259488</v>
      </c>
      <c r="O28" s="8">
        <f>Table4[[#This Row],[Daily Rate]]/8*1.5*Table4[[#This Row],[Weekday OVT]]</f>
        <v>62844.75</v>
      </c>
      <c r="P28" s="1">
        <f>Table4[[#This Row],[Daily Rate]]/8*(1.5*Table4[[#This Row],[Total Saturday]])</f>
        <v>30408.75</v>
      </c>
      <c r="Q28" s="1">
        <f>Table4[[#This Row],[Daily Rate]]/8*(2*Table4[[#This Row],[Total Sunday]])</f>
        <v>0</v>
      </c>
      <c r="R28" s="1">
        <f>2500*Table4[[#This Row],[Night Worked]]</f>
        <v>0</v>
      </c>
      <c r="S28" s="1">
        <f>500*Table4[[#This Row],[Total Weekday]]</f>
        <v>12000</v>
      </c>
      <c r="T28" s="1"/>
      <c r="U28" s="1"/>
      <c r="V28" s="1"/>
      <c r="W28" s="1"/>
      <c r="X28" s="1"/>
      <c r="Y28" s="1">
        <f>SUM(Table4[[#This Row],[Wkd Earning]:[Arrears]])</f>
        <v>364741.5</v>
      </c>
      <c r="Z28" s="1">
        <f>0.05*Table4[[#This Row],[Total Earnings]]</f>
        <v>18237.075000000001</v>
      </c>
      <c r="AA28" s="1">
        <f>Table4[[#This Row],[Total Earnings]]</f>
        <v>364741.5</v>
      </c>
      <c r="AB28" s="1">
        <f>Table4[[#This Row],[Gross Salary]]-Table4[[#This Row],[WHT]]</f>
        <v>346504.42499999999</v>
      </c>
    </row>
    <row r="29" spans="1:28" x14ac:dyDescent="0.3">
      <c r="A29" t="s">
        <v>236</v>
      </c>
      <c r="B29" t="s">
        <v>238</v>
      </c>
      <c r="C29" t="s">
        <v>237</v>
      </c>
      <c r="D29" t="s">
        <v>161</v>
      </c>
      <c r="E29" t="s">
        <v>8</v>
      </c>
      <c r="F29" s="1">
        <v>13250</v>
      </c>
      <c r="G29">
        <v>41</v>
      </c>
      <c r="H29" t="s">
        <v>7</v>
      </c>
      <c r="I29">
        <v>22</v>
      </c>
      <c r="J29">
        <v>9</v>
      </c>
      <c r="K29">
        <v>0</v>
      </c>
      <c r="L29">
        <v>0</v>
      </c>
      <c r="M29">
        <v>0</v>
      </c>
      <c r="N29" s="1">
        <f>Table4[[#This Row],[Total Weekday]]*Table4[[#This Row],[Daily Rate]]</f>
        <v>291500</v>
      </c>
      <c r="O29" s="8">
        <f>Table4[[#This Row],[Daily Rate]]/8*1.5*Table4[[#This Row],[Weekday OVT]]</f>
        <v>22359.375</v>
      </c>
      <c r="P29" s="1">
        <f>Table4[[#This Row],[Daily Rate]]/8*(1.5*Table4[[#This Row],[Total Saturday]])</f>
        <v>0</v>
      </c>
      <c r="Q29" s="1">
        <f>Table4[[#This Row],[Daily Rate]]/8*(2*Table4[[#This Row],[Total Sunday]])</f>
        <v>0</v>
      </c>
      <c r="R29" s="1">
        <f>2500*Table4[[#This Row],[Night Worked]]</f>
        <v>0</v>
      </c>
      <c r="S29" s="1">
        <f>500*Table4[[#This Row],[Total Weekday]]</f>
        <v>11000</v>
      </c>
      <c r="T29" s="1"/>
      <c r="U29" s="1"/>
      <c r="V29" s="1"/>
      <c r="W29" s="1"/>
      <c r="X29" s="1"/>
      <c r="Y29" s="1">
        <f>SUM(Table4[[#This Row],[Wkd Earning]:[Arrears]])</f>
        <v>324859.375</v>
      </c>
      <c r="Z29" s="1">
        <f>0.05*Table4[[#This Row],[Total Earnings]]</f>
        <v>16242.96875</v>
      </c>
      <c r="AA29" s="1">
        <f>Table4[[#This Row],[Total Earnings]]</f>
        <v>324859.375</v>
      </c>
      <c r="AB29" s="1">
        <f>Table4[[#This Row],[Gross Salary]]-Table4[[#This Row],[WHT]]</f>
        <v>308616.40625</v>
      </c>
    </row>
    <row r="30" spans="1:28" s="13" customFormat="1" x14ac:dyDescent="0.3">
      <c r="A30" s="13" t="s">
        <v>251</v>
      </c>
      <c r="B30" s="13" t="s">
        <v>252</v>
      </c>
      <c r="C30" s="13" t="s">
        <v>49</v>
      </c>
      <c r="D30" s="13" t="s">
        <v>437</v>
      </c>
      <c r="E30" s="13" t="s">
        <v>8</v>
      </c>
      <c r="F30" s="14">
        <v>23500</v>
      </c>
      <c r="G30" s="13">
        <v>27</v>
      </c>
      <c r="H30" s="13" t="s">
        <v>7</v>
      </c>
      <c r="I30" s="13">
        <v>25</v>
      </c>
      <c r="J30" s="13">
        <v>16</v>
      </c>
      <c r="K30" s="13">
        <v>6</v>
      </c>
      <c r="L30" s="13">
        <v>0</v>
      </c>
      <c r="M30" s="13">
        <v>0</v>
      </c>
      <c r="N30" s="14">
        <f>Table4[[#This Row],[Total Weekday]]*Table4[[#This Row],[Daily Rate]]</f>
        <v>587500</v>
      </c>
      <c r="O30" s="15">
        <f>Table4[[#This Row],[Daily Rate]]/8*1.5*Table4[[#This Row],[Weekday OVT]]</f>
        <v>70500</v>
      </c>
      <c r="P30" s="14">
        <f>Table4[[#This Row],[Daily Rate]]/8*(1.5*Table4[[#This Row],[Total Saturday]])</f>
        <v>26437.5</v>
      </c>
      <c r="Q30" s="14">
        <f>Table4[[#This Row],[Daily Rate]]/8*(2*Table4[[#This Row],[Total Sunday]])</f>
        <v>0</v>
      </c>
      <c r="R30" s="14">
        <f>2500*Table4[[#This Row],[Night Worked]]</f>
        <v>0</v>
      </c>
      <c r="S30" s="14">
        <f>500*Table4[[#This Row],[Total Weekday]]</f>
        <v>12500</v>
      </c>
      <c r="T30" s="14">
        <v>12000</v>
      </c>
      <c r="U30" s="14"/>
      <c r="V30" s="14"/>
      <c r="W30" s="14"/>
      <c r="X30" s="14"/>
      <c r="Y30" s="14">
        <f>SUM(Table4[[#This Row],[Wkd Earning]:[Arrears]])</f>
        <v>708937.5</v>
      </c>
      <c r="Z30" s="14">
        <f>0.05*Table4[[#This Row],[Total Earnings]]</f>
        <v>35446.875</v>
      </c>
      <c r="AA30" s="14">
        <f>Table4[[#This Row],[Total Earnings]]</f>
        <v>708937.5</v>
      </c>
      <c r="AB30" s="14">
        <f>Table4[[#This Row],[Gross Salary]]-Table4[[#This Row],[WHT]]</f>
        <v>673490.625</v>
      </c>
    </row>
    <row r="31" spans="1:28" x14ac:dyDescent="0.3">
      <c r="A31" t="s">
        <v>253</v>
      </c>
      <c r="B31" t="s">
        <v>254</v>
      </c>
      <c r="C31" t="s">
        <v>160</v>
      </c>
      <c r="D31" t="s">
        <v>437</v>
      </c>
      <c r="E31" t="s">
        <v>8</v>
      </c>
      <c r="F31" s="1">
        <v>13550</v>
      </c>
      <c r="G31">
        <v>31</v>
      </c>
      <c r="H31" t="s">
        <v>7</v>
      </c>
      <c r="I31">
        <v>24</v>
      </c>
      <c r="J31">
        <v>34</v>
      </c>
      <c r="K31">
        <v>17</v>
      </c>
      <c r="L31">
        <v>0</v>
      </c>
      <c r="M31">
        <v>0</v>
      </c>
      <c r="N31" s="1">
        <f>Table4[[#This Row],[Total Weekday]]*Table4[[#This Row],[Daily Rate]]</f>
        <v>325200</v>
      </c>
      <c r="O31" s="8">
        <f>Table4[[#This Row],[Daily Rate]]/8*1.5*Table4[[#This Row],[Weekday OVT]]</f>
        <v>86381.25</v>
      </c>
      <c r="P31" s="1">
        <f>Table4[[#This Row],[Daily Rate]]/8*(1.5*Table4[[#This Row],[Total Saturday]])</f>
        <v>43190.625</v>
      </c>
      <c r="Q31" s="1">
        <f>Table4[[#This Row],[Daily Rate]]/8*(2*Table4[[#This Row],[Total Sunday]])</f>
        <v>0</v>
      </c>
      <c r="R31" s="1">
        <f>2500*Table4[[#This Row],[Night Worked]]</f>
        <v>0</v>
      </c>
      <c r="S31" s="1">
        <f>500*Table4[[#This Row],[Total Weekday]]</f>
        <v>12000</v>
      </c>
      <c r="T31" s="1"/>
      <c r="U31" s="1"/>
      <c r="V31" s="1"/>
      <c r="W31" s="1"/>
      <c r="X31" s="1"/>
      <c r="Y31" s="1">
        <f>SUM(Table4[[#This Row],[Wkd Earning]:[Arrears]])</f>
        <v>466771.875</v>
      </c>
      <c r="Z31" s="1">
        <f>0.05*Table4[[#This Row],[Total Earnings]]</f>
        <v>23338.59375</v>
      </c>
      <c r="AA31" s="1">
        <f>Table4[[#This Row],[Total Earnings]]</f>
        <v>466771.875</v>
      </c>
      <c r="AB31" s="1">
        <f>Table4[[#This Row],[Gross Salary]]-Table4[[#This Row],[WHT]]</f>
        <v>443433.28125</v>
      </c>
    </row>
    <row r="32" spans="1:28" x14ac:dyDescent="0.3">
      <c r="A32" t="s">
        <v>270</v>
      </c>
      <c r="B32" t="s">
        <v>272</v>
      </c>
      <c r="C32" t="s">
        <v>271</v>
      </c>
      <c r="D32" t="s">
        <v>273</v>
      </c>
      <c r="E32" t="s">
        <v>8</v>
      </c>
      <c r="F32" s="1">
        <v>11575</v>
      </c>
      <c r="G32">
        <v>47</v>
      </c>
      <c r="H32" t="s">
        <v>7</v>
      </c>
      <c r="I32">
        <v>31</v>
      </c>
      <c r="J32">
        <v>0</v>
      </c>
      <c r="K32">
        <v>55</v>
      </c>
      <c r="L32">
        <v>44</v>
      </c>
      <c r="M32">
        <v>0</v>
      </c>
      <c r="N32" s="1">
        <f>Table4[[#This Row],[Total Weekday]]*Table4[[#This Row],[Daily Rate]]</f>
        <v>358825</v>
      </c>
      <c r="O32" s="8">
        <f>Table4[[#This Row],[Daily Rate]]/8*1.5*Table4[[#This Row],[Weekday OVT]]</f>
        <v>0</v>
      </c>
      <c r="P32" s="1">
        <f>Table4[[#This Row],[Daily Rate]]/8*(1.5*Table4[[#This Row],[Total Saturday]])</f>
        <v>119367.1875</v>
      </c>
      <c r="Q32" s="1">
        <f>Table4[[#This Row],[Daily Rate]]/8*(2*Table4[[#This Row],[Total Sunday]])</f>
        <v>127325</v>
      </c>
      <c r="R32" s="1">
        <f>2500*Table4[[#This Row],[Night Worked]]</f>
        <v>0</v>
      </c>
      <c r="S32" s="1">
        <f>500*Table4[[#This Row],[Total Weekday]]</f>
        <v>15500</v>
      </c>
      <c r="T32" s="1"/>
      <c r="U32" s="1"/>
      <c r="V32" s="1"/>
      <c r="W32" s="1"/>
      <c r="X32" s="1"/>
      <c r="Y32" s="1">
        <f>SUM(Table4[[#This Row],[Wkd Earning]:[Arrears]])</f>
        <v>621017.1875</v>
      </c>
      <c r="Z32" s="1">
        <f>0.05*Table4[[#This Row],[Total Earnings]]</f>
        <v>31050.859375</v>
      </c>
      <c r="AA32" s="1">
        <f>Table4[[#This Row],[Total Earnings]]</f>
        <v>621017.1875</v>
      </c>
      <c r="AB32" s="1">
        <f>Table4[[#This Row],[Gross Salary]]-Table4[[#This Row],[WHT]]</f>
        <v>589966.328125</v>
      </c>
    </row>
    <row r="33" spans="1:28" x14ac:dyDescent="0.3">
      <c r="A33" t="s">
        <v>277</v>
      </c>
      <c r="B33" t="s">
        <v>279</v>
      </c>
      <c r="C33" t="s">
        <v>278</v>
      </c>
      <c r="D33" t="s">
        <v>50</v>
      </c>
      <c r="E33" t="s">
        <v>8</v>
      </c>
      <c r="F33" s="1">
        <v>20100</v>
      </c>
      <c r="G33">
        <v>58</v>
      </c>
      <c r="H33" t="s">
        <v>7</v>
      </c>
      <c r="I33">
        <v>22</v>
      </c>
      <c r="J33">
        <v>3</v>
      </c>
      <c r="K33">
        <v>0</v>
      </c>
      <c r="L33">
        <v>0</v>
      </c>
      <c r="M33">
        <v>0</v>
      </c>
      <c r="N33" s="1">
        <f>Table4[[#This Row],[Total Weekday]]*Table4[[#This Row],[Daily Rate]]</f>
        <v>442200</v>
      </c>
      <c r="O33" s="8">
        <f>Table4[[#This Row],[Daily Rate]]/8*1.5*Table4[[#This Row],[Weekday OVT]]</f>
        <v>11306.25</v>
      </c>
      <c r="P33" s="1">
        <f>Table4[[#This Row],[Daily Rate]]/8*(1.5*Table4[[#This Row],[Total Saturday]])</f>
        <v>0</v>
      </c>
      <c r="Q33" s="1">
        <f>Table4[[#This Row],[Daily Rate]]/8*(2*Table4[[#This Row],[Total Sunday]])</f>
        <v>0</v>
      </c>
      <c r="R33" s="1">
        <f>2500*Table4[[#This Row],[Night Worked]]</f>
        <v>0</v>
      </c>
      <c r="S33" s="1">
        <f>500*Table4[[#This Row],[Total Weekday]]</f>
        <v>11000</v>
      </c>
      <c r="T33" s="1"/>
      <c r="U33" s="1"/>
      <c r="V33" s="1"/>
      <c r="W33" s="1"/>
      <c r="X33" s="1"/>
      <c r="Y33" s="1">
        <f>SUM(Table4[[#This Row],[Wkd Earning]:[Arrears]])</f>
        <v>464506.25</v>
      </c>
      <c r="Z33" s="1">
        <f>0.05*Table4[[#This Row],[Total Earnings]]</f>
        <v>23225.3125</v>
      </c>
      <c r="AA33" s="1">
        <f>Table4[[#This Row],[Total Earnings]]</f>
        <v>464506.25</v>
      </c>
      <c r="AB33" s="1">
        <f>Table4[[#This Row],[Gross Salary]]-Table4[[#This Row],[WHT]]</f>
        <v>441280.9375</v>
      </c>
    </row>
    <row r="34" spans="1:28" x14ac:dyDescent="0.3">
      <c r="A34" t="s">
        <v>286</v>
      </c>
      <c r="B34" t="s">
        <v>112</v>
      </c>
      <c r="C34" t="s">
        <v>287</v>
      </c>
      <c r="D34" t="s">
        <v>97</v>
      </c>
      <c r="E34" t="s">
        <v>8</v>
      </c>
      <c r="F34" s="1">
        <v>10250</v>
      </c>
      <c r="G34">
        <v>64</v>
      </c>
      <c r="H34" t="s">
        <v>7</v>
      </c>
      <c r="I34">
        <v>22</v>
      </c>
      <c r="J34">
        <v>10</v>
      </c>
      <c r="K34">
        <v>0</v>
      </c>
      <c r="L34">
        <v>0</v>
      </c>
      <c r="M34">
        <v>0</v>
      </c>
      <c r="N34" s="1">
        <f>Table4[[#This Row],[Total Weekday]]*Table4[[#This Row],[Daily Rate]]</f>
        <v>225500</v>
      </c>
      <c r="O34" s="8">
        <f>Table4[[#This Row],[Daily Rate]]/8*1.5*Table4[[#This Row],[Weekday OVT]]</f>
        <v>19218.75</v>
      </c>
      <c r="P34" s="1">
        <f>Table4[[#This Row],[Daily Rate]]/8*(1.5*Table4[[#This Row],[Total Saturday]])</f>
        <v>0</v>
      </c>
      <c r="Q34" s="1">
        <f>Table4[[#This Row],[Daily Rate]]/8*(2*Table4[[#This Row],[Total Sunday]])</f>
        <v>0</v>
      </c>
      <c r="R34" s="1">
        <f>2500*Table4[[#This Row],[Night Worked]]</f>
        <v>0</v>
      </c>
      <c r="S34" s="1">
        <f>500*Table4[[#This Row],[Total Weekday]]</f>
        <v>11000</v>
      </c>
      <c r="T34" s="1"/>
      <c r="U34" s="1"/>
      <c r="V34" s="1"/>
      <c r="W34" s="1"/>
      <c r="X34" s="1"/>
      <c r="Y34" s="1">
        <f>SUM(Table4[[#This Row],[Wkd Earning]:[Arrears]])</f>
        <v>255718.75</v>
      </c>
      <c r="Z34" s="1">
        <f>0.05*Table4[[#This Row],[Total Earnings]]</f>
        <v>12785.9375</v>
      </c>
      <c r="AA34" s="1">
        <f>Table4[[#This Row],[Total Earnings]]</f>
        <v>255718.75</v>
      </c>
      <c r="AB34" s="1">
        <f>Table4[[#This Row],[Gross Salary]]-Table4[[#This Row],[WHT]]</f>
        <v>242932.8125</v>
      </c>
    </row>
    <row r="35" spans="1:28" x14ac:dyDescent="0.3">
      <c r="A35" t="s">
        <v>288</v>
      </c>
      <c r="B35" t="s">
        <v>289</v>
      </c>
      <c r="C35" t="s">
        <v>69</v>
      </c>
      <c r="D35" t="s">
        <v>161</v>
      </c>
      <c r="E35" t="s">
        <v>8</v>
      </c>
      <c r="F35" s="1">
        <v>13250</v>
      </c>
      <c r="G35">
        <v>46</v>
      </c>
      <c r="H35" t="s">
        <v>7</v>
      </c>
      <c r="I35">
        <v>22</v>
      </c>
      <c r="J35">
        <v>7</v>
      </c>
      <c r="K35">
        <v>0</v>
      </c>
      <c r="L35">
        <v>0</v>
      </c>
      <c r="M35">
        <v>0</v>
      </c>
      <c r="N35" s="1">
        <f>Table4[[#This Row],[Total Weekday]]*Table4[[#This Row],[Daily Rate]]</f>
        <v>291500</v>
      </c>
      <c r="O35" s="8">
        <f>Table4[[#This Row],[Daily Rate]]/8*1.5*Table4[[#This Row],[Weekday OVT]]</f>
        <v>17390.625</v>
      </c>
      <c r="P35" s="1">
        <f>Table4[[#This Row],[Daily Rate]]/8*(1.5*Table4[[#This Row],[Total Saturday]])</f>
        <v>0</v>
      </c>
      <c r="Q35" s="1">
        <f>Table4[[#This Row],[Daily Rate]]/8*(2*Table4[[#This Row],[Total Sunday]])</f>
        <v>0</v>
      </c>
      <c r="R35" s="1">
        <f>2500*Table4[[#This Row],[Night Worked]]</f>
        <v>0</v>
      </c>
      <c r="S35" s="1">
        <f>500*Table4[[#This Row],[Total Weekday]]</f>
        <v>11000</v>
      </c>
      <c r="T35" s="1"/>
      <c r="U35" s="1"/>
      <c r="V35" s="1"/>
      <c r="W35" s="1"/>
      <c r="X35" s="1"/>
      <c r="Y35" s="1">
        <f>SUM(Table4[[#This Row],[Wkd Earning]:[Arrears]])</f>
        <v>319890.625</v>
      </c>
      <c r="Z35" s="1">
        <f>0.05*Table4[[#This Row],[Total Earnings]]</f>
        <v>15994.53125</v>
      </c>
      <c r="AA35" s="1">
        <f>Table4[[#This Row],[Total Earnings]]</f>
        <v>319890.625</v>
      </c>
      <c r="AB35" s="1">
        <f>Table4[[#This Row],[Gross Salary]]-Table4[[#This Row],[WHT]]</f>
        <v>303896.09375</v>
      </c>
    </row>
    <row r="36" spans="1:28" x14ac:dyDescent="0.3">
      <c r="A36" t="s">
        <v>298</v>
      </c>
      <c r="B36" t="s">
        <v>299</v>
      </c>
      <c r="C36" t="s">
        <v>42</v>
      </c>
      <c r="D36" t="s">
        <v>12</v>
      </c>
      <c r="E36" t="s">
        <v>8</v>
      </c>
      <c r="F36" s="1">
        <v>10250</v>
      </c>
      <c r="G36">
        <v>48</v>
      </c>
      <c r="H36" t="s">
        <v>7</v>
      </c>
      <c r="I36">
        <v>28</v>
      </c>
      <c r="J36">
        <v>40</v>
      </c>
      <c r="K36">
        <v>35</v>
      </c>
      <c r="L36">
        <v>10</v>
      </c>
      <c r="M36">
        <v>6</v>
      </c>
      <c r="N36" s="1">
        <f>Table4[[#This Row],[Total Weekday]]*Table4[[#This Row],[Daily Rate]]</f>
        <v>287000</v>
      </c>
      <c r="O36" s="8">
        <f>Table4[[#This Row],[Daily Rate]]/8*1.5*Table4[[#This Row],[Weekday OVT]]</f>
        <v>76875</v>
      </c>
      <c r="P36" s="1">
        <f>Table4[[#This Row],[Daily Rate]]/8*(1.5*Table4[[#This Row],[Total Saturday]])</f>
        <v>67265.625</v>
      </c>
      <c r="Q36" s="1">
        <f>Table4[[#This Row],[Daily Rate]]/8*(2*Table4[[#This Row],[Total Sunday]])</f>
        <v>25625</v>
      </c>
      <c r="R36" s="1">
        <f>2500*Table4[[#This Row],[Night Worked]]</f>
        <v>15000</v>
      </c>
      <c r="S36" s="1">
        <f>500*Table4[[#This Row],[Total Weekday]]</f>
        <v>14000</v>
      </c>
      <c r="T36" s="1"/>
      <c r="U36" s="1"/>
      <c r="V36" s="1"/>
      <c r="W36" s="1"/>
      <c r="X36" s="1"/>
      <c r="Y36" s="1">
        <f>SUM(Table4[[#This Row],[Wkd Earning]:[Arrears]])</f>
        <v>485765.625</v>
      </c>
      <c r="Z36" s="1">
        <f>0.05*Table4[[#This Row],[Total Earnings]]</f>
        <v>24288.28125</v>
      </c>
      <c r="AA36" s="1">
        <f>Table4[[#This Row],[Total Earnings]]</f>
        <v>485765.625</v>
      </c>
      <c r="AB36" s="1">
        <f>Table4[[#This Row],[Gross Salary]]-Table4[[#This Row],[WHT]]</f>
        <v>461477.34375</v>
      </c>
    </row>
    <row r="37" spans="1:28" s="13" customFormat="1" x14ac:dyDescent="0.3">
      <c r="A37" s="13" t="s">
        <v>302</v>
      </c>
      <c r="B37" s="13" t="s">
        <v>304</v>
      </c>
      <c r="C37" s="13" t="s">
        <v>303</v>
      </c>
      <c r="D37" s="13" t="s">
        <v>150</v>
      </c>
      <c r="E37" s="13" t="s">
        <v>8</v>
      </c>
      <c r="F37" s="14">
        <v>16700</v>
      </c>
      <c r="G37" s="13">
        <v>62</v>
      </c>
      <c r="H37" s="13" t="s">
        <v>7</v>
      </c>
      <c r="I37" s="13">
        <v>22</v>
      </c>
      <c r="J37" s="13">
        <v>3</v>
      </c>
      <c r="K37" s="13">
        <v>0</v>
      </c>
      <c r="L37" s="13">
        <v>0</v>
      </c>
      <c r="M37" s="13">
        <v>0</v>
      </c>
      <c r="N37" s="14">
        <f>Table4[[#This Row],[Total Weekday]]*Table4[[#This Row],[Daily Rate]]</f>
        <v>367400</v>
      </c>
      <c r="O37" s="15">
        <f>Table4[[#This Row],[Daily Rate]]/8*1.5*Table4[[#This Row],[Weekday OVT]]</f>
        <v>9393.75</v>
      </c>
      <c r="P37" s="14">
        <f>Table4[[#This Row],[Daily Rate]]/8*(1.5*Table4[[#This Row],[Total Saturday]])</f>
        <v>0</v>
      </c>
      <c r="Q37" s="14">
        <f>Table4[[#This Row],[Daily Rate]]/8*(2*Table4[[#This Row],[Total Sunday]])</f>
        <v>0</v>
      </c>
      <c r="R37" s="14">
        <f>2500*Table4[[#This Row],[Night Worked]]</f>
        <v>0</v>
      </c>
      <c r="S37" s="14">
        <f>500*Table4[[#This Row],[Total Weekday]]</f>
        <v>11000</v>
      </c>
      <c r="T37" s="14">
        <v>4000</v>
      </c>
      <c r="U37" s="14"/>
      <c r="V37" s="14"/>
      <c r="W37" s="14"/>
      <c r="X37" s="14"/>
      <c r="Y37" s="14">
        <f>SUM(Table4[[#This Row],[Wkd Earning]:[Arrears]])</f>
        <v>391793.75</v>
      </c>
      <c r="Z37" s="14">
        <f>0.05*Table4[[#This Row],[Total Earnings]]</f>
        <v>19589.6875</v>
      </c>
      <c r="AA37" s="14">
        <f>Table4[[#This Row],[Total Earnings]]</f>
        <v>391793.75</v>
      </c>
      <c r="AB37" s="14">
        <f>Table4[[#This Row],[Gross Salary]]-Table4[[#This Row],[WHT]]</f>
        <v>372204.0625</v>
      </c>
    </row>
    <row r="38" spans="1:28" x14ac:dyDescent="0.3">
      <c r="A38" t="s">
        <v>311</v>
      </c>
      <c r="B38" t="s">
        <v>312</v>
      </c>
      <c r="C38" t="s">
        <v>222</v>
      </c>
      <c r="D38" t="s">
        <v>273</v>
      </c>
      <c r="E38" t="s">
        <v>8</v>
      </c>
      <c r="F38" s="1">
        <v>11575</v>
      </c>
      <c r="G38">
        <v>46</v>
      </c>
      <c r="H38" t="s">
        <v>7</v>
      </c>
      <c r="I38">
        <v>22</v>
      </c>
      <c r="J38">
        <v>15</v>
      </c>
      <c r="K38">
        <v>0</v>
      </c>
      <c r="L38">
        <v>0</v>
      </c>
      <c r="M38">
        <v>0</v>
      </c>
      <c r="N38" s="1">
        <f>Table4[[#This Row],[Total Weekday]]*Table4[[#This Row],[Daily Rate]]</f>
        <v>254650</v>
      </c>
      <c r="O38" s="8">
        <f>Table4[[#This Row],[Daily Rate]]/8*1.5*Table4[[#This Row],[Weekday OVT]]</f>
        <v>32554.6875</v>
      </c>
      <c r="P38" s="1">
        <f>Table4[[#This Row],[Daily Rate]]/8*(1.5*Table4[[#This Row],[Total Saturday]])</f>
        <v>0</v>
      </c>
      <c r="Q38" s="1">
        <f>Table4[[#This Row],[Daily Rate]]/8*(2*Table4[[#This Row],[Total Sunday]])</f>
        <v>0</v>
      </c>
      <c r="R38" s="1">
        <f>2500*Table4[[#This Row],[Night Worked]]</f>
        <v>0</v>
      </c>
      <c r="S38" s="1">
        <f>500*Table4[[#This Row],[Total Weekday]]</f>
        <v>11000</v>
      </c>
      <c r="T38" s="1"/>
      <c r="U38" s="1"/>
      <c r="V38" s="1"/>
      <c r="W38" s="1"/>
      <c r="X38" s="1"/>
      <c r="Y38" s="1">
        <f>SUM(Table4[[#This Row],[Wkd Earning]:[Arrears]])</f>
        <v>298204.6875</v>
      </c>
      <c r="Z38" s="1">
        <f>0.05*Table4[[#This Row],[Total Earnings]]</f>
        <v>14910.234375</v>
      </c>
      <c r="AA38" s="1">
        <f>Table4[[#This Row],[Total Earnings]]</f>
        <v>298204.6875</v>
      </c>
      <c r="AB38" s="1">
        <f>Table4[[#This Row],[Gross Salary]]-Table4[[#This Row],[WHT]]</f>
        <v>283294.453125</v>
      </c>
    </row>
    <row r="39" spans="1:28" x14ac:dyDescent="0.3">
      <c r="A39" t="s">
        <v>320</v>
      </c>
      <c r="B39" t="s">
        <v>322</v>
      </c>
      <c r="C39" t="s">
        <v>321</v>
      </c>
      <c r="D39" t="s">
        <v>199</v>
      </c>
      <c r="E39" t="s">
        <v>8</v>
      </c>
      <c r="F39" s="1">
        <v>10812</v>
      </c>
      <c r="G39">
        <v>26</v>
      </c>
      <c r="H39" t="s">
        <v>7</v>
      </c>
      <c r="I39">
        <v>24</v>
      </c>
      <c r="J39">
        <v>26</v>
      </c>
      <c r="K39">
        <v>15</v>
      </c>
      <c r="L39">
        <v>0</v>
      </c>
      <c r="M39">
        <v>0</v>
      </c>
      <c r="N39" s="1">
        <f>Table4[[#This Row],[Total Weekday]]*Table4[[#This Row],[Daily Rate]]</f>
        <v>259488</v>
      </c>
      <c r="O39" s="8">
        <f>Table4[[#This Row],[Daily Rate]]/8*1.5*Table4[[#This Row],[Weekday OVT]]</f>
        <v>52708.5</v>
      </c>
      <c r="P39" s="1">
        <f>Table4[[#This Row],[Daily Rate]]/8*(1.5*Table4[[#This Row],[Total Saturday]])</f>
        <v>30408.75</v>
      </c>
      <c r="Q39" s="1">
        <f>Table4[[#This Row],[Daily Rate]]/8*(2*Table4[[#This Row],[Total Sunday]])</f>
        <v>0</v>
      </c>
      <c r="R39" s="1">
        <f>2500*Table4[[#This Row],[Night Worked]]</f>
        <v>0</v>
      </c>
      <c r="S39" s="1">
        <f>500*Table4[[#This Row],[Total Weekday]]</f>
        <v>12000</v>
      </c>
      <c r="T39" s="1"/>
      <c r="U39" s="1"/>
      <c r="V39" s="1"/>
      <c r="W39" s="1"/>
      <c r="X39" s="1"/>
      <c r="Y39" s="1">
        <f>SUM(Table4[[#This Row],[Wkd Earning]:[Arrears]])</f>
        <v>354605.25</v>
      </c>
      <c r="Z39" s="1">
        <f>0.05*Table4[[#This Row],[Total Earnings]]</f>
        <v>17730.262500000001</v>
      </c>
      <c r="AA39" s="1">
        <f>Table4[[#This Row],[Total Earnings]]</f>
        <v>354605.25</v>
      </c>
      <c r="AB39" s="1">
        <f>Table4[[#This Row],[Gross Salary]]-Table4[[#This Row],[WHT]]</f>
        <v>336874.98749999999</v>
      </c>
    </row>
    <row r="40" spans="1:28" x14ac:dyDescent="0.3">
      <c r="A40" t="s">
        <v>325</v>
      </c>
      <c r="B40" t="s">
        <v>326</v>
      </c>
      <c r="C40" t="s">
        <v>94</v>
      </c>
      <c r="D40" t="s">
        <v>199</v>
      </c>
      <c r="E40" t="s">
        <v>8</v>
      </c>
      <c r="F40" s="1">
        <v>10812</v>
      </c>
      <c r="G40">
        <v>31</v>
      </c>
      <c r="H40" t="s">
        <v>7</v>
      </c>
      <c r="I40">
        <v>25</v>
      </c>
      <c r="J40">
        <v>27</v>
      </c>
      <c r="K40">
        <v>0</v>
      </c>
      <c r="L40">
        <v>0</v>
      </c>
      <c r="M40">
        <v>0</v>
      </c>
      <c r="N40" s="1">
        <f>Table4[[#This Row],[Total Weekday]]*Table4[[#This Row],[Daily Rate]]</f>
        <v>270300</v>
      </c>
      <c r="O40" s="8">
        <f>Table4[[#This Row],[Daily Rate]]/8*1.5*Table4[[#This Row],[Weekday OVT]]</f>
        <v>54735.75</v>
      </c>
      <c r="P40" s="1">
        <f>Table4[[#This Row],[Daily Rate]]/8*(1.5*Table4[[#This Row],[Total Saturday]])</f>
        <v>0</v>
      </c>
      <c r="Q40" s="1">
        <f>Table4[[#This Row],[Daily Rate]]/8*(2*Table4[[#This Row],[Total Sunday]])</f>
        <v>0</v>
      </c>
      <c r="R40" s="1">
        <f>2500*Table4[[#This Row],[Night Worked]]</f>
        <v>0</v>
      </c>
      <c r="S40" s="1">
        <f>500*Table4[[#This Row],[Total Weekday]]</f>
        <v>12500</v>
      </c>
      <c r="T40" s="1"/>
      <c r="U40" s="1"/>
      <c r="V40" s="1"/>
      <c r="W40" s="1"/>
      <c r="X40" s="1"/>
      <c r="Y40" s="1">
        <f>SUM(Table4[[#This Row],[Wkd Earning]:[Arrears]])</f>
        <v>337535.75</v>
      </c>
      <c r="Z40" s="1">
        <f>0.05*Table4[[#This Row],[Total Earnings]]</f>
        <v>16876.787500000002</v>
      </c>
      <c r="AA40" s="1">
        <f>Table4[[#This Row],[Total Earnings]]</f>
        <v>337535.75</v>
      </c>
      <c r="AB40" s="1">
        <f>Table4[[#This Row],[Gross Salary]]-Table4[[#This Row],[WHT]]</f>
        <v>320658.96250000002</v>
      </c>
    </row>
    <row r="41" spans="1:28" x14ac:dyDescent="0.3">
      <c r="A41" t="s">
        <v>327</v>
      </c>
      <c r="B41" t="s">
        <v>328</v>
      </c>
      <c r="C41" t="s">
        <v>94</v>
      </c>
      <c r="D41" t="s">
        <v>12</v>
      </c>
      <c r="E41" t="s">
        <v>8</v>
      </c>
      <c r="F41" s="1">
        <v>10250</v>
      </c>
      <c r="G41">
        <v>55</v>
      </c>
      <c r="H41" t="s">
        <v>7</v>
      </c>
      <c r="I41">
        <v>29</v>
      </c>
      <c r="J41">
        <v>57</v>
      </c>
      <c r="K41">
        <v>33</v>
      </c>
      <c r="L41">
        <v>20</v>
      </c>
      <c r="M41">
        <v>12</v>
      </c>
      <c r="N41" s="1">
        <f>Table4[[#This Row],[Total Weekday]]*Table4[[#This Row],[Daily Rate]]</f>
        <v>297250</v>
      </c>
      <c r="O41" s="8">
        <f>Table4[[#This Row],[Daily Rate]]/8*1.5*Table4[[#This Row],[Weekday OVT]]</f>
        <v>109546.875</v>
      </c>
      <c r="P41" s="1">
        <f>Table4[[#This Row],[Daily Rate]]/8*(1.5*Table4[[#This Row],[Total Saturday]])</f>
        <v>63421.875</v>
      </c>
      <c r="Q41" s="1">
        <f>Table4[[#This Row],[Daily Rate]]/8*(2*Table4[[#This Row],[Total Sunday]])</f>
        <v>51250</v>
      </c>
      <c r="R41" s="1">
        <f>2500*Table4[[#This Row],[Night Worked]]</f>
        <v>30000</v>
      </c>
      <c r="S41" s="1">
        <f>500*Table4[[#This Row],[Total Weekday]]</f>
        <v>14500</v>
      </c>
      <c r="T41" s="1"/>
      <c r="U41" s="1"/>
      <c r="V41" s="1"/>
      <c r="W41" s="1"/>
      <c r="X41" s="1"/>
      <c r="Y41" s="1">
        <f>SUM(Table4[[#This Row],[Wkd Earning]:[Arrears]])</f>
        <v>565968.75</v>
      </c>
      <c r="Z41" s="1">
        <f>0.05*Table4[[#This Row],[Total Earnings]]</f>
        <v>28298.4375</v>
      </c>
      <c r="AA41" s="1">
        <f>Table4[[#This Row],[Total Earnings]]</f>
        <v>565968.75</v>
      </c>
      <c r="AB41" s="1">
        <f>Table4[[#This Row],[Gross Salary]]-Table4[[#This Row],[WHT]]</f>
        <v>537670.3125</v>
      </c>
    </row>
    <row r="42" spans="1:28" x14ac:dyDescent="0.3">
      <c r="A42" t="s">
        <v>336</v>
      </c>
      <c r="B42" t="s">
        <v>338</v>
      </c>
      <c r="C42" t="s">
        <v>337</v>
      </c>
      <c r="D42" t="s">
        <v>199</v>
      </c>
      <c r="E42" t="s">
        <v>8</v>
      </c>
      <c r="F42" s="1">
        <v>13050</v>
      </c>
      <c r="G42">
        <v>38</v>
      </c>
      <c r="H42" t="s">
        <v>7</v>
      </c>
      <c r="I42">
        <v>22</v>
      </c>
      <c r="J42">
        <v>16</v>
      </c>
      <c r="K42">
        <v>0</v>
      </c>
      <c r="L42">
        <v>0</v>
      </c>
      <c r="M42">
        <v>0</v>
      </c>
      <c r="N42" s="1">
        <f>Table4[[#This Row],[Total Weekday]]*Table4[[#This Row],[Daily Rate]]</f>
        <v>287100</v>
      </c>
      <c r="O42" s="8">
        <f>Table4[[#This Row],[Daily Rate]]/8*1.5*Table4[[#This Row],[Weekday OVT]]</f>
        <v>39150</v>
      </c>
      <c r="P42" s="1">
        <f>Table4[[#This Row],[Daily Rate]]/8*(1.5*Table4[[#This Row],[Total Saturday]])</f>
        <v>0</v>
      </c>
      <c r="Q42" s="1">
        <f>Table4[[#This Row],[Daily Rate]]/8*(2*Table4[[#This Row],[Total Sunday]])</f>
        <v>0</v>
      </c>
      <c r="R42" s="1">
        <f>2500*Table4[[#This Row],[Night Worked]]</f>
        <v>0</v>
      </c>
      <c r="S42" s="1">
        <f>500*Table4[[#This Row],[Total Weekday]]</f>
        <v>11000</v>
      </c>
      <c r="T42" s="1"/>
      <c r="U42" s="1"/>
      <c r="V42" s="1"/>
      <c r="W42" s="1"/>
      <c r="X42" s="1"/>
      <c r="Y42" s="1">
        <f>SUM(Table4[[#This Row],[Wkd Earning]:[Arrears]])</f>
        <v>337250</v>
      </c>
      <c r="Z42" s="1">
        <f>0.05*Table4[[#This Row],[Total Earnings]]</f>
        <v>16862.5</v>
      </c>
      <c r="AA42" s="1">
        <f>Table4[[#This Row],[Total Earnings]]</f>
        <v>337250</v>
      </c>
      <c r="AB42" s="1">
        <f>Table4[[#This Row],[Gross Salary]]-Table4[[#This Row],[WHT]]</f>
        <v>320387.5</v>
      </c>
    </row>
    <row r="43" spans="1:28" x14ac:dyDescent="0.3">
      <c r="A43" t="s">
        <v>374</v>
      </c>
      <c r="B43" t="s">
        <v>115</v>
      </c>
      <c r="C43" t="s">
        <v>248</v>
      </c>
      <c r="D43" t="s">
        <v>273</v>
      </c>
      <c r="E43" t="s">
        <v>8</v>
      </c>
      <c r="F43" s="1">
        <v>13150</v>
      </c>
      <c r="G43">
        <v>43</v>
      </c>
      <c r="H43" t="s">
        <v>7</v>
      </c>
      <c r="I43">
        <v>21</v>
      </c>
      <c r="J43">
        <v>4</v>
      </c>
      <c r="K43">
        <v>0</v>
      </c>
      <c r="L43">
        <v>0</v>
      </c>
      <c r="M43">
        <v>0</v>
      </c>
      <c r="N43" s="1">
        <f>Table4[[#This Row],[Total Weekday]]*Table4[[#This Row],[Daily Rate]]</f>
        <v>276150</v>
      </c>
      <c r="O43" s="8">
        <f>Table4[[#This Row],[Daily Rate]]/8*1.5*Table4[[#This Row],[Weekday OVT]]</f>
        <v>9862.5</v>
      </c>
      <c r="P43" s="1">
        <f>Table4[[#This Row],[Daily Rate]]/8*(1.5*Table4[[#This Row],[Total Saturday]])</f>
        <v>0</v>
      </c>
      <c r="Q43" s="1">
        <f>Table4[[#This Row],[Daily Rate]]/8*(2*Table4[[#This Row],[Total Sunday]])</f>
        <v>0</v>
      </c>
      <c r="R43" s="1">
        <f>2500*Table4[[#This Row],[Night Worked]]</f>
        <v>0</v>
      </c>
      <c r="S43" s="1">
        <f>500*Table4[[#This Row],[Total Weekday]]</f>
        <v>10500</v>
      </c>
      <c r="T43" s="1"/>
      <c r="U43" s="1"/>
      <c r="V43" s="1"/>
      <c r="W43" s="1"/>
      <c r="X43" s="1"/>
      <c r="Y43" s="1">
        <f>SUM(Table4[[#This Row],[Wkd Earning]:[Arrears]])</f>
        <v>296512.5</v>
      </c>
      <c r="Z43" s="1">
        <f>0.05*Table4[[#This Row],[Total Earnings]]</f>
        <v>14825.625</v>
      </c>
      <c r="AA43" s="1">
        <f>Table4[[#This Row],[Total Earnings]]</f>
        <v>296512.5</v>
      </c>
      <c r="AB43" s="1">
        <f>Table4[[#This Row],[Gross Salary]]-Table4[[#This Row],[WHT]]</f>
        <v>281686.875</v>
      </c>
    </row>
    <row r="44" spans="1:28" x14ac:dyDescent="0.3">
      <c r="A44" t="s">
        <v>399</v>
      </c>
      <c r="B44" t="s">
        <v>400</v>
      </c>
      <c r="C44" t="s">
        <v>292</v>
      </c>
      <c r="D44" t="s">
        <v>273</v>
      </c>
      <c r="E44" t="s">
        <v>8</v>
      </c>
      <c r="F44" s="1">
        <v>11575</v>
      </c>
      <c r="G44">
        <v>39</v>
      </c>
      <c r="H44" t="s">
        <v>7</v>
      </c>
      <c r="I44">
        <v>22</v>
      </c>
      <c r="J44">
        <v>0</v>
      </c>
      <c r="K44">
        <v>0</v>
      </c>
      <c r="L44">
        <v>0</v>
      </c>
      <c r="M44">
        <v>0</v>
      </c>
      <c r="N44" s="1">
        <f>Table4[[#This Row],[Total Weekday]]*Table4[[#This Row],[Daily Rate]]</f>
        <v>254650</v>
      </c>
      <c r="O44" s="8">
        <f>Table4[[#This Row],[Daily Rate]]/8*1.5*Table4[[#This Row],[Weekday OVT]]</f>
        <v>0</v>
      </c>
      <c r="P44" s="1">
        <f>Table4[[#This Row],[Daily Rate]]/8*(1.5*Table4[[#This Row],[Total Saturday]])</f>
        <v>0</v>
      </c>
      <c r="Q44" s="1">
        <f>Table4[[#This Row],[Daily Rate]]/8*(2*Table4[[#This Row],[Total Sunday]])</f>
        <v>0</v>
      </c>
      <c r="R44" s="1">
        <f>2500*Table4[[#This Row],[Night Worked]]</f>
        <v>0</v>
      </c>
      <c r="S44" s="1">
        <f>500*Table4[[#This Row],[Total Weekday]]</f>
        <v>11000</v>
      </c>
      <c r="T44" s="1"/>
      <c r="U44" s="1"/>
      <c r="V44" s="1"/>
      <c r="W44" s="1"/>
      <c r="X44" s="1"/>
      <c r="Y44" s="1">
        <f>SUM(Table4[[#This Row],[Wkd Earning]:[Arrears]])</f>
        <v>265650</v>
      </c>
      <c r="Z44" s="1">
        <f>0.05*Table4[[#This Row],[Total Earnings]]</f>
        <v>13282.5</v>
      </c>
      <c r="AA44" s="1">
        <f>Table4[[#This Row],[Total Earnings]]</f>
        <v>265650</v>
      </c>
      <c r="AB44" s="1">
        <f>Table4[[#This Row],[Gross Salary]]-Table4[[#This Row],[WHT]]</f>
        <v>252367.5</v>
      </c>
    </row>
    <row r="45" spans="1:28" x14ac:dyDescent="0.3">
      <c r="A45" t="s">
        <v>403</v>
      </c>
      <c r="B45" t="s">
        <v>404</v>
      </c>
      <c r="C45" t="s">
        <v>252</v>
      </c>
      <c r="D45" t="s">
        <v>161</v>
      </c>
      <c r="E45" t="s">
        <v>8</v>
      </c>
      <c r="F45" s="1">
        <v>13250</v>
      </c>
      <c r="G45">
        <v>56</v>
      </c>
      <c r="H45" t="s">
        <v>7</v>
      </c>
      <c r="I45">
        <v>22</v>
      </c>
      <c r="J45">
        <v>12</v>
      </c>
      <c r="K45">
        <v>0</v>
      </c>
      <c r="L45">
        <v>0</v>
      </c>
      <c r="M45">
        <v>0</v>
      </c>
      <c r="N45" s="1">
        <f>Table4[[#This Row],[Total Weekday]]*Table4[[#This Row],[Daily Rate]]</f>
        <v>291500</v>
      </c>
      <c r="O45" s="8">
        <f>Table4[[#This Row],[Daily Rate]]/8*1.5*Table4[[#This Row],[Weekday OVT]]</f>
        <v>29812.5</v>
      </c>
      <c r="P45" s="1">
        <f>Table4[[#This Row],[Daily Rate]]/8*(1.5*Table4[[#This Row],[Total Saturday]])</f>
        <v>0</v>
      </c>
      <c r="Q45" s="1">
        <f>Table4[[#This Row],[Daily Rate]]/8*(2*Table4[[#This Row],[Total Sunday]])</f>
        <v>0</v>
      </c>
      <c r="R45" s="1">
        <f>2500*Table4[[#This Row],[Night Worked]]</f>
        <v>0</v>
      </c>
      <c r="S45" s="1">
        <f>500*Table4[[#This Row],[Total Weekday]]</f>
        <v>11000</v>
      </c>
      <c r="T45" s="1"/>
      <c r="U45" s="1"/>
      <c r="V45" s="1"/>
      <c r="W45" s="1"/>
      <c r="X45" s="1"/>
      <c r="Y45" s="1">
        <f>SUM(Table4[[#This Row],[Wkd Earning]:[Arrears]])</f>
        <v>332312.5</v>
      </c>
      <c r="Z45" s="1">
        <f>0.05*Table4[[#This Row],[Total Earnings]]</f>
        <v>16615.625</v>
      </c>
      <c r="AA45" s="1">
        <f>Table4[[#This Row],[Total Earnings]]</f>
        <v>332312.5</v>
      </c>
      <c r="AB45" s="1">
        <f>Table4[[#This Row],[Gross Salary]]-Table4[[#This Row],[WHT]]</f>
        <v>315696.875</v>
      </c>
    </row>
    <row r="46" spans="1:28" x14ac:dyDescent="0.3">
      <c r="A46" t="s">
        <v>434</v>
      </c>
      <c r="B46" t="s">
        <v>436</v>
      </c>
      <c r="C46" t="s">
        <v>435</v>
      </c>
      <c r="D46" t="s">
        <v>199</v>
      </c>
      <c r="E46" t="s">
        <v>8</v>
      </c>
      <c r="F46" s="1">
        <v>11575</v>
      </c>
      <c r="G46">
        <v>33</v>
      </c>
      <c r="H46" t="s">
        <v>7</v>
      </c>
      <c r="I46">
        <v>22</v>
      </c>
      <c r="J46">
        <v>25</v>
      </c>
      <c r="K46">
        <v>0</v>
      </c>
      <c r="L46">
        <v>0</v>
      </c>
      <c r="M46">
        <v>0</v>
      </c>
      <c r="N46" s="1">
        <f>Table4[[#This Row],[Total Weekday]]*Table4[[#This Row],[Daily Rate]]</f>
        <v>254650</v>
      </c>
      <c r="O46" s="8">
        <f>Table4[[#This Row],[Daily Rate]]/8*1.5*Table4[[#This Row],[Weekday OVT]]</f>
        <v>54257.8125</v>
      </c>
      <c r="P46" s="1">
        <f>Table4[[#This Row],[Daily Rate]]/8*(1.5*Table4[[#This Row],[Total Saturday]])</f>
        <v>0</v>
      </c>
      <c r="Q46" s="1">
        <f>Table4[[#This Row],[Daily Rate]]/8*(2*Table4[[#This Row],[Total Sunday]])</f>
        <v>0</v>
      </c>
      <c r="R46" s="1">
        <f>2500*Table4[[#This Row],[Night Worked]]</f>
        <v>0</v>
      </c>
      <c r="S46" s="1">
        <f>500*Table4[[#This Row],[Total Weekday]]</f>
        <v>11000</v>
      </c>
      <c r="T46" s="1"/>
      <c r="U46" s="1"/>
      <c r="V46" s="1"/>
      <c r="W46" s="1"/>
      <c r="X46" s="1"/>
      <c r="Y46" s="1">
        <f>SUM(Table4[[#This Row],[Wkd Earning]:[Arrears]])</f>
        <v>319907.8125</v>
      </c>
      <c r="Z46" s="1">
        <f>0.05*Table4[[#This Row],[Total Earnings]]</f>
        <v>15995.390625</v>
      </c>
      <c r="AA46" s="1">
        <f>Table4[[#This Row],[Total Earnings]]</f>
        <v>319907.8125</v>
      </c>
      <c r="AB46" s="1">
        <f>Table4[[#This Row],[Gross Salary]]-Table4[[#This Row],[WHT]]</f>
        <v>303912.421875</v>
      </c>
    </row>
    <row r="47" spans="1:28" x14ac:dyDescent="0.3">
      <c r="A47" t="s">
        <v>438</v>
      </c>
      <c r="B47" t="s">
        <v>418</v>
      </c>
      <c r="C47" t="s">
        <v>439</v>
      </c>
      <c r="D47" t="s">
        <v>29</v>
      </c>
      <c r="E47" t="s">
        <v>8</v>
      </c>
      <c r="F47" s="1">
        <v>11575</v>
      </c>
      <c r="G47">
        <v>51</v>
      </c>
      <c r="H47" t="s">
        <v>7</v>
      </c>
      <c r="I47">
        <v>23</v>
      </c>
      <c r="J47">
        <v>13</v>
      </c>
      <c r="K47">
        <v>8</v>
      </c>
      <c r="L47">
        <v>0</v>
      </c>
      <c r="M47">
        <v>0</v>
      </c>
      <c r="N47" s="1">
        <f>Table4[[#This Row],[Total Weekday]]*Table4[[#This Row],[Daily Rate]]</f>
        <v>266225</v>
      </c>
      <c r="O47" s="8">
        <f>Table4[[#This Row],[Daily Rate]]/8*1.5*Table4[[#This Row],[Weekday OVT]]</f>
        <v>28214.0625</v>
      </c>
      <c r="P47" s="1">
        <f>Table4[[#This Row],[Daily Rate]]/8*(1.5*Table4[[#This Row],[Total Saturday]])</f>
        <v>17362.5</v>
      </c>
      <c r="Q47" s="1">
        <f>Table4[[#This Row],[Daily Rate]]/8*(2*Table4[[#This Row],[Total Sunday]])</f>
        <v>0</v>
      </c>
      <c r="R47" s="1">
        <f>2500*Table4[[#This Row],[Night Worked]]</f>
        <v>0</v>
      </c>
      <c r="S47" s="1">
        <f>500*Table4[[#This Row],[Total Weekday]]</f>
        <v>11500</v>
      </c>
      <c r="T47" s="1"/>
      <c r="U47" s="1"/>
      <c r="V47" s="1"/>
      <c r="W47" s="1"/>
      <c r="X47" s="1"/>
      <c r="Y47" s="1">
        <f>SUM(Table4[[#This Row],[Wkd Earning]:[Arrears]])</f>
        <v>323301.5625</v>
      </c>
      <c r="Z47" s="1">
        <f>0.05*Table4[[#This Row],[Total Earnings]]</f>
        <v>16165.078125</v>
      </c>
      <c r="AA47" s="1">
        <f>Table4[[#This Row],[Total Earnings]]</f>
        <v>323301.5625</v>
      </c>
      <c r="AB47" s="1">
        <f>Table4[[#This Row],[Gross Salary]]-Table4[[#This Row],[WHT]]</f>
        <v>307136.484375</v>
      </c>
    </row>
    <row r="48" spans="1:28" x14ac:dyDescent="0.3">
      <c r="A48" t="s">
        <v>140</v>
      </c>
      <c r="B48" t="s">
        <v>142</v>
      </c>
      <c r="C48" t="s">
        <v>141</v>
      </c>
      <c r="D48" t="s">
        <v>143</v>
      </c>
      <c r="E48" t="s">
        <v>8</v>
      </c>
      <c r="F48" s="1">
        <v>12750</v>
      </c>
      <c r="G48">
        <v>43</v>
      </c>
      <c r="H48" t="s">
        <v>7</v>
      </c>
      <c r="I48">
        <v>22</v>
      </c>
      <c r="J48">
        <v>0</v>
      </c>
      <c r="K48">
        <v>0</v>
      </c>
      <c r="L48">
        <v>0</v>
      </c>
      <c r="M48">
        <v>0</v>
      </c>
      <c r="N48" s="1">
        <f>Table4[[#This Row],[Total Weekday]]*Table4[[#This Row],[Daily Rate]]</f>
        <v>280500</v>
      </c>
      <c r="O48" s="8">
        <f>Table4[[#This Row],[Daily Rate]]/8*1.5*Table4[[#This Row],[Weekday OVT]]</f>
        <v>0</v>
      </c>
      <c r="P48" s="1">
        <f>Table4[[#This Row],[Daily Rate]]/8*(1.5*Table4[[#This Row],[Total Saturday]])</f>
        <v>0</v>
      </c>
      <c r="Q48" s="1">
        <f>Table4[[#This Row],[Daily Rate]]/8*(2*Table4[[#This Row],[Total Sunday]])</f>
        <v>0</v>
      </c>
      <c r="R48" s="1">
        <f>2500*Table4[[#This Row],[Night Worked]]</f>
        <v>0</v>
      </c>
      <c r="S48" s="1">
        <f>500*Table4[[#This Row],[Total Weekday]]</f>
        <v>11000</v>
      </c>
      <c r="T48" s="1"/>
      <c r="U48" s="1"/>
      <c r="V48" s="1"/>
      <c r="W48" s="1"/>
      <c r="X48" s="1"/>
      <c r="Y48" s="1">
        <f>SUM(Table4[[#This Row],[Wkd Earning]:[Arrears]])</f>
        <v>291500</v>
      </c>
      <c r="Z48" s="1">
        <f>0.05*Table4[[#This Row],[Total Earnings]]</f>
        <v>14575</v>
      </c>
      <c r="AA48" s="1">
        <f>Table4[[#This Row],[Total Earnings]]</f>
        <v>291500</v>
      </c>
      <c r="AB48" s="1">
        <f>Table4[[#This Row],[Gross Salary]]-Table4[[#This Row],[WHT]]</f>
        <v>276925</v>
      </c>
    </row>
    <row r="49" spans="1:28" x14ac:dyDescent="0.3">
      <c r="A49" t="s">
        <v>162</v>
      </c>
      <c r="B49" t="s">
        <v>164</v>
      </c>
      <c r="C49" t="s">
        <v>163</v>
      </c>
      <c r="D49" t="s">
        <v>154</v>
      </c>
      <c r="E49" t="s">
        <v>8</v>
      </c>
      <c r="F49" s="1">
        <v>14050</v>
      </c>
      <c r="G49">
        <v>47</v>
      </c>
      <c r="H49" t="s">
        <v>7</v>
      </c>
      <c r="I49">
        <v>22</v>
      </c>
      <c r="J49">
        <v>10</v>
      </c>
      <c r="K49">
        <v>0</v>
      </c>
      <c r="L49">
        <v>0</v>
      </c>
      <c r="M49">
        <v>0</v>
      </c>
      <c r="N49" s="1">
        <f>Table4[[#This Row],[Total Weekday]]*Table4[[#This Row],[Daily Rate]]</f>
        <v>309100</v>
      </c>
      <c r="O49" s="8">
        <f>Table4[[#This Row],[Daily Rate]]/8*1.5*Table4[[#This Row],[Weekday OVT]]</f>
        <v>26343.75</v>
      </c>
      <c r="P49" s="1">
        <f>Table4[[#This Row],[Daily Rate]]/8*(1.5*Table4[[#This Row],[Total Saturday]])</f>
        <v>0</v>
      </c>
      <c r="Q49" s="1">
        <f>Table4[[#This Row],[Daily Rate]]/8*(2*Table4[[#This Row],[Total Sunday]])</f>
        <v>0</v>
      </c>
      <c r="R49" s="1">
        <f>2500*Table4[[#This Row],[Night Worked]]</f>
        <v>0</v>
      </c>
      <c r="S49" s="1">
        <f>500*Table4[[#This Row],[Total Weekday]]</f>
        <v>11000</v>
      </c>
      <c r="T49" s="1"/>
      <c r="U49" s="1"/>
      <c r="V49" s="1"/>
      <c r="W49" s="1"/>
      <c r="X49" s="1"/>
      <c r="Y49" s="1">
        <f>SUM(Table4[[#This Row],[Wkd Earning]:[Arrears]])</f>
        <v>346443.75</v>
      </c>
      <c r="Z49" s="1">
        <f>0.05*Table4[[#This Row],[Total Earnings]]</f>
        <v>17322.1875</v>
      </c>
      <c r="AA49" s="1">
        <f>Table4[[#This Row],[Total Earnings]]</f>
        <v>346443.75</v>
      </c>
      <c r="AB49" s="1">
        <f>Table4[[#This Row],[Gross Salary]]-Table4[[#This Row],[WHT]]</f>
        <v>329121.5625</v>
      </c>
    </row>
    <row r="50" spans="1:28" x14ac:dyDescent="0.3">
      <c r="A50" t="s">
        <v>13</v>
      </c>
      <c r="B50" t="s">
        <v>15</v>
      </c>
      <c r="C50" t="s">
        <v>14</v>
      </c>
      <c r="D50" t="s">
        <v>16</v>
      </c>
      <c r="E50" t="s">
        <v>8</v>
      </c>
      <c r="F50" s="1">
        <v>16200</v>
      </c>
      <c r="G50">
        <v>61</v>
      </c>
      <c r="H50" t="s">
        <v>7</v>
      </c>
      <c r="I50">
        <v>22</v>
      </c>
      <c r="J50">
        <v>0</v>
      </c>
      <c r="K50">
        <v>0</v>
      </c>
      <c r="L50">
        <v>0</v>
      </c>
      <c r="M50">
        <v>0</v>
      </c>
      <c r="N50" s="1">
        <f>Table4[[#This Row],[Total Weekday]]*Table4[[#This Row],[Daily Rate]]</f>
        <v>356400</v>
      </c>
      <c r="O50" s="8">
        <f>Table4[[#This Row],[Daily Rate]]/8*1.5*Table4[[#This Row],[Weekday OVT]]</f>
        <v>0</v>
      </c>
      <c r="P50" s="1">
        <f>Table4[[#This Row],[Daily Rate]]/8*(1.5*Table4[[#This Row],[Total Saturday]])</f>
        <v>0</v>
      </c>
      <c r="Q50" s="1">
        <f>Table4[[#This Row],[Daily Rate]]/8*(2*Table4[[#This Row],[Total Sunday]])</f>
        <v>0</v>
      </c>
      <c r="R50" s="1">
        <f>2500*Table4[[#This Row],[Night Worked]]</f>
        <v>0</v>
      </c>
      <c r="S50" s="1">
        <f>500*Table4[[#This Row],[Total Weekday]]</f>
        <v>11000</v>
      </c>
      <c r="T50" s="1"/>
      <c r="U50" s="1"/>
      <c r="V50" s="1"/>
      <c r="W50" s="1"/>
      <c r="X50" s="1"/>
      <c r="Y50" s="1">
        <f>SUM(Table4[[#This Row],[Wkd Earning]:[Arrears]])</f>
        <v>367400</v>
      </c>
      <c r="Z50" s="1">
        <f>0.05*Table4[[#This Row],[Total Earnings]]</f>
        <v>18370</v>
      </c>
      <c r="AA50" s="1">
        <f>Table4[[#This Row],[Total Earnings]]</f>
        <v>367400</v>
      </c>
      <c r="AB50" s="1">
        <f>Table4[[#This Row],[Gross Salary]]-Table4[[#This Row],[WHT]]</f>
        <v>349030</v>
      </c>
    </row>
    <row r="51" spans="1:28" x14ac:dyDescent="0.3">
      <c r="A51" t="s">
        <v>124</v>
      </c>
      <c r="B51" t="s">
        <v>126</v>
      </c>
      <c r="C51" t="s">
        <v>125</v>
      </c>
      <c r="D51" t="s">
        <v>50</v>
      </c>
      <c r="E51" t="s">
        <v>8</v>
      </c>
      <c r="F51" s="1">
        <v>20100</v>
      </c>
      <c r="G51">
        <v>47</v>
      </c>
      <c r="H51" t="s">
        <v>7</v>
      </c>
      <c r="I51">
        <v>22</v>
      </c>
      <c r="J51">
        <v>10</v>
      </c>
      <c r="K51">
        <v>0</v>
      </c>
      <c r="L51">
        <v>0</v>
      </c>
      <c r="M51">
        <v>0</v>
      </c>
      <c r="N51" s="1">
        <f>Table4[[#This Row],[Total Weekday]]*Table4[[#This Row],[Daily Rate]]</f>
        <v>442200</v>
      </c>
      <c r="O51" s="8">
        <f>Table4[[#This Row],[Daily Rate]]/8*1.5*Table4[[#This Row],[Weekday OVT]]</f>
        <v>37687.5</v>
      </c>
      <c r="P51" s="1">
        <f>Table4[[#This Row],[Daily Rate]]/8*(1.5*Table4[[#This Row],[Total Saturday]])</f>
        <v>0</v>
      </c>
      <c r="Q51" s="1">
        <f>Table4[[#This Row],[Daily Rate]]/8*(2*Table4[[#This Row],[Total Sunday]])</f>
        <v>0</v>
      </c>
      <c r="R51" s="1">
        <f>2500*Table4[[#This Row],[Night Worked]]</f>
        <v>0</v>
      </c>
      <c r="S51" s="1">
        <f>500*Table4[[#This Row],[Total Weekday]]</f>
        <v>11000</v>
      </c>
      <c r="T51" s="1"/>
      <c r="U51" s="1"/>
      <c r="V51" s="1"/>
      <c r="W51" s="1"/>
      <c r="X51" s="1"/>
      <c r="Y51" s="1">
        <f>SUM(Table4[[#This Row],[Wkd Earning]:[Arrears]])</f>
        <v>490887.5</v>
      </c>
      <c r="Z51" s="1">
        <f>0.05*Table4[[#This Row],[Total Earnings]]</f>
        <v>24544.375</v>
      </c>
      <c r="AA51" s="1">
        <f>Table4[[#This Row],[Total Earnings]]</f>
        <v>490887.5</v>
      </c>
      <c r="AB51" s="1">
        <f>Table4[[#This Row],[Gross Salary]]-Table4[[#This Row],[WHT]]</f>
        <v>466343.125</v>
      </c>
    </row>
    <row r="52" spans="1:28" s="13" customFormat="1" x14ac:dyDescent="0.3">
      <c r="A52" s="13" t="s">
        <v>158</v>
      </c>
      <c r="B52" s="13" t="s">
        <v>160</v>
      </c>
      <c r="C52" s="13" t="s">
        <v>159</v>
      </c>
      <c r="D52" s="13" t="s">
        <v>161</v>
      </c>
      <c r="E52" s="13" t="s">
        <v>8</v>
      </c>
      <c r="F52" s="14">
        <v>13250</v>
      </c>
      <c r="G52" s="13">
        <v>56</v>
      </c>
      <c r="H52" s="13" t="s">
        <v>7</v>
      </c>
      <c r="I52" s="13">
        <v>22</v>
      </c>
      <c r="J52" s="13">
        <v>3</v>
      </c>
      <c r="K52" s="13">
        <v>0</v>
      </c>
      <c r="L52" s="13">
        <v>0</v>
      </c>
      <c r="M52" s="13">
        <v>0</v>
      </c>
      <c r="N52" s="14">
        <f>Table4[[#This Row],[Total Weekday]]*Table4[[#This Row],[Daily Rate]]</f>
        <v>291500</v>
      </c>
      <c r="O52" s="15">
        <f>Table4[[#This Row],[Daily Rate]]/8*1.5*Table4[[#This Row],[Weekday OVT]]</f>
        <v>7453.125</v>
      </c>
      <c r="P52" s="14">
        <f>Table4[[#This Row],[Daily Rate]]/8*(1.5*Table4[[#This Row],[Total Saturday]])</f>
        <v>0</v>
      </c>
      <c r="Q52" s="14">
        <f>Table4[[#This Row],[Daily Rate]]/8*(2*Table4[[#This Row],[Total Sunday]])</f>
        <v>0</v>
      </c>
      <c r="R52" s="14">
        <f>2500*Table4[[#This Row],[Night Worked]]</f>
        <v>0</v>
      </c>
      <c r="S52" s="14">
        <f>500*Table4[[#This Row],[Total Weekday]]</f>
        <v>11000</v>
      </c>
      <c r="T52" s="14">
        <v>46000</v>
      </c>
      <c r="U52" s="14"/>
      <c r="V52" s="14"/>
      <c r="W52" s="14"/>
      <c r="X52" s="14"/>
      <c r="Y52" s="14">
        <f>SUM(Table4[[#This Row],[Wkd Earning]:[Arrears]])</f>
        <v>355953.125</v>
      </c>
      <c r="Z52" s="14">
        <f>0.05*Table4[[#This Row],[Total Earnings]]</f>
        <v>17797.65625</v>
      </c>
      <c r="AA52" s="14">
        <f>Table4[[#This Row],[Total Earnings]]</f>
        <v>355953.125</v>
      </c>
      <c r="AB52" s="14">
        <f>Table4[[#This Row],[Gross Salary]]-Table4[[#This Row],[WHT]]</f>
        <v>338155.46875</v>
      </c>
    </row>
    <row r="53" spans="1:28" x14ac:dyDescent="0.3">
      <c r="A53" t="s">
        <v>177</v>
      </c>
      <c r="B53" t="s">
        <v>179</v>
      </c>
      <c r="C53" t="s">
        <v>178</v>
      </c>
      <c r="D53" t="s">
        <v>161</v>
      </c>
      <c r="E53" t="s">
        <v>8</v>
      </c>
      <c r="F53" s="1">
        <v>13250</v>
      </c>
      <c r="G53">
        <v>52</v>
      </c>
      <c r="H53" t="s">
        <v>7</v>
      </c>
      <c r="I53">
        <v>29</v>
      </c>
      <c r="J53">
        <v>0</v>
      </c>
      <c r="K53">
        <v>44</v>
      </c>
      <c r="L53">
        <v>33</v>
      </c>
      <c r="M53">
        <v>0</v>
      </c>
      <c r="N53" s="1">
        <f>Table4[[#This Row],[Total Weekday]]*Table4[[#This Row],[Daily Rate]]</f>
        <v>384250</v>
      </c>
      <c r="O53" s="8">
        <f>Table4[[#This Row],[Daily Rate]]/8*1.5*Table4[[#This Row],[Weekday OVT]]</f>
        <v>0</v>
      </c>
      <c r="P53" s="1">
        <f>Table4[[#This Row],[Daily Rate]]/8*(1.5*Table4[[#This Row],[Total Saturday]])</f>
        <v>109312.5</v>
      </c>
      <c r="Q53" s="1">
        <f>Table4[[#This Row],[Daily Rate]]/8*(2*Table4[[#This Row],[Total Sunday]])</f>
        <v>109312.5</v>
      </c>
      <c r="R53" s="1">
        <f>2500*Table4[[#This Row],[Night Worked]]</f>
        <v>0</v>
      </c>
      <c r="S53" s="1">
        <f>500*Table4[[#This Row],[Total Weekday]]</f>
        <v>14500</v>
      </c>
      <c r="T53" s="1"/>
      <c r="U53" s="1"/>
      <c r="V53" s="1"/>
      <c r="W53" s="1"/>
      <c r="X53" s="1"/>
      <c r="Y53" s="1">
        <f>SUM(Table4[[#This Row],[Wkd Earning]:[Arrears]])</f>
        <v>617375</v>
      </c>
      <c r="Z53" s="1">
        <f>0.05*Table4[[#This Row],[Total Earnings]]</f>
        <v>30868.75</v>
      </c>
      <c r="AA53" s="1">
        <f>Table4[[#This Row],[Total Earnings]]</f>
        <v>617375</v>
      </c>
      <c r="AB53" s="1">
        <f>Table4[[#This Row],[Gross Salary]]-Table4[[#This Row],[WHT]]</f>
        <v>586506.25</v>
      </c>
    </row>
    <row r="54" spans="1:28" x14ac:dyDescent="0.3">
      <c r="A54" t="s">
        <v>333</v>
      </c>
      <c r="B54" t="s">
        <v>335</v>
      </c>
      <c r="C54" t="s">
        <v>334</v>
      </c>
      <c r="D54" t="s">
        <v>50</v>
      </c>
      <c r="E54" t="s">
        <v>8</v>
      </c>
      <c r="F54" s="1">
        <v>20100</v>
      </c>
      <c r="G54">
        <v>48</v>
      </c>
      <c r="H54" t="s">
        <v>7</v>
      </c>
      <c r="I54">
        <v>22</v>
      </c>
      <c r="J54">
        <v>12</v>
      </c>
      <c r="K54">
        <v>0</v>
      </c>
      <c r="L54">
        <v>0</v>
      </c>
      <c r="M54">
        <v>0</v>
      </c>
      <c r="N54" s="1">
        <f>Table4[[#This Row],[Total Weekday]]*Table4[[#This Row],[Daily Rate]]</f>
        <v>442200</v>
      </c>
      <c r="O54" s="8">
        <f>Table4[[#This Row],[Daily Rate]]/8*1.5*Table4[[#This Row],[Weekday OVT]]</f>
        <v>45225</v>
      </c>
      <c r="P54" s="1">
        <f>Table4[[#This Row],[Daily Rate]]/8*(1.5*Table4[[#This Row],[Total Saturday]])</f>
        <v>0</v>
      </c>
      <c r="Q54" s="1">
        <f>Table4[[#This Row],[Daily Rate]]/8*(2*Table4[[#This Row],[Total Sunday]])</f>
        <v>0</v>
      </c>
      <c r="R54" s="1">
        <f>2500*Table4[[#This Row],[Night Worked]]</f>
        <v>0</v>
      </c>
      <c r="S54" s="1">
        <f>500*Table4[[#This Row],[Total Weekday]]</f>
        <v>11000</v>
      </c>
      <c r="T54" s="1"/>
      <c r="U54" s="1"/>
      <c r="V54" s="1"/>
      <c r="W54" s="1"/>
      <c r="X54" s="1"/>
      <c r="Y54" s="1">
        <f>SUM(Table4[[#This Row],[Wkd Earning]:[Arrears]])</f>
        <v>498425</v>
      </c>
      <c r="Z54" s="1">
        <f>0.05*Table4[[#This Row],[Total Earnings]]</f>
        <v>24921.25</v>
      </c>
      <c r="AA54" s="1">
        <f>Table4[[#This Row],[Total Earnings]]</f>
        <v>498425</v>
      </c>
      <c r="AB54" s="1">
        <f>Table4[[#This Row],[Gross Salary]]-Table4[[#This Row],[WHT]]</f>
        <v>473503.75</v>
      </c>
    </row>
    <row r="55" spans="1:28" x14ac:dyDescent="0.3">
      <c r="A55" t="s">
        <v>84</v>
      </c>
      <c r="B55" t="s">
        <v>86</v>
      </c>
      <c r="C55" t="s">
        <v>85</v>
      </c>
      <c r="D55" t="s">
        <v>154</v>
      </c>
      <c r="E55" t="s">
        <v>804</v>
      </c>
      <c r="F55" s="1">
        <v>14050</v>
      </c>
      <c r="G55">
        <v>47</v>
      </c>
      <c r="H55" t="s">
        <v>7</v>
      </c>
      <c r="I55">
        <v>31</v>
      </c>
      <c r="J55">
        <v>0</v>
      </c>
      <c r="K55">
        <v>55</v>
      </c>
      <c r="L55">
        <v>44</v>
      </c>
      <c r="M55">
        <v>0</v>
      </c>
      <c r="N55" s="1">
        <f>Table4[[#This Row],[Total Weekday]]*Table4[[#This Row],[Daily Rate]]</f>
        <v>435550</v>
      </c>
      <c r="O55" s="8">
        <f>Table4[[#This Row],[Daily Rate]]/8*1.5*Table4[[#This Row],[Weekday OVT]]</f>
        <v>0</v>
      </c>
      <c r="P55" s="1">
        <f>Table4[[#This Row],[Daily Rate]]/8*(1.5*Table4[[#This Row],[Total Saturday]])</f>
        <v>144890.625</v>
      </c>
      <c r="Q55" s="1">
        <f>Table4[[#This Row],[Daily Rate]]/8*(2*Table4[[#This Row],[Total Sunday]])</f>
        <v>154550</v>
      </c>
      <c r="R55" s="1">
        <f>2500*Table4[[#This Row],[Night Worked]]</f>
        <v>0</v>
      </c>
      <c r="S55" s="1">
        <f>500*Table4[[#This Row],[Total Weekday]]</f>
        <v>15500</v>
      </c>
      <c r="T55" s="1"/>
      <c r="U55" s="1"/>
      <c r="V55" s="1"/>
      <c r="W55" s="1"/>
      <c r="X55" s="1"/>
      <c r="Y55" s="1">
        <f>SUM(Table4[[#This Row],[Wkd Earning]:[Arrears]])</f>
        <v>750490.625</v>
      </c>
      <c r="Z55" s="1">
        <f>0.05*Table4[[#This Row],[Total Earnings]]</f>
        <v>37524.53125</v>
      </c>
      <c r="AA55" s="1">
        <f>Table4[[#This Row],[Total Earnings]]</f>
        <v>750490.625</v>
      </c>
      <c r="AB55" s="1">
        <f>Table4[[#This Row],[Gross Salary]]-Table4[[#This Row],[WHT]]</f>
        <v>712966.09375</v>
      </c>
    </row>
    <row r="56" spans="1:28" x14ac:dyDescent="0.3">
      <c r="A56" t="s">
        <v>54</v>
      </c>
      <c r="B56" t="s">
        <v>32</v>
      </c>
      <c r="C56" t="s">
        <v>55</v>
      </c>
      <c r="D56" t="s">
        <v>56</v>
      </c>
      <c r="E56" t="s">
        <v>8</v>
      </c>
      <c r="F56" s="1">
        <v>16000</v>
      </c>
      <c r="G56">
        <v>49</v>
      </c>
      <c r="H56" t="s">
        <v>7</v>
      </c>
      <c r="I56">
        <v>22</v>
      </c>
      <c r="J56">
        <v>0</v>
      </c>
      <c r="K56">
        <v>0</v>
      </c>
      <c r="L56">
        <v>0</v>
      </c>
      <c r="M56">
        <v>0</v>
      </c>
      <c r="N56" s="1">
        <f>Table4[[#This Row],[Total Weekday]]*Table4[[#This Row],[Daily Rate]]</f>
        <v>352000</v>
      </c>
      <c r="O56" s="8">
        <f>Table4[[#This Row],[Daily Rate]]/8*1.5*Table4[[#This Row],[Weekday OVT]]</f>
        <v>0</v>
      </c>
      <c r="P56" s="1">
        <f>Table4[[#This Row],[Daily Rate]]/8*(1.5*Table4[[#This Row],[Total Saturday]])</f>
        <v>0</v>
      </c>
      <c r="Q56" s="1">
        <f>Table4[[#This Row],[Daily Rate]]/8*(2*Table4[[#This Row],[Total Sunday]])</f>
        <v>0</v>
      </c>
      <c r="R56" s="1">
        <f>2500*Table4[[#This Row],[Night Worked]]</f>
        <v>0</v>
      </c>
      <c r="S56" s="1">
        <f>500*Table4[[#This Row],[Total Weekday]]</f>
        <v>11000</v>
      </c>
      <c r="T56" s="1"/>
      <c r="U56" s="1"/>
      <c r="V56" s="1"/>
      <c r="W56" s="1"/>
      <c r="X56" s="1"/>
      <c r="Y56" s="1">
        <f>SUM(Table4[[#This Row],[Wkd Earning]:[Arrears]])</f>
        <v>363000</v>
      </c>
      <c r="Z56" s="1">
        <f>0.05*Table4[[#This Row],[Total Earnings]]</f>
        <v>18150</v>
      </c>
      <c r="AA56" s="1">
        <f>Table4[[#This Row],[Total Earnings]]</f>
        <v>363000</v>
      </c>
      <c r="AB56" s="1">
        <f>Table4[[#This Row],[Gross Salary]]-Table4[[#This Row],[WHT]]</f>
        <v>344850</v>
      </c>
    </row>
    <row r="57" spans="1:28" x14ac:dyDescent="0.3">
      <c r="A57" t="s">
        <v>265</v>
      </c>
      <c r="B57" t="s">
        <v>266</v>
      </c>
      <c r="C57" t="s">
        <v>805</v>
      </c>
      <c r="D57" t="s">
        <v>50</v>
      </c>
      <c r="E57" t="s">
        <v>8</v>
      </c>
      <c r="F57" s="1">
        <v>13550</v>
      </c>
      <c r="G57">
        <v>28</v>
      </c>
      <c r="H57" t="s">
        <v>7</v>
      </c>
      <c r="I57">
        <v>22</v>
      </c>
      <c r="J57">
        <v>15</v>
      </c>
      <c r="K57">
        <v>0</v>
      </c>
      <c r="L57">
        <v>0</v>
      </c>
      <c r="M57">
        <v>0</v>
      </c>
      <c r="N57" s="1">
        <f>Table4[[#This Row],[Total Weekday]]*Table4[[#This Row],[Daily Rate]]</f>
        <v>298100</v>
      </c>
      <c r="O57" s="8">
        <f>Table4[[#This Row],[Daily Rate]]/8*1.5*Table4[[#This Row],[Weekday OVT]]</f>
        <v>38109.375</v>
      </c>
      <c r="P57" s="1">
        <f>Table4[[#This Row],[Daily Rate]]/8*(1.5*Table4[[#This Row],[Total Saturday]])</f>
        <v>0</v>
      </c>
      <c r="Q57" s="1">
        <f>Table4[[#This Row],[Daily Rate]]/8*(2*Table4[[#This Row],[Total Sunday]])</f>
        <v>0</v>
      </c>
      <c r="R57" s="1">
        <f>2500*Table4[[#This Row],[Night Worked]]</f>
        <v>0</v>
      </c>
      <c r="S57" s="1">
        <f>500*Table4[[#This Row],[Total Weekday]]</f>
        <v>11000</v>
      </c>
      <c r="T57" s="1"/>
      <c r="U57" s="1"/>
      <c r="V57" s="1"/>
      <c r="W57" s="1"/>
      <c r="X57" s="1"/>
      <c r="Y57" s="1">
        <f>SUM(Table4[[#This Row],[Wkd Earning]:[Arrears]])</f>
        <v>347209.375</v>
      </c>
      <c r="Z57" s="1">
        <f>0.05*Table4[[#This Row],[Total Earnings]]</f>
        <v>17360.46875</v>
      </c>
      <c r="AA57" s="1">
        <f>Table4[[#This Row],[Total Earnings]]</f>
        <v>347209.375</v>
      </c>
      <c r="AB57" s="1">
        <f>Table4[[#This Row],[Gross Salary]]-Table4[[#This Row],[WHT]]</f>
        <v>329848.90625</v>
      </c>
    </row>
    <row r="58" spans="1:28" s="13" customFormat="1" x14ac:dyDescent="0.3">
      <c r="A58" s="13" t="s">
        <v>339</v>
      </c>
      <c r="B58" s="13" t="s">
        <v>340</v>
      </c>
      <c r="C58" s="13" t="s">
        <v>103</v>
      </c>
      <c r="D58" s="13" t="s">
        <v>50</v>
      </c>
      <c r="E58" s="13" t="s">
        <v>8</v>
      </c>
      <c r="F58" s="14">
        <v>13550</v>
      </c>
      <c r="G58" s="13">
        <v>38</v>
      </c>
      <c r="H58" s="13" t="s">
        <v>7</v>
      </c>
      <c r="I58" s="13">
        <v>25</v>
      </c>
      <c r="J58" s="13">
        <v>0</v>
      </c>
      <c r="K58" s="13">
        <v>18</v>
      </c>
      <c r="L58" s="13">
        <v>0</v>
      </c>
      <c r="M58" s="13">
        <v>0</v>
      </c>
      <c r="N58" s="14">
        <f>Table4[[#This Row],[Total Weekday]]*Table4[[#This Row],[Daily Rate]]</f>
        <v>338750</v>
      </c>
      <c r="O58" s="15">
        <f>Table4[[#This Row],[Daily Rate]]/8*1.5*Table4[[#This Row],[Weekday OVT]]</f>
        <v>0</v>
      </c>
      <c r="P58" s="14">
        <f>Table4[[#This Row],[Daily Rate]]/8*(1.5*Table4[[#This Row],[Total Saturday]])</f>
        <v>45731.25</v>
      </c>
      <c r="Q58" s="14">
        <f>Table4[[#This Row],[Daily Rate]]/8*(2*Table4[[#This Row],[Total Sunday]])</f>
        <v>0</v>
      </c>
      <c r="R58" s="14">
        <f>2500*Table4[[#This Row],[Night Worked]]</f>
        <v>0</v>
      </c>
      <c r="S58" s="14">
        <f>500*Table4[[#This Row],[Total Weekday]]</f>
        <v>12500</v>
      </c>
      <c r="T58" s="14">
        <v>32000</v>
      </c>
      <c r="U58" s="14"/>
      <c r="V58" s="14"/>
      <c r="W58" s="14"/>
      <c r="X58" s="14"/>
      <c r="Y58" s="14">
        <f>SUM(Table4[[#This Row],[Wkd Earning]:[Arrears]])</f>
        <v>428981.25</v>
      </c>
      <c r="Z58" s="14">
        <f>0.05*Table4[[#This Row],[Total Earnings]]</f>
        <v>21449.0625</v>
      </c>
      <c r="AA58" s="14">
        <f>Table4[[#This Row],[Total Earnings]]</f>
        <v>428981.25</v>
      </c>
      <c r="AB58" s="14">
        <f>Table4[[#This Row],[Gross Salary]]-Table4[[#This Row],[WHT]]</f>
        <v>407532.1875</v>
      </c>
    </row>
    <row r="59" spans="1:28" s="13" customFormat="1" x14ac:dyDescent="0.3">
      <c r="A59" s="13" t="s">
        <v>267</v>
      </c>
      <c r="B59" s="13" t="s">
        <v>268</v>
      </c>
      <c r="C59" s="13" t="s">
        <v>269</v>
      </c>
      <c r="D59" s="13" t="s">
        <v>50</v>
      </c>
      <c r="E59" s="13" t="s">
        <v>8</v>
      </c>
      <c r="F59" s="14">
        <v>13550</v>
      </c>
      <c r="G59" s="13">
        <v>31</v>
      </c>
      <c r="H59" s="13" t="s">
        <v>7</v>
      </c>
      <c r="I59" s="13">
        <v>28</v>
      </c>
      <c r="J59" s="13">
        <v>10</v>
      </c>
      <c r="K59" s="13">
        <v>18</v>
      </c>
      <c r="L59" s="13">
        <v>0</v>
      </c>
      <c r="M59" s="13">
        <v>16</v>
      </c>
      <c r="N59" s="14">
        <f>Table4[[#This Row],[Total Weekday]]*Table4[[#This Row],[Daily Rate]]</f>
        <v>379400</v>
      </c>
      <c r="O59" s="15">
        <f>Table4[[#This Row],[Daily Rate]]/8*1.5*Table4[[#This Row],[Weekday OVT]]</f>
        <v>25406.25</v>
      </c>
      <c r="P59" s="14">
        <f>Table4[[#This Row],[Daily Rate]]/8*(1.5*Table4[[#This Row],[Total Saturday]])</f>
        <v>45731.25</v>
      </c>
      <c r="Q59" s="14">
        <f>Table4[[#This Row],[Daily Rate]]/8*(2*Table4[[#This Row],[Total Sunday]])</f>
        <v>0</v>
      </c>
      <c r="R59" s="14">
        <f>2500*Table4[[#This Row],[Night Worked]]</f>
        <v>40000</v>
      </c>
      <c r="S59" s="14">
        <f>500*Table4[[#This Row],[Total Weekday]]</f>
        <v>14000</v>
      </c>
      <c r="T59" s="14">
        <v>32000</v>
      </c>
      <c r="U59" s="14"/>
      <c r="V59" s="14"/>
      <c r="W59" s="14"/>
      <c r="X59" s="14"/>
      <c r="Y59" s="14">
        <f>SUM(Table4[[#This Row],[Wkd Earning]:[Arrears]])</f>
        <v>536537.5</v>
      </c>
      <c r="Z59" s="14">
        <f>0.05*Table4[[#This Row],[Total Earnings]]</f>
        <v>26826.875</v>
      </c>
      <c r="AA59" s="14">
        <f>Table4[[#This Row],[Total Earnings]]</f>
        <v>536537.5</v>
      </c>
      <c r="AB59" s="14">
        <f>Table4[[#This Row],[Gross Salary]]-Table4[[#This Row],[WHT]]</f>
        <v>509710.625</v>
      </c>
    </row>
    <row r="60" spans="1:28" x14ac:dyDescent="0.3">
      <c r="A60" t="s">
        <v>405</v>
      </c>
      <c r="B60" t="s">
        <v>291</v>
      </c>
      <c r="C60" t="s">
        <v>806</v>
      </c>
      <c r="D60" t="s">
        <v>50</v>
      </c>
      <c r="E60" t="s">
        <v>8</v>
      </c>
      <c r="F60" s="1">
        <v>13550</v>
      </c>
      <c r="G60">
        <v>27</v>
      </c>
      <c r="H60" t="s">
        <v>7</v>
      </c>
      <c r="I60">
        <v>22</v>
      </c>
      <c r="J60">
        <v>11</v>
      </c>
      <c r="K60">
        <v>0</v>
      </c>
      <c r="L60">
        <v>0</v>
      </c>
      <c r="M60">
        <v>0</v>
      </c>
      <c r="N60" s="1">
        <f>Table4[[#This Row],[Total Weekday]]*Table4[[#This Row],[Daily Rate]]</f>
        <v>298100</v>
      </c>
      <c r="O60" s="8">
        <f>Table4[[#This Row],[Daily Rate]]/8*1.5*Table4[[#This Row],[Weekday OVT]]</f>
        <v>27946.875</v>
      </c>
      <c r="P60" s="1">
        <f>Table4[[#This Row],[Daily Rate]]/8*(1.5*Table4[[#This Row],[Total Saturday]])</f>
        <v>0</v>
      </c>
      <c r="Q60" s="1">
        <f>Table4[[#This Row],[Daily Rate]]/8*(2*Table4[[#This Row],[Total Sunday]])</f>
        <v>0</v>
      </c>
      <c r="R60" s="1">
        <f>2500*Table4[[#This Row],[Night Worked]]</f>
        <v>0</v>
      </c>
      <c r="S60" s="1">
        <f>500*Table4[[#This Row],[Total Weekday]]</f>
        <v>11000</v>
      </c>
      <c r="T60" s="1"/>
      <c r="U60" s="1"/>
      <c r="V60" s="1"/>
      <c r="W60" s="1"/>
      <c r="X60" s="1"/>
      <c r="Y60" s="1">
        <f>SUM(Table4[[#This Row],[Wkd Earning]:[Arrears]])</f>
        <v>337046.875</v>
      </c>
      <c r="Z60" s="1">
        <f>0.05*Table4[[#This Row],[Total Earnings]]</f>
        <v>16852.34375</v>
      </c>
      <c r="AA60" s="1">
        <f>Table4[[#This Row],[Total Earnings]]</f>
        <v>337046.875</v>
      </c>
      <c r="AB60" s="1">
        <f>Table4[[#This Row],[Gross Salary]]-Table4[[#This Row],[WHT]]</f>
        <v>320194.53125</v>
      </c>
    </row>
    <row r="61" spans="1:28" x14ac:dyDescent="0.3">
      <c r="A61" t="s">
        <v>41</v>
      </c>
      <c r="B61" t="s">
        <v>392</v>
      </c>
      <c r="C61" t="s">
        <v>807</v>
      </c>
      <c r="D61" t="s">
        <v>808</v>
      </c>
      <c r="E61" t="s">
        <v>8</v>
      </c>
      <c r="F61" s="1">
        <v>13550</v>
      </c>
      <c r="G61">
        <v>45</v>
      </c>
      <c r="H61" t="s">
        <v>7</v>
      </c>
      <c r="I61">
        <v>22</v>
      </c>
      <c r="J61">
        <v>2</v>
      </c>
      <c r="K61">
        <v>0</v>
      </c>
      <c r="L61">
        <v>0</v>
      </c>
      <c r="M61">
        <v>0</v>
      </c>
      <c r="N61" s="1">
        <f>Table4[[#This Row],[Total Weekday]]*Table4[[#This Row],[Daily Rate]]</f>
        <v>298100</v>
      </c>
      <c r="O61" s="8">
        <f>Table4[[#This Row],[Daily Rate]]/8*1.5*Table4[[#This Row],[Weekday OVT]]</f>
        <v>5081.25</v>
      </c>
      <c r="P61" s="1">
        <f>Table4[[#This Row],[Daily Rate]]/8*(1.5*Table4[[#This Row],[Total Saturday]])</f>
        <v>0</v>
      </c>
      <c r="Q61" s="1">
        <f>Table4[[#This Row],[Daily Rate]]/8*(2*Table4[[#This Row],[Total Sunday]])</f>
        <v>0</v>
      </c>
      <c r="R61" s="1">
        <f>2500*Table4[[#This Row],[Night Worked]]</f>
        <v>0</v>
      </c>
      <c r="S61" s="1">
        <f>500*Table4[[#This Row],[Total Weekday]]</f>
        <v>11000</v>
      </c>
      <c r="T61" s="1"/>
      <c r="U61" s="1"/>
      <c r="V61" s="1"/>
      <c r="W61" s="1"/>
      <c r="X61" s="1"/>
      <c r="Y61" s="1">
        <f>SUM(Table4[[#This Row],[Wkd Earning]:[Arrears]])</f>
        <v>314181.25</v>
      </c>
      <c r="Z61" s="1">
        <f>0.05*Table4[[#This Row],[Total Earnings]]</f>
        <v>15709.0625</v>
      </c>
      <c r="AA61" s="1">
        <f>Table4[[#This Row],[Total Earnings]]</f>
        <v>314181.25</v>
      </c>
      <c r="AB61" s="1">
        <f>Table4[[#This Row],[Gross Salary]]-Table4[[#This Row],[WHT]]</f>
        <v>298472.1875</v>
      </c>
    </row>
    <row r="62" spans="1:28" x14ac:dyDescent="0.3">
      <c r="A62" t="s">
        <v>449</v>
      </c>
      <c r="B62" t="s">
        <v>94</v>
      </c>
      <c r="C62" t="s">
        <v>809</v>
      </c>
      <c r="D62" t="s">
        <v>437</v>
      </c>
      <c r="E62" t="s">
        <v>8</v>
      </c>
      <c r="F62" s="1">
        <v>11575</v>
      </c>
      <c r="G62">
        <v>29</v>
      </c>
      <c r="H62" t="s">
        <v>7</v>
      </c>
      <c r="I62">
        <v>20</v>
      </c>
      <c r="J62">
        <v>0</v>
      </c>
      <c r="K62">
        <v>0</v>
      </c>
      <c r="L62">
        <v>0</v>
      </c>
      <c r="M62">
        <v>0</v>
      </c>
      <c r="N62" s="1">
        <f>Table4[[#This Row],[Total Weekday]]*Table4[[#This Row],[Daily Rate]]</f>
        <v>231500</v>
      </c>
      <c r="O62" s="8">
        <f>Table4[[#This Row],[Daily Rate]]/8*1.5*Table4[[#This Row],[Weekday OVT]]</f>
        <v>0</v>
      </c>
      <c r="P62" s="1">
        <f>Table4[[#This Row],[Daily Rate]]/8*(1.5*Table4[[#This Row],[Total Saturday]])</f>
        <v>0</v>
      </c>
      <c r="Q62" s="1">
        <f>Table4[[#This Row],[Daily Rate]]/8*(2*Table4[[#This Row],[Total Sunday]])</f>
        <v>0</v>
      </c>
      <c r="R62" s="1">
        <f>2500*Table4[[#This Row],[Night Worked]]</f>
        <v>0</v>
      </c>
      <c r="S62" s="1">
        <f>500*Table4[[#This Row],[Total Weekday]]</f>
        <v>10000</v>
      </c>
      <c r="T62" s="1"/>
      <c r="U62" s="1"/>
      <c r="V62" s="1"/>
      <c r="W62" s="1"/>
      <c r="X62" s="1"/>
      <c r="Y62" s="1">
        <f>SUM(Table4[[#This Row],[Wkd Earning]:[Arrears]])</f>
        <v>241500</v>
      </c>
      <c r="Z62" s="1">
        <f>0.05*Table4[[#This Row],[Total Earnings]]</f>
        <v>12075</v>
      </c>
      <c r="AA62" s="1">
        <f>Table4[[#This Row],[Total Earnings]]</f>
        <v>241500</v>
      </c>
      <c r="AB62" s="1">
        <f>Table4[[#This Row],[Gross Salary]]-Table4[[#This Row],[WHT]]</f>
        <v>229425</v>
      </c>
    </row>
    <row r="63" spans="1:28" x14ac:dyDescent="0.3">
      <c r="A63" t="s">
        <v>255</v>
      </c>
      <c r="B63" t="s">
        <v>256</v>
      </c>
      <c r="C63" t="s">
        <v>257</v>
      </c>
      <c r="D63" t="s">
        <v>199</v>
      </c>
      <c r="E63" t="s">
        <v>8</v>
      </c>
      <c r="F63" s="1">
        <v>8100</v>
      </c>
      <c r="G63">
        <v>38</v>
      </c>
      <c r="H63" t="s">
        <v>7</v>
      </c>
      <c r="I63">
        <v>25</v>
      </c>
      <c r="J63">
        <v>22</v>
      </c>
      <c r="K63">
        <v>0</v>
      </c>
      <c r="L63">
        <v>0</v>
      </c>
      <c r="M63">
        <v>0</v>
      </c>
      <c r="N63" s="1">
        <f>Table4[[#This Row],[Total Weekday]]*Table4[[#This Row],[Daily Rate]]</f>
        <v>202500</v>
      </c>
      <c r="O63" s="8">
        <f>Table4[[#This Row],[Daily Rate]]/8*1.5*Table4[[#This Row],[Weekday OVT]]</f>
        <v>33412.5</v>
      </c>
      <c r="P63" s="1">
        <f>Table4[[#This Row],[Daily Rate]]/8*(1.5*Table4[[#This Row],[Total Saturday]])</f>
        <v>0</v>
      </c>
      <c r="Q63" s="1">
        <f>Table4[[#This Row],[Daily Rate]]/8*(2*Table4[[#This Row],[Total Sunday]])</f>
        <v>0</v>
      </c>
      <c r="R63" s="1">
        <f>2500*Table4[[#This Row],[Night Worked]]</f>
        <v>0</v>
      </c>
      <c r="S63" s="1">
        <f>500*Table4[[#This Row],[Total Weekday]]</f>
        <v>12500</v>
      </c>
      <c r="T63" s="1"/>
      <c r="U63" s="1"/>
      <c r="V63" s="1"/>
      <c r="W63" s="1"/>
      <c r="X63" s="1"/>
      <c r="Y63" s="1">
        <f>SUM(Table4[[#This Row],[Wkd Earning]:[Arrears]])</f>
        <v>248412.5</v>
      </c>
      <c r="Z63" s="1">
        <f>0.05*Table4[[#This Row],[Total Earnings]]</f>
        <v>12420.625</v>
      </c>
      <c r="AA63" s="1">
        <f>Table4[[#This Row],[Total Earnings]]</f>
        <v>248412.5</v>
      </c>
      <c r="AB63" s="1">
        <f>Table4[[#This Row],[Gross Salary]]-Table4[[#This Row],[WHT]]</f>
        <v>235991.875</v>
      </c>
    </row>
    <row r="64" spans="1:28" x14ac:dyDescent="0.3">
      <c r="A64" t="s">
        <v>260</v>
      </c>
      <c r="B64" t="s">
        <v>261</v>
      </c>
      <c r="C64" t="s">
        <v>810</v>
      </c>
      <c r="D64" t="s">
        <v>199</v>
      </c>
      <c r="E64" t="s">
        <v>8</v>
      </c>
      <c r="F64" s="1">
        <v>8100</v>
      </c>
      <c r="G64">
        <v>36</v>
      </c>
      <c r="H64" t="s">
        <v>7</v>
      </c>
      <c r="I64">
        <v>22</v>
      </c>
      <c r="J64">
        <v>7</v>
      </c>
      <c r="K64">
        <v>0</v>
      </c>
      <c r="L64">
        <v>0</v>
      </c>
      <c r="M64">
        <v>0</v>
      </c>
      <c r="N64" s="1">
        <f>Table4[[#This Row],[Total Weekday]]*Table4[[#This Row],[Daily Rate]]</f>
        <v>178200</v>
      </c>
      <c r="O64" s="8">
        <f>Table4[[#This Row],[Daily Rate]]/8*1.5*Table4[[#This Row],[Weekday OVT]]</f>
        <v>10631.25</v>
      </c>
      <c r="P64" s="1">
        <f>Table4[[#This Row],[Daily Rate]]/8*(1.5*Table4[[#This Row],[Total Saturday]])</f>
        <v>0</v>
      </c>
      <c r="Q64" s="1">
        <f>Table4[[#This Row],[Daily Rate]]/8*(2*Table4[[#This Row],[Total Sunday]])</f>
        <v>0</v>
      </c>
      <c r="R64" s="1">
        <f>2500*Table4[[#This Row],[Night Worked]]</f>
        <v>0</v>
      </c>
      <c r="S64" s="1">
        <f>500*Table4[[#This Row],[Total Weekday]]</f>
        <v>11000</v>
      </c>
      <c r="T64" s="1"/>
      <c r="U64" s="1"/>
      <c r="V64" s="1"/>
      <c r="W64" s="1"/>
      <c r="X64" s="1"/>
      <c r="Y64" s="1">
        <f>SUM(Table4[[#This Row],[Wkd Earning]:[Arrears]])</f>
        <v>199831.25</v>
      </c>
      <c r="Z64" s="1">
        <f>0.05*Table4[[#This Row],[Total Earnings]]</f>
        <v>9991.5625</v>
      </c>
      <c r="AA64" s="1">
        <f>Table4[[#This Row],[Total Earnings]]</f>
        <v>199831.25</v>
      </c>
      <c r="AB64" s="1">
        <f>Table4[[#This Row],[Gross Salary]]-Table4[[#This Row],[WHT]]</f>
        <v>189839.6875</v>
      </c>
    </row>
    <row r="65" spans="1:28" x14ac:dyDescent="0.3">
      <c r="A65" t="s">
        <v>440</v>
      </c>
      <c r="B65" t="s">
        <v>441</v>
      </c>
      <c r="C65" t="s">
        <v>392</v>
      </c>
      <c r="D65" t="s">
        <v>199</v>
      </c>
      <c r="E65" t="s">
        <v>8</v>
      </c>
      <c r="F65" s="1">
        <v>8100</v>
      </c>
      <c r="G65">
        <v>37</v>
      </c>
      <c r="H65" t="s">
        <v>7</v>
      </c>
      <c r="I65">
        <v>23</v>
      </c>
      <c r="J65">
        <v>4</v>
      </c>
      <c r="K65">
        <v>7</v>
      </c>
      <c r="L65">
        <v>0</v>
      </c>
      <c r="M65">
        <v>0</v>
      </c>
      <c r="N65" s="1">
        <f>Table4[[#This Row],[Total Weekday]]*Table4[[#This Row],[Daily Rate]]</f>
        <v>186300</v>
      </c>
      <c r="O65" s="8">
        <f>Table4[[#This Row],[Daily Rate]]/8*1.5*Table4[[#This Row],[Weekday OVT]]</f>
        <v>6075</v>
      </c>
      <c r="P65" s="1">
        <f>Table4[[#This Row],[Daily Rate]]/8*(1.5*Table4[[#This Row],[Total Saturday]])</f>
        <v>10631.25</v>
      </c>
      <c r="Q65" s="1">
        <f>Table4[[#This Row],[Daily Rate]]/8*(2*Table4[[#This Row],[Total Sunday]])</f>
        <v>0</v>
      </c>
      <c r="R65" s="1">
        <f>2500*Table4[[#This Row],[Night Worked]]</f>
        <v>0</v>
      </c>
      <c r="S65" s="1">
        <f>500*Table4[[#This Row],[Total Weekday]]</f>
        <v>11500</v>
      </c>
      <c r="T65" s="1"/>
      <c r="U65" s="1"/>
      <c r="V65" s="1"/>
      <c r="W65" s="1"/>
      <c r="X65" s="1"/>
      <c r="Y65" s="1">
        <f>SUM(Table4[[#This Row],[Wkd Earning]:[Arrears]])</f>
        <v>214506.25</v>
      </c>
      <c r="Z65" s="1">
        <f>0.05*Table4[[#This Row],[Total Earnings]]</f>
        <v>10725.3125</v>
      </c>
      <c r="AA65" s="1">
        <f>Table4[[#This Row],[Total Earnings]]</f>
        <v>214506.25</v>
      </c>
      <c r="AB65" s="1">
        <f>Table4[[#This Row],[Gross Salary]]-Table4[[#This Row],[WHT]]</f>
        <v>203780.9375</v>
      </c>
    </row>
    <row r="66" spans="1:28" s="13" customFormat="1" x14ac:dyDescent="0.3">
      <c r="A66" s="13" t="s">
        <v>280</v>
      </c>
      <c r="B66" s="13" t="s">
        <v>281</v>
      </c>
      <c r="C66" s="13" t="s">
        <v>811</v>
      </c>
      <c r="D66" s="13" t="s">
        <v>50</v>
      </c>
      <c r="E66" s="13" t="s">
        <v>8</v>
      </c>
      <c r="F66" s="14">
        <v>13550</v>
      </c>
      <c r="G66" s="13">
        <v>38</v>
      </c>
      <c r="H66" s="13" t="s">
        <v>282</v>
      </c>
      <c r="I66" s="13">
        <v>25</v>
      </c>
      <c r="J66" s="13">
        <v>7</v>
      </c>
      <c r="K66" s="13">
        <v>18</v>
      </c>
      <c r="L66" s="13">
        <v>0</v>
      </c>
      <c r="M66" s="13">
        <v>0</v>
      </c>
      <c r="N66" s="14">
        <f>Table4[[#This Row],[Total Weekday]]*Table4[[#This Row],[Daily Rate]]</f>
        <v>338750</v>
      </c>
      <c r="O66" s="15">
        <f>Table4[[#This Row],[Daily Rate]]/8*1.5*Table4[[#This Row],[Weekday OVT]]</f>
        <v>17784.375</v>
      </c>
      <c r="P66" s="14">
        <f>Table4[[#This Row],[Daily Rate]]/8*(1.5*Table4[[#This Row],[Total Saturday]])</f>
        <v>45731.25</v>
      </c>
      <c r="Q66" s="14">
        <f>Table4[[#This Row],[Daily Rate]]/8*(2*Table4[[#This Row],[Total Sunday]])</f>
        <v>0</v>
      </c>
      <c r="R66" s="14">
        <f>2500*Table4[[#This Row],[Night Worked]]</f>
        <v>0</v>
      </c>
      <c r="S66" s="14">
        <f>500*Table4[[#This Row],[Total Weekday]]</f>
        <v>12500</v>
      </c>
      <c r="T66" s="14">
        <v>32000</v>
      </c>
      <c r="U66" s="14"/>
      <c r="V66" s="14"/>
      <c r="W66" s="14"/>
      <c r="X66" s="14"/>
      <c r="Y66" s="14">
        <f>SUM(Table4[[#This Row],[Wkd Earning]:[Arrears]])</f>
        <v>446765.625</v>
      </c>
      <c r="Z66" s="14">
        <f>0.05*Table4[[#This Row],[Total Earnings]]</f>
        <v>22338.28125</v>
      </c>
      <c r="AA66" s="14">
        <f>Table4[[#This Row],[Total Earnings]]</f>
        <v>446765.625</v>
      </c>
      <c r="AB66" s="14">
        <f>Table4[[#This Row],[Gross Salary]]-Table4[[#This Row],[WHT]]</f>
        <v>424427.34375</v>
      </c>
    </row>
    <row r="67" spans="1:28" x14ac:dyDescent="0.3">
      <c r="A67" t="s">
        <v>194</v>
      </c>
      <c r="B67" t="s">
        <v>812</v>
      </c>
      <c r="C67" t="s">
        <v>195</v>
      </c>
      <c r="D67" t="s">
        <v>33</v>
      </c>
      <c r="E67" t="s">
        <v>8</v>
      </c>
      <c r="F67" s="1">
        <v>14050</v>
      </c>
      <c r="G67">
        <v>67</v>
      </c>
      <c r="H67" t="s">
        <v>7</v>
      </c>
      <c r="I67">
        <v>22</v>
      </c>
      <c r="J67">
        <v>0</v>
      </c>
      <c r="K67">
        <v>0</v>
      </c>
      <c r="L67">
        <v>0</v>
      </c>
      <c r="M67">
        <v>0</v>
      </c>
      <c r="N67" s="1">
        <f>Table4[[#This Row],[Total Weekday]]*Table4[[#This Row],[Daily Rate]]</f>
        <v>309100</v>
      </c>
      <c r="O67" s="8">
        <f>Table4[[#This Row],[Daily Rate]]/8*1.5*Table4[[#This Row],[Weekday OVT]]</f>
        <v>0</v>
      </c>
      <c r="P67" s="1">
        <f>Table4[[#This Row],[Daily Rate]]/8*(1.5*Table4[[#This Row],[Total Saturday]])</f>
        <v>0</v>
      </c>
      <c r="Q67" s="1">
        <f>Table4[[#This Row],[Daily Rate]]/8*(2*Table4[[#This Row],[Total Sunday]])</f>
        <v>0</v>
      </c>
      <c r="R67" s="1">
        <f>2500*Table4[[#This Row],[Night Worked]]</f>
        <v>0</v>
      </c>
      <c r="S67" s="1">
        <f>500*Table4[[#This Row],[Total Weekday]]</f>
        <v>11000</v>
      </c>
      <c r="T67" s="1"/>
      <c r="U67" s="1"/>
      <c r="V67" s="1"/>
      <c r="W67" s="1"/>
      <c r="X67" s="1"/>
      <c r="Y67" s="1">
        <f>SUM(Table4[[#This Row],[Wkd Earning]:[Arrears]])</f>
        <v>320100</v>
      </c>
      <c r="Z67" s="1">
        <f>0.05*Table4[[#This Row],[Total Earnings]]</f>
        <v>16005</v>
      </c>
      <c r="AA67" s="1">
        <f>Table4[[#This Row],[Total Earnings]]</f>
        <v>320100</v>
      </c>
      <c r="AB67" s="1">
        <f>Table4[[#This Row],[Gross Salary]]-Table4[[#This Row],[WHT]]</f>
        <v>304095</v>
      </c>
    </row>
    <row r="68" spans="1:28" x14ac:dyDescent="0.3">
      <c r="A68" t="s">
        <v>135</v>
      </c>
      <c r="B68" t="s">
        <v>813</v>
      </c>
      <c r="C68" t="s">
        <v>136</v>
      </c>
      <c r="D68" t="s">
        <v>40</v>
      </c>
      <c r="E68" t="s">
        <v>8</v>
      </c>
      <c r="F68" s="1">
        <v>10250</v>
      </c>
      <c r="G68">
        <v>47</v>
      </c>
      <c r="H68" t="s">
        <v>7</v>
      </c>
      <c r="I68">
        <v>30</v>
      </c>
      <c r="J68">
        <v>47</v>
      </c>
      <c r="K68">
        <v>46</v>
      </c>
      <c r="L68">
        <v>18</v>
      </c>
      <c r="M68">
        <v>0</v>
      </c>
      <c r="N68" s="1">
        <f>Table4[[#This Row],[Total Weekday]]*Table4[[#This Row],[Daily Rate]]</f>
        <v>307500</v>
      </c>
      <c r="O68" s="8">
        <f>Table4[[#This Row],[Daily Rate]]/8*1.5*Table4[[#This Row],[Weekday OVT]]</f>
        <v>90328.125</v>
      </c>
      <c r="P68" s="1">
        <f>Table4[[#This Row],[Daily Rate]]/8*(1.5*Table4[[#This Row],[Total Saturday]])</f>
        <v>88406.25</v>
      </c>
      <c r="Q68" s="1">
        <f>Table4[[#This Row],[Daily Rate]]/8*(2*Table4[[#This Row],[Total Sunday]])</f>
        <v>46125</v>
      </c>
      <c r="R68" s="1">
        <f>2500*Table4[[#This Row],[Night Worked]]</f>
        <v>0</v>
      </c>
      <c r="S68" s="1">
        <f>500*Table4[[#This Row],[Total Weekday]]</f>
        <v>15000</v>
      </c>
      <c r="T68" s="1"/>
      <c r="U68" s="1"/>
      <c r="V68" s="1"/>
      <c r="W68" s="1"/>
      <c r="X68" s="1"/>
      <c r="Y68" s="1">
        <f>SUM(Table4[[#This Row],[Wkd Earning]:[Arrears]])</f>
        <v>547359.375</v>
      </c>
      <c r="Z68" s="1">
        <f>0.05*Table4[[#This Row],[Total Earnings]]</f>
        <v>27367.96875</v>
      </c>
      <c r="AA68" s="1">
        <f>Table4[[#This Row],[Total Earnings]]</f>
        <v>547359.375</v>
      </c>
      <c r="AB68" s="1">
        <f>Table4[[#This Row],[Gross Salary]]-Table4[[#This Row],[WHT]]</f>
        <v>519991.40625</v>
      </c>
    </row>
    <row r="69" spans="1:28" x14ac:dyDescent="0.3">
      <c r="A69" t="s">
        <v>401</v>
      </c>
      <c r="B69" t="s">
        <v>86</v>
      </c>
      <c r="C69" t="s">
        <v>402</v>
      </c>
      <c r="D69" t="s">
        <v>150</v>
      </c>
      <c r="E69" t="s">
        <v>8</v>
      </c>
      <c r="F69" s="1">
        <v>16700</v>
      </c>
      <c r="G69">
        <v>54</v>
      </c>
      <c r="H69" t="s">
        <v>7</v>
      </c>
      <c r="I69">
        <v>22</v>
      </c>
      <c r="J69">
        <v>7</v>
      </c>
      <c r="K69">
        <v>0</v>
      </c>
      <c r="L69">
        <v>0</v>
      </c>
      <c r="M69">
        <v>0</v>
      </c>
      <c r="N69" s="1">
        <f>Table4[[#This Row],[Total Weekday]]*Table4[[#This Row],[Daily Rate]]</f>
        <v>367400</v>
      </c>
      <c r="O69" s="8">
        <f>Table4[[#This Row],[Daily Rate]]/8*1.5*Table4[[#This Row],[Weekday OVT]]</f>
        <v>21918.75</v>
      </c>
      <c r="P69" s="1">
        <f>Table4[[#This Row],[Daily Rate]]/8*(1.5*Table4[[#This Row],[Total Saturday]])</f>
        <v>0</v>
      </c>
      <c r="Q69" s="1">
        <f>Table4[[#This Row],[Daily Rate]]/8*(2*Table4[[#This Row],[Total Sunday]])</f>
        <v>0</v>
      </c>
      <c r="R69" s="1">
        <f>2500*Table4[[#This Row],[Night Worked]]</f>
        <v>0</v>
      </c>
      <c r="S69" s="1">
        <f>500*Table4[[#This Row],[Total Weekday]]</f>
        <v>11000</v>
      </c>
      <c r="T69" s="1"/>
      <c r="U69" s="1"/>
      <c r="V69" s="1"/>
      <c r="W69" s="1"/>
      <c r="X69" s="1"/>
      <c r="Y69" s="1">
        <f>SUM(Table4[[#This Row],[Wkd Earning]:[Arrears]])</f>
        <v>400318.75</v>
      </c>
      <c r="Z69" s="1">
        <f>0.05*Table4[[#This Row],[Total Earnings]]</f>
        <v>20015.9375</v>
      </c>
      <c r="AA69" s="1">
        <f>Table4[[#This Row],[Total Earnings]]</f>
        <v>400318.75</v>
      </c>
      <c r="AB69" s="1">
        <f>Table4[[#This Row],[Gross Salary]]-Table4[[#This Row],[WHT]]</f>
        <v>380302.8125</v>
      </c>
    </row>
    <row r="70" spans="1:28" x14ac:dyDescent="0.3">
      <c r="A70" t="s">
        <v>396</v>
      </c>
      <c r="B70" t="s">
        <v>398</v>
      </c>
      <c r="C70" t="s">
        <v>397</v>
      </c>
      <c r="D70" t="s">
        <v>154</v>
      </c>
      <c r="E70" t="s">
        <v>8</v>
      </c>
      <c r="F70" s="1">
        <v>14050</v>
      </c>
      <c r="G70">
        <v>54</v>
      </c>
      <c r="H70" t="s">
        <v>282</v>
      </c>
      <c r="I70">
        <v>22</v>
      </c>
      <c r="J70">
        <v>7</v>
      </c>
      <c r="K70">
        <v>0</v>
      </c>
      <c r="L70">
        <v>0</v>
      </c>
      <c r="M70">
        <v>0</v>
      </c>
      <c r="N70" s="1">
        <f>Table4[[#This Row],[Total Weekday]]*Table4[[#This Row],[Daily Rate]]</f>
        <v>309100</v>
      </c>
      <c r="O70" s="8">
        <f>Table4[[#This Row],[Daily Rate]]/8*1.5*Table4[[#This Row],[Weekday OVT]]</f>
        <v>18440.625</v>
      </c>
      <c r="P70" s="1">
        <f>Table4[[#This Row],[Daily Rate]]/8*(1.5*Table4[[#This Row],[Total Saturday]])</f>
        <v>0</v>
      </c>
      <c r="Q70" s="1">
        <f>Table4[[#This Row],[Daily Rate]]/8*(2*Table4[[#This Row],[Total Sunday]])</f>
        <v>0</v>
      </c>
      <c r="R70" s="1">
        <f>2500*Table4[[#This Row],[Night Worked]]</f>
        <v>0</v>
      </c>
      <c r="S70" s="1">
        <f>500*Table4[[#This Row],[Total Weekday]]</f>
        <v>11000</v>
      </c>
      <c r="T70" s="1"/>
      <c r="U70" s="1"/>
      <c r="V70" s="1"/>
      <c r="W70" s="1"/>
      <c r="X70" s="1"/>
      <c r="Y70" s="1">
        <f>SUM(Table4[[#This Row],[Wkd Earning]:[Arrears]])</f>
        <v>338540.625</v>
      </c>
      <c r="Z70" s="1">
        <f>0.05*Table4[[#This Row],[Total Earnings]]</f>
        <v>16927.03125</v>
      </c>
      <c r="AA70" s="1">
        <f>Table4[[#This Row],[Total Earnings]]</f>
        <v>338540.625</v>
      </c>
      <c r="AB70" s="1">
        <f>Table4[[#This Row],[Gross Salary]]-Table4[[#This Row],[WHT]]</f>
        <v>321613.59375</v>
      </c>
    </row>
    <row r="71" spans="1:28" x14ac:dyDescent="0.3">
      <c r="A71" t="s">
        <v>243</v>
      </c>
      <c r="B71" t="s">
        <v>244</v>
      </c>
      <c r="C71" t="s">
        <v>245</v>
      </c>
      <c r="D71" t="s">
        <v>814</v>
      </c>
      <c r="E71" t="s">
        <v>8</v>
      </c>
      <c r="F71" s="1">
        <v>13550</v>
      </c>
      <c r="G71">
        <v>55</v>
      </c>
      <c r="H71" t="s">
        <v>7</v>
      </c>
      <c r="I71">
        <v>22</v>
      </c>
      <c r="J71">
        <v>0</v>
      </c>
      <c r="K71">
        <v>0</v>
      </c>
      <c r="L71">
        <v>0</v>
      </c>
      <c r="M71">
        <v>0</v>
      </c>
      <c r="N71" s="1">
        <f>Table4[[#This Row],[Total Weekday]]*Table4[[#This Row],[Daily Rate]]</f>
        <v>298100</v>
      </c>
      <c r="O71" s="8">
        <f>Table4[[#This Row],[Daily Rate]]/8*1.5*Table4[[#This Row],[Weekday OVT]]</f>
        <v>0</v>
      </c>
      <c r="P71" s="1">
        <f>Table4[[#This Row],[Daily Rate]]/8*(1.5*Table4[[#This Row],[Total Saturday]])</f>
        <v>0</v>
      </c>
      <c r="Q71" s="1">
        <f>Table4[[#This Row],[Daily Rate]]/8*(2*Table4[[#This Row],[Total Sunday]])</f>
        <v>0</v>
      </c>
      <c r="R71" s="1">
        <f>2500*Table4[[#This Row],[Night Worked]]</f>
        <v>0</v>
      </c>
      <c r="S71" s="1">
        <f>500*Table4[[#This Row],[Total Weekday]]</f>
        <v>11000</v>
      </c>
      <c r="T71" s="1"/>
      <c r="U71" s="1"/>
      <c r="V71" s="1"/>
      <c r="W71" s="1"/>
      <c r="X71" s="1"/>
      <c r="Y71" s="1">
        <f>SUM(Table4[[#This Row],[Wkd Earning]:[Arrears]])</f>
        <v>309100</v>
      </c>
      <c r="Z71" s="1">
        <f>0.05*Table4[[#This Row],[Total Earnings]]</f>
        <v>15455</v>
      </c>
      <c r="AA71" s="1">
        <f>Table4[[#This Row],[Total Earnings]]</f>
        <v>309100</v>
      </c>
      <c r="AB71" s="1">
        <f>Table4[[#This Row],[Gross Salary]]-Table4[[#This Row],[WHT]]</f>
        <v>293645</v>
      </c>
    </row>
    <row r="72" spans="1:28" x14ac:dyDescent="0.3">
      <c r="A72" t="s">
        <v>180</v>
      </c>
      <c r="B72" t="s">
        <v>181</v>
      </c>
      <c r="C72" t="s">
        <v>182</v>
      </c>
      <c r="D72" t="s">
        <v>815</v>
      </c>
      <c r="E72" t="s">
        <v>8</v>
      </c>
      <c r="F72" s="1">
        <v>10250</v>
      </c>
      <c r="G72">
        <v>55</v>
      </c>
      <c r="H72" t="s">
        <v>7</v>
      </c>
      <c r="I72">
        <v>24</v>
      </c>
      <c r="J72">
        <v>30</v>
      </c>
      <c r="K72">
        <v>15</v>
      </c>
      <c r="L72">
        <v>0</v>
      </c>
      <c r="M72">
        <v>0</v>
      </c>
      <c r="N72" s="1">
        <f>Table4[[#This Row],[Total Weekday]]*Table4[[#This Row],[Daily Rate]]</f>
        <v>246000</v>
      </c>
      <c r="O72" s="8">
        <f>Table4[[#This Row],[Daily Rate]]/8*1.5*Table4[[#This Row],[Weekday OVT]]</f>
        <v>57656.25</v>
      </c>
      <c r="P72" s="1">
        <f>Table4[[#This Row],[Daily Rate]]/8*(1.5*Table4[[#This Row],[Total Saturday]])</f>
        <v>28828.125</v>
      </c>
      <c r="Q72" s="1">
        <f>Table4[[#This Row],[Daily Rate]]/8*(2*Table4[[#This Row],[Total Sunday]])</f>
        <v>0</v>
      </c>
      <c r="R72" s="1">
        <f>2500*Table4[[#This Row],[Night Worked]]</f>
        <v>0</v>
      </c>
      <c r="S72" s="1">
        <f>500*Table4[[#This Row],[Total Weekday]]</f>
        <v>12000</v>
      </c>
      <c r="T72" s="1"/>
      <c r="U72" s="1"/>
      <c r="V72" s="1"/>
      <c r="W72" s="1"/>
      <c r="X72" s="1"/>
      <c r="Y72" s="1">
        <f>SUM(Table4[[#This Row],[Wkd Earning]:[Arrears]])</f>
        <v>344484.375</v>
      </c>
      <c r="Z72" s="1">
        <f>0.05*Table4[[#This Row],[Total Earnings]]</f>
        <v>17224.21875</v>
      </c>
      <c r="AA72" s="1">
        <f>Table4[[#This Row],[Total Earnings]]</f>
        <v>344484.375</v>
      </c>
      <c r="AB72" s="1">
        <f>Table4[[#This Row],[Gross Salary]]-Table4[[#This Row],[WHT]]</f>
        <v>327260.15625</v>
      </c>
    </row>
    <row r="73" spans="1:28" x14ac:dyDescent="0.3">
      <c r="A73" t="s">
        <v>202</v>
      </c>
      <c r="B73" t="s">
        <v>203</v>
      </c>
      <c r="C73" t="s">
        <v>94</v>
      </c>
      <c r="D73" t="s">
        <v>154</v>
      </c>
      <c r="E73" t="s">
        <v>8</v>
      </c>
      <c r="F73" s="1">
        <v>14050</v>
      </c>
      <c r="G73">
        <v>55</v>
      </c>
      <c r="H73" t="s">
        <v>7</v>
      </c>
      <c r="I73">
        <v>21</v>
      </c>
      <c r="J73">
        <v>7</v>
      </c>
      <c r="K73">
        <v>0</v>
      </c>
      <c r="L73">
        <v>0</v>
      </c>
      <c r="M73">
        <v>0</v>
      </c>
      <c r="N73" s="1">
        <f>Table4[[#This Row],[Total Weekday]]*Table4[[#This Row],[Daily Rate]]</f>
        <v>295050</v>
      </c>
      <c r="O73" s="8">
        <f>Table4[[#This Row],[Daily Rate]]/8*1.5*Table4[[#This Row],[Weekday OVT]]</f>
        <v>18440.625</v>
      </c>
      <c r="P73" s="1">
        <f>Table4[[#This Row],[Daily Rate]]/8*(1.5*Table4[[#This Row],[Total Saturday]])</f>
        <v>0</v>
      </c>
      <c r="Q73" s="1">
        <f>Table4[[#This Row],[Daily Rate]]/8*(2*Table4[[#This Row],[Total Sunday]])</f>
        <v>0</v>
      </c>
      <c r="R73" s="1">
        <f>2500*Table4[[#This Row],[Night Worked]]</f>
        <v>0</v>
      </c>
      <c r="S73" s="1">
        <f>500*Table4[[#This Row],[Total Weekday]]</f>
        <v>10500</v>
      </c>
      <c r="T73" s="1"/>
      <c r="U73" s="1"/>
      <c r="V73" s="1"/>
      <c r="W73" s="1"/>
      <c r="X73" s="1"/>
      <c r="Y73" s="1">
        <f>SUM(Table4[[#This Row],[Wkd Earning]:[Arrears]])</f>
        <v>323990.625</v>
      </c>
      <c r="Z73" s="1">
        <f>0.05*Table4[[#This Row],[Total Earnings]]</f>
        <v>16199.53125</v>
      </c>
      <c r="AA73" s="1">
        <f>Table4[[#This Row],[Total Earnings]]</f>
        <v>323990.625</v>
      </c>
      <c r="AB73" s="1">
        <f>Table4[[#This Row],[Gross Salary]]-Table4[[#This Row],[WHT]]</f>
        <v>307791.09375</v>
      </c>
    </row>
    <row r="74" spans="1:28" x14ac:dyDescent="0.3">
      <c r="A74" t="s">
        <v>147</v>
      </c>
      <c r="B74" t="s">
        <v>149</v>
      </c>
      <c r="C74" t="s">
        <v>148</v>
      </c>
      <c r="D74" t="s">
        <v>150</v>
      </c>
      <c r="E74" t="s">
        <v>8</v>
      </c>
      <c r="F74" s="1">
        <v>16700</v>
      </c>
      <c r="G74">
        <v>55</v>
      </c>
      <c r="H74" t="s">
        <v>7</v>
      </c>
      <c r="I74">
        <v>22</v>
      </c>
      <c r="J74">
        <v>14</v>
      </c>
      <c r="K74">
        <v>0</v>
      </c>
      <c r="L74">
        <v>0</v>
      </c>
      <c r="M74">
        <v>0</v>
      </c>
      <c r="N74" s="1">
        <f>Table4[[#This Row],[Total Weekday]]*Table4[[#This Row],[Daily Rate]]</f>
        <v>367400</v>
      </c>
      <c r="O74" s="8">
        <f>Table4[[#This Row],[Daily Rate]]/8*1.5*Table4[[#This Row],[Weekday OVT]]</f>
        <v>43837.5</v>
      </c>
      <c r="P74" s="1">
        <f>Table4[[#This Row],[Daily Rate]]/8*(1.5*Table4[[#This Row],[Total Saturday]])</f>
        <v>0</v>
      </c>
      <c r="Q74" s="1">
        <f>Table4[[#This Row],[Daily Rate]]/8*(2*Table4[[#This Row],[Total Sunday]])</f>
        <v>0</v>
      </c>
      <c r="R74" s="1">
        <f>2500*Table4[[#This Row],[Night Worked]]</f>
        <v>0</v>
      </c>
      <c r="S74" s="1">
        <f>500*Table4[[#This Row],[Total Weekday]]</f>
        <v>11000</v>
      </c>
      <c r="T74" s="1"/>
      <c r="U74" s="1"/>
      <c r="V74" s="1"/>
      <c r="W74" s="1"/>
      <c r="X74" s="1"/>
      <c r="Y74" s="1">
        <f>SUM(Table4[[#This Row],[Wkd Earning]:[Arrears]])</f>
        <v>422237.5</v>
      </c>
      <c r="Z74" s="1">
        <f>0.05*Table4[[#This Row],[Total Earnings]]</f>
        <v>21111.875</v>
      </c>
      <c r="AA74" s="1">
        <f>Table4[[#This Row],[Total Earnings]]</f>
        <v>422237.5</v>
      </c>
      <c r="AB74" s="1">
        <f>Table4[[#This Row],[Gross Salary]]-Table4[[#This Row],[WHT]]</f>
        <v>401125.625</v>
      </c>
    </row>
    <row r="75" spans="1:28" x14ac:dyDescent="0.3">
      <c r="A75" t="s">
        <v>454</v>
      </c>
      <c r="B75" t="s">
        <v>455</v>
      </c>
      <c r="C75" t="s">
        <v>456</v>
      </c>
      <c r="D75" t="s">
        <v>816</v>
      </c>
      <c r="E75" t="s">
        <v>8</v>
      </c>
      <c r="F75" s="1">
        <v>21000</v>
      </c>
      <c r="G75">
        <v>45</v>
      </c>
      <c r="H75" t="s">
        <v>282</v>
      </c>
      <c r="I75">
        <v>24</v>
      </c>
      <c r="J75">
        <v>10</v>
      </c>
      <c r="K75">
        <v>0</v>
      </c>
      <c r="L75">
        <v>0</v>
      </c>
      <c r="M75">
        <v>0</v>
      </c>
      <c r="N75" s="1">
        <f>Table4[[#This Row],[Total Weekday]]*Table4[[#This Row],[Daily Rate]]</f>
        <v>504000</v>
      </c>
      <c r="O75" s="8">
        <f>Table4[[#This Row],[Daily Rate]]/8*1.5*Table4[[#This Row],[Weekday OVT]]</f>
        <v>39375</v>
      </c>
      <c r="P75" s="1">
        <f>Table4[[#This Row],[Daily Rate]]/8*(1.5*Table4[[#This Row],[Total Saturday]])</f>
        <v>0</v>
      </c>
      <c r="Q75" s="1">
        <f>Table4[[#This Row],[Daily Rate]]/8*(2*Table4[[#This Row],[Total Sunday]])</f>
        <v>0</v>
      </c>
      <c r="R75" s="1">
        <f>2500*Table4[[#This Row],[Night Worked]]</f>
        <v>0</v>
      </c>
      <c r="S75" s="1">
        <f>500*Table4[[#This Row],[Total Weekday]]</f>
        <v>12000</v>
      </c>
      <c r="T75" s="1"/>
      <c r="U75" s="1"/>
      <c r="V75" s="1"/>
      <c r="W75" s="1"/>
      <c r="X75" s="1"/>
      <c r="Y75" s="1">
        <f>SUM(Table4[[#This Row],[Wkd Earning]:[Arrears]])</f>
        <v>555375</v>
      </c>
      <c r="Z75" s="1">
        <f>0.05*Table4[[#This Row],[Total Earnings]]</f>
        <v>27768.75</v>
      </c>
      <c r="AA75" s="1">
        <f>Table4[[#This Row],[Total Earnings]]</f>
        <v>555375</v>
      </c>
      <c r="AB75" s="1">
        <f>Table4[[#This Row],[Gross Salary]]-Table4[[#This Row],[WHT]]</f>
        <v>527606.25</v>
      </c>
    </row>
    <row r="76" spans="1:28" x14ac:dyDescent="0.3">
      <c r="A76" t="s">
        <v>457</v>
      </c>
      <c r="B76" t="s">
        <v>69</v>
      </c>
      <c r="C76" t="s">
        <v>235</v>
      </c>
      <c r="D76" t="s">
        <v>817</v>
      </c>
      <c r="E76" t="s">
        <v>8</v>
      </c>
      <c r="F76" s="1">
        <v>13250</v>
      </c>
      <c r="G76">
        <v>34</v>
      </c>
      <c r="H76" t="s">
        <v>7</v>
      </c>
      <c r="I76">
        <v>22</v>
      </c>
      <c r="J76">
        <v>7</v>
      </c>
      <c r="K76">
        <v>0</v>
      </c>
      <c r="L76">
        <v>0</v>
      </c>
      <c r="M76">
        <v>0</v>
      </c>
      <c r="N76" s="1">
        <f>Table4[[#This Row],[Total Weekday]]*Table4[[#This Row],[Daily Rate]]</f>
        <v>291500</v>
      </c>
      <c r="O76" s="8">
        <f>Table4[[#This Row],[Daily Rate]]/8*1.5*Table4[[#This Row],[Weekday OVT]]</f>
        <v>17390.625</v>
      </c>
      <c r="P76" s="1">
        <f>Table4[[#This Row],[Daily Rate]]/8*(1.5*Table4[[#This Row],[Total Saturday]])</f>
        <v>0</v>
      </c>
      <c r="Q76" s="1">
        <f>Table4[[#This Row],[Daily Rate]]/8*(2*Table4[[#This Row],[Total Sunday]])</f>
        <v>0</v>
      </c>
      <c r="R76" s="1">
        <f>2500*Table4[[#This Row],[Night Worked]]</f>
        <v>0</v>
      </c>
      <c r="S76" s="1">
        <f>500*Table4[[#This Row],[Total Weekday]]</f>
        <v>11000</v>
      </c>
      <c r="T76" s="1"/>
      <c r="U76" s="1"/>
      <c r="V76" s="1"/>
      <c r="W76" s="1"/>
      <c r="X76" s="1"/>
      <c r="Y76" s="1">
        <f>SUM(Table4[[#This Row],[Wkd Earning]:[Arrears]])</f>
        <v>319890.625</v>
      </c>
      <c r="Z76" s="1">
        <f>0.05*Table4[[#This Row],[Total Earnings]]</f>
        <v>15994.53125</v>
      </c>
      <c r="AA76" s="1">
        <f>Table4[[#This Row],[Total Earnings]]</f>
        <v>319890.625</v>
      </c>
      <c r="AB76" s="1">
        <f>Table4[[#This Row],[Gross Salary]]-Table4[[#This Row],[WHT]]</f>
        <v>303896.09375</v>
      </c>
    </row>
    <row r="77" spans="1:28" x14ac:dyDescent="0.3">
      <c r="A77" t="s">
        <v>458</v>
      </c>
      <c r="B77" t="s">
        <v>459</v>
      </c>
      <c r="C77" t="s">
        <v>455</v>
      </c>
      <c r="D77" t="s">
        <v>60</v>
      </c>
      <c r="E77" t="s">
        <v>8</v>
      </c>
      <c r="F77" s="1">
        <v>16000</v>
      </c>
      <c r="G77">
        <v>37</v>
      </c>
      <c r="H77" t="s">
        <v>7</v>
      </c>
      <c r="I77">
        <v>22</v>
      </c>
      <c r="J77">
        <v>17</v>
      </c>
      <c r="K77">
        <v>13</v>
      </c>
      <c r="L77">
        <v>0</v>
      </c>
      <c r="M77">
        <v>0</v>
      </c>
      <c r="N77" s="1">
        <f>Table4[[#This Row],[Total Weekday]]*Table4[[#This Row],[Daily Rate]]</f>
        <v>352000</v>
      </c>
      <c r="O77" s="8">
        <f>Table4[[#This Row],[Daily Rate]]/8*1.5*Table4[[#This Row],[Weekday OVT]]</f>
        <v>51000</v>
      </c>
      <c r="P77" s="1">
        <f>Table4[[#This Row],[Daily Rate]]/8*(1.5*Table4[[#This Row],[Total Saturday]])</f>
        <v>39000</v>
      </c>
      <c r="Q77" s="1">
        <f>Table4[[#This Row],[Daily Rate]]/8*(2*Table4[[#This Row],[Total Sunday]])</f>
        <v>0</v>
      </c>
      <c r="R77" s="1">
        <f>2500*Table4[[#This Row],[Night Worked]]</f>
        <v>0</v>
      </c>
      <c r="S77" s="1">
        <f>500*Table4[[#This Row],[Total Weekday]]</f>
        <v>11000</v>
      </c>
      <c r="T77" s="1"/>
      <c r="U77" s="1"/>
      <c r="V77" s="1"/>
      <c r="W77" s="1"/>
      <c r="X77" s="1"/>
      <c r="Y77" s="1">
        <f>SUM(Table4[[#This Row],[Wkd Earning]:[Arrears]])</f>
        <v>453000</v>
      </c>
      <c r="Z77" s="1">
        <f>0.05*Table4[[#This Row],[Total Earnings]]</f>
        <v>22650</v>
      </c>
      <c r="AA77" s="1">
        <f>Table4[[#This Row],[Total Earnings]]</f>
        <v>453000</v>
      </c>
      <c r="AB77" s="1">
        <f>Table4[[#This Row],[Gross Salary]]-Table4[[#This Row],[WHT]]</f>
        <v>430350</v>
      </c>
    </row>
    <row r="78" spans="1:28" x14ac:dyDescent="0.3">
      <c r="A78" t="s">
        <v>57</v>
      </c>
      <c r="B78" t="s">
        <v>59</v>
      </c>
      <c r="C78" t="s">
        <v>58</v>
      </c>
      <c r="D78" t="s">
        <v>60</v>
      </c>
      <c r="E78" t="s">
        <v>8</v>
      </c>
      <c r="F78" s="1">
        <v>16000</v>
      </c>
      <c r="G78">
        <v>56</v>
      </c>
      <c r="H78" t="s">
        <v>7</v>
      </c>
      <c r="I78">
        <v>23</v>
      </c>
      <c r="J78">
        <v>23</v>
      </c>
      <c r="K78">
        <v>16</v>
      </c>
      <c r="L78">
        <v>0</v>
      </c>
      <c r="M78">
        <v>0</v>
      </c>
      <c r="N78" s="1">
        <f>Table4[[#This Row],[Total Weekday]]*Table4[[#This Row],[Daily Rate]]</f>
        <v>368000</v>
      </c>
      <c r="O78" s="8">
        <f>Table4[[#This Row],[Daily Rate]]/8*1.5*Table4[[#This Row],[Weekday OVT]]</f>
        <v>69000</v>
      </c>
      <c r="P78" s="1">
        <f>Table4[[#This Row],[Daily Rate]]/8*(1.5*Table4[[#This Row],[Total Saturday]])</f>
        <v>48000</v>
      </c>
      <c r="Q78" s="1">
        <f>Table4[[#This Row],[Daily Rate]]/8*(2*Table4[[#This Row],[Total Sunday]])</f>
        <v>0</v>
      </c>
      <c r="R78" s="1">
        <f>2500*Table4[[#This Row],[Night Worked]]</f>
        <v>0</v>
      </c>
      <c r="S78" s="1">
        <f>500*Table4[[#This Row],[Total Weekday]]</f>
        <v>11500</v>
      </c>
      <c r="T78" s="1"/>
      <c r="U78" s="1"/>
      <c r="V78" s="1"/>
      <c r="W78" s="1"/>
      <c r="X78" s="1"/>
      <c r="Y78" s="1">
        <f>SUM(Table4[[#This Row],[Wkd Earning]:[Arrears]])</f>
        <v>496500</v>
      </c>
      <c r="Z78" s="1">
        <f>0.05*Table4[[#This Row],[Total Earnings]]</f>
        <v>24825</v>
      </c>
      <c r="AA78" s="1">
        <f>Table4[[#This Row],[Total Earnings]]</f>
        <v>496500</v>
      </c>
      <c r="AB78" s="1">
        <f>Table4[[#This Row],[Gross Salary]]-Table4[[#This Row],[WHT]]</f>
        <v>471675</v>
      </c>
    </row>
    <row r="79" spans="1:28" x14ac:dyDescent="0.3">
      <c r="A79" t="s">
        <v>70</v>
      </c>
      <c r="B79" t="s">
        <v>71</v>
      </c>
      <c r="C79" t="s">
        <v>818</v>
      </c>
      <c r="D79" t="s">
        <v>150</v>
      </c>
      <c r="E79" t="s">
        <v>819</v>
      </c>
      <c r="F79" s="1">
        <v>16700</v>
      </c>
      <c r="G79">
        <v>55</v>
      </c>
      <c r="H79" t="s">
        <v>7</v>
      </c>
      <c r="I79">
        <v>22</v>
      </c>
      <c r="J79">
        <v>10</v>
      </c>
      <c r="K79">
        <v>0</v>
      </c>
      <c r="L79">
        <v>0</v>
      </c>
      <c r="M79">
        <v>0</v>
      </c>
      <c r="N79" s="1">
        <f>Table4[[#This Row],[Total Weekday]]*Table4[[#This Row],[Daily Rate]]</f>
        <v>367400</v>
      </c>
      <c r="O79" s="8">
        <f>Table4[[#This Row],[Daily Rate]]/8*1.5*Table4[[#This Row],[Weekday OVT]]</f>
        <v>31312.5</v>
      </c>
      <c r="P79" s="1">
        <f>Table4[[#This Row],[Daily Rate]]/8*(1.5*Table4[[#This Row],[Total Saturday]])</f>
        <v>0</v>
      </c>
      <c r="Q79" s="1">
        <f>Table4[[#This Row],[Daily Rate]]/8*(2*Table4[[#This Row],[Total Sunday]])</f>
        <v>0</v>
      </c>
      <c r="R79" s="1">
        <f>2500*Table4[[#This Row],[Night Worked]]</f>
        <v>0</v>
      </c>
      <c r="S79" s="1">
        <f>500*Table4[[#This Row],[Total Weekday]]</f>
        <v>11000</v>
      </c>
      <c r="T79" s="1"/>
      <c r="U79" s="1"/>
      <c r="V79" s="1"/>
      <c r="W79" s="1"/>
      <c r="X79" s="1"/>
      <c r="Y79" s="1">
        <f>SUM(Table4[[#This Row],[Wkd Earning]:[Arrears]])</f>
        <v>409712.5</v>
      </c>
      <c r="Z79" s="1">
        <f>0.05*Table4[[#This Row],[Total Earnings]]</f>
        <v>20485.625</v>
      </c>
      <c r="AA79" s="1">
        <f>Table4[[#This Row],[Total Earnings]]</f>
        <v>409712.5</v>
      </c>
      <c r="AB79" s="1">
        <f>Table4[[#This Row],[Gross Salary]]-Table4[[#This Row],[WHT]]</f>
        <v>389226.875</v>
      </c>
    </row>
    <row r="80" spans="1:28" x14ac:dyDescent="0.3">
      <c r="A80" t="s">
        <v>283</v>
      </c>
      <c r="B80" t="s">
        <v>284</v>
      </c>
      <c r="C80" t="s">
        <v>285</v>
      </c>
      <c r="D80" t="s">
        <v>150</v>
      </c>
      <c r="E80" t="s">
        <v>819</v>
      </c>
      <c r="F80" s="1">
        <v>16700</v>
      </c>
      <c r="G80">
        <v>54</v>
      </c>
      <c r="H80" t="s">
        <v>7</v>
      </c>
      <c r="I80">
        <v>22</v>
      </c>
      <c r="J80">
        <v>10</v>
      </c>
      <c r="K80">
        <v>0</v>
      </c>
      <c r="L80">
        <v>0</v>
      </c>
      <c r="M80">
        <v>0</v>
      </c>
      <c r="N80" s="1">
        <f>Table4[[#This Row],[Total Weekday]]*Table4[[#This Row],[Daily Rate]]</f>
        <v>367400</v>
      </c>
      <c r="O80" s="8">
        <f>Table4[[#This Row],[Daily Rate]]/8*1.5*Table4[[#This Row],[Weekday OVT]]</f>
        <v>31312.5</v>
      </c>
      <c r="P80" s="1">
        <f>Table4[[#This Row],[Daily Rate]]/8*(1.5*Table4[[#This Row],[Total Saturday]])</f>
        <v>0</v>
      </c>
      <c r="Q80" s="1">
        <f>Table4[[#This Row],[Daily Rate]]/8*(2*Table4[[#This Row],[Total Sunday]])</f>
        <v>0</v>
      </c>
      <c r="R80" s="1">
        <f>2500*Table4[[#This Row],[Night Worked]]</f>
        <v>0</v>
      </c>
      <c r="S80" s="1">
        <f>500*Table4[[#This Row],[Total Weekday]]</f>
        <v>11000</v>
      </c>
      <c r="T80" s="1"/>
      <c r="U80" s="1"/>
      <c r="V80" s="1"/>
      <c r="W80" s="1"/>
      <c r="X80" s="1"/>
      <c r="Y80" s="1">
        <f>SUM(Table4[[#This Row],[Wkd Earning]:[Arrears]])</f>
        <v>409712.5</v>
      </c>
      <c r="Z80" s="1">
        <f>0.05*Table4[[#This Row],[Total Earnings]]</f>
        <v>20485.625</v>
      </c>
      <c r="AA80" s="1">
        <f>Table4[[#This Row],[Total Earnings]]</f>
        <v>409712.5</v>
      </c>
      <c r="AB80" s="1">
        <f>Table4[[#This Row],[Gross Salary]]-Table4[[#This Row],[WHT]]</f>
        <v>389226.875</v>
      </c>
    </row>
    <row r="81" spans="1:28" x14ac:dyDescent="0.3">
      <c r="A81" t="s">
        <v>479</v>
      </c>
      <c r="B81" t="s">
        <v>820</v>
      </c>
      <c r="C81" t="s">
        <v>480</v>
      </c>
      <c r="D81" t="s">
        <v>481</v>
      </c>
      <c r="E81" t="s">
        <v>819</v>
      </c>
      <c r="F81" s="1">
        <v>8100</v>
      </c>
      <c r="G81">
        <v>29</v>
      </c>
      <c r="H81" t="s">
        <v>282</v>
      </c>
      <c r="I81">
        <v>22</v>
      </c>
      <c r="J81">
        <v>0</v>
      </c>
      <c r="K81">
        <v>0</v>
      </c>
      <c r="L81">
        <v>0</v>
      </c>
      <c r="M81">
        <v>0</v>
      </c>
      <c r="N81" s="1">
        <f>Table4[[#This Row],[Total Weekday]]*Table4[[#This Row],[Daily Rate]]</f>
        <v>178200</v>
      </c>
      <c r="O81" s="8">
        <f>Table4[[#This Row],[Daily Rate]]/8*1.5*Table4[[#This Row],[Weekday OVT]]</f>
        <v>0</v>
      </c>
      <c r="P81" s="1">
        <f>Table4[[#This Row],[Daily Rate]]/8*(1.5*Table4[[#This Row],[Total Saturday]])</f>
        <v>0</v>
      </c>
      <c r="Q81" s="1">
        <f>Table4[[#This Row],[Daily Rate]]/8*(2*Table4[[#This Row],[Total Sunday]])</f>
        <v>0</v>
      </c>
      <c r="R81" s="1">
        <f>2500*Table4[[#This Row],[Night Worked]]</f>
        <v>0</v>
      </c>
      <c r="S81" s="1">
        <f>500*Table4[[#This Row],[Total Weekday]]</f>
        <v>11000</v>
      </c>
      <c r="T81" s="1"/>
      <c r="U81" s="1"/>
      <c r="V81" s="1"/>
      <c r="W81" s="1"/>
      <c r="X81" s="1"/>
      <c r="Y81" s="1">
        <f>SUM(Table4[[#This Row],[Wkd Earning]:[Arrears]])</f>
        <v>189200</v>
      </c>
      <c r="Z81" s="1">
        <f>0.05*Table4[[#This Row],[Total Earnings]]</f>
        <v>9460</v>
      </c>
      <c r="AA81" s="1">
        <f>Table4[[#This Row],[Total Earnings]]</f>
        <v>189200</v>
      </c>
      <c r="AB81" s="1">
        <f>Table4[[#This Row],[Gross Salary]]-Table4[[#This Row],[WHT]]</f>
        <v>179740</v>
      </c>
    </row>
    <row r="82" spans="1:28" x14ac:dyDescent="0.3">
      <c r="A82" t="s">
        <v>118</v>
      </c>
      <c r="B82" t="s">
        <v>120</v>
      </c>
      <c r="C82" t="s">
        <v>119</v>
      </c>
      <c r="D82" t="s">
        <v>840</v>
      </c>
      <c r="E82" t="s">
        <v>841</v>
      </c>
      <c r="F82" s="1">
        <v>8600</v>
      </c>
      <c r="H82" t="s">
        <v>7</v>
      </c>
      <c r="I82">
        <v>22</v>
      </c>
      <c r="K82">
        <v>40</v>
      </c>
      <c r="L82">
        <v>0</v>
      </c>
      <c r="M82">
        <v>0</v>
      </c>
      <c r="N82" s="1">
        <f>Table4[[#This Row],[Total Weekday]]*Table4[[#This Row],[Daily Rate]]</f>
        <v>189200</v>
      </c>
      <c r="O82" s="8">
        <f>Table4[[#This Row],[Daily Rate]]/8*1.5*Table4[[#This Row],[Weekday OVT]]</f>
        <v>0</v>
      </c>
      <c r="P82" s="1">
        <f>Table4[[#This Row],[Daily Rate]]/8*(1.5*Table4[[#This Row],[Total Saturday]])</f>
        <v>64500</v>
      </c>
      <c r="Q82" s="1">
        <f>Table4[[#This Row],[Daily Rate]]/8*(2*Table4[[#This Row],[Total Sunday]])</f>
        <v>0</v>
      </c>
      <c r="R82" s="1">
        <f>2500*Table4[[#This Row],[Night Worked]]</f>
        <v>0</v>
      </c>
      <c r="S82" s="1">
        <v>0</v>
      </c>
      <c r="T82" s="1"/>
      <c r="U82" s="1">
        <v>150000</v>
      </c>
      <c r="V82" s="1">
        <v>150000</v>
      </c>
      <c r="W82" s="1">
        <v>150000</v>
      </c>
      <c r="X82" s="1"/>
      <c r="Y82" s="1">
        <f>SUM(Table4[[#This Row],[Wkd Earning]:[Arrears]])</f>
        <v>703700</v>
      </c>
      <c r="Z82" s="1">
        <f>0.05*Table4[[#This Row],[Total Earnings]]</f>
        <v>35185</v>
      </c>
      <c r="AA82" s="1">
        <f>Table4[[#This Row],[Total Earnings]]</f>
        <v>703700</v>
      </c>
      <c r="AB82" s="1">
        <f>Table4[[#This Row],[Gross Salary]]-Table4[[#This Row],[WHT]]</f>
        <v>668515</v>
      </c>
    </row>
    <row r="83" spans="1:28" x14ac:dyDescent="0.3">
      <c r="A83" t="s">
        <v>880</v>
      </c>
      <c r="B83" t="s">
        <v>94</v>
      </c>
      <c r="C83" t="s">
        <v>309</v>
      </c>
      <c r="D83" t="s">
        <v>882</v>
      </c>
      <c r="E83" t="s">
        <v>819</v>
      </c>
      <c r="F83" s="1">
        <v>12750</v>
      </c>
      <c r="I83">
        <v>5</v>
      </c>
      <c r="J83">
        <v>0</v>
      </c>
      <c r="K83">
        <v>0</v>
      </c>
      <c r="L83">
        <v>0</v>
      </c>
      <c r="M83">
        <v>0</v>
      </c>
      <c r="N83" s="1">
        <f>Table4[[#This Row],[Total Weekday]]*Table4[[#This Row],[Daily Rate]]</f>
        <v>63750</v>
      </c>
      <c r="O83" s="8">
        <f>Table4[[#This Row],[Daily Rate]]/8*1.5*Table4[[#This Row],[Weekday OVT]]</f>
        <v>0</v>
      </c>
      <c r="P83" s="1">
        <f>Table4[[#This Row],[Daily Rate]]/8*(1.5*Table4[[#This Row],[Total Saturday]])</f>
        <v>0</v>
      </c>
      <c r="Q83" s="1">
        <f>Table4[[#This Row],[Daily Rate]]/8*(2*Table4[[#This Row],[Total Sunday]])</f>
        <v>0</v>
      </c>
      <c r="R83" s="1">
        <f>2500*Table4[[#This Row],[Night Worked]]</f>
        <v>0</v>
      </c>
      <c r="S83" s="1">
        <f>500*Table4[[#This Row],[Total Weekday]]</f>
        <v>2500</v>
      </c>
      <c r="T83" s="1"/>
      <c r="U83" s="1"/>
      <c r="V83" s="1"/>
      <c r="W83" s="1"/>
      <c r="X83" s="1"/>
      <c r="Y83" s="1">
        <f>SUM(Table4[[#This Row],[Wkd Earning]:[Arrears]])</f>
        <v>66250</v>
      </c>
      <c r="Z83" s="1">
        <f>0.05*Table4[[#This Row],[Total Earnings]]</f>
        <v>3312.5</v>
      </c>
      <c r="AA83" s="1">
        <f>Table4[[#This Row],[Total Earnings]]</f>
        <v>66250</v>
      </c>
      <c r="AB83" s="1">
        <f>Table4[[#This Row],[Gross Salary]]-Table4[[#This Row],[WHT]]</f>
        <v>62937.5</v>
      </c>
    </row>
    <row r="84" spans="1:28" x14ac:dyDescent="0.3">
      <c r="A84" t="s">
        <v>887</v>
      </c>
      <c r="B84" t="s">
        <v>883</v>
      </c>
      <c r="C84" t="s">
        <v>884</v>
      </c>
      <c r="D84" t="s">
        <v>882</v>
      </c>
      <c r="E84" t="s">
        <v>819</v>
      </c>
      <c r="F84" s="1">
        <v>12750</v>
      </c>
      <c r="I84">
        <v>5</v>
      </c>
      <c r="J84">
        <v>0</v>
      </c>
      <c r="K84">
        <v>0</v>
      </c>
      <c r="L84">
        <v>0</v>
      </c>
      <c r="M84">
        <v>0</v>
      </c>
      <c r="N84" s="1">
        <f>Table4[[#This Row],[Total Weekday]]*Table4[[#This Row],[Daily Rate]]</f>
        <v>63750</v>
      </c>
      <c r="O84" s="8">
        <f>Table4[[#This Row],[Daily Rate]]/8*1.5*Table4[[#This Row],[Weekday OVT]]</f>
        <v>0</v>
      </c>
      <c r="P84" s="1">
        <f>Table4[[#This Row],[Daily Rate]]/8*(1.5*Table4[[#This Row],[Total Saturday]])</f>
        <v>0</v>
      </c>
      <c r="Q84" s="1">
        <f>Table4[[#This Row],[Daily Rate]]/8*(2*Table4[[#This Row],[Total Sunday]])</f>
        <v>0</v>
      </c>
      <c r="R84" s="1">
        <f>2500*Table4[[#This Row],[Night Worked]]</f>
        <v>0</v>
      </c>
      <c r="S84" s="1">
        <f>500*Table4[[#This Row],[Total Weekday]]</f>
        <v>2500</v>
      </c>
      <c r="T84" s="1"/>
      <c r="U84" s="1"/>
      <c r="V84" s="1"/>
      <c r="W84" s="1"/>
      <c r="X84" s="1"/>
      <c r="Y84" s="1">
        <f>SUM(Table4[[#This Row],[Wkd Earning]:[Arrears]])</f>
        <v>66250</v>
      </c>
      <c r="Z84" s="1">
        <f>0.05*Table4[[#This Row],[Total Earnings]]</f>
        <v>3312.5</v>
      </c>
      <c r="AA84" s="1">
        <f>Table4[[#This Row],[Total Earnings]]</f>
        <v>66250</v>
      </c>
      <c r="AB84" s="1">
        <f>Table4[[#This Row],[Gross Salary]]-Table4[[#This Row],[WHT]]</f>
        <v>62937.5</v>
      </c>
    </row>
    <row r="85" spans="1:28" x14ac:dyDescent="0.3">
      <c r="A85" t="s">
        <v>881</v>
      </c>
      <c r="B85" t="s">
        <v>885</v>
      </c>
      <c r="C85" t="s">
        <v>222</v>
      </c>
      <c r="D85" t="s">
        <v>882</v>
      </c>
      <c r="E85" t="s">
        <v>819</v>
      </c>
      <c r="F85" s="1">
        <v>12750</v>
      </c>
      <c r="I85">
        <v>5</v>
      </c>
      <c r="J85">
        <v>0</v>
      </c>
      <c r="K85">
        <v>0</v>
      </c>
      <c r="L85">
        <v>0</v>
      </c>
      <c r="M85">
        <v>0</v>
      </c>
      <c r="N85" s="1">
        <f>Table4[[#This Row],[Total Weekday]]*Table4[[#This Row],[Daily Rate]]</f>
        <v>63750</v>
      </c>
      <c r="O85" s="8">
        <f>Table4[[#This Row],[Daily Rate]]/8*1.5*Table4[[#This Row],[Weekday OVT]]</f>
        <v>0</v>
      </c>
      <c r="P85" s="1">
        <f>Table4[[#This Row],[Daily Rate]]/8*(1.5*Table4[[#This Row],[Total Saturday]])</f>
        <v>0</v>
      </c>
      <c r="Q85" s="1">
        <f>Table4[[#This Row],[Daily Rate]]/8*(2*Table4[[#This Row],[Total Sunday]])</f>
        <v>0</v>
      </c>
      <c r="R85" s="1">
        <f>2500*Table4[[#This Row],[Night Worked]]</f>
        <v>0</v>
      </c>
      <c r="S85" s="1">
        <f>500*Table4[[#This Row],[Total Weekday]]</f>
        <v>2500</v>
      </c>
      <c r="T85" s="1"/>
      <c r="U85" s="1"/>
      <c r="V85" s="1"/>
      <c r="W85" s="1"/>
      <c r="X85" s="1"/>
      <c r="Y85" s="1">
        <f>SUM(Table4[[#This Row],[Wkd Earning]:[Arrears]])</f>
        <v>66250</v>
      </c>
      <c r="Z85" s="1">
        <f>0.05*Table4[[#This Row],[Total Earnings]]</f>
        <v>3312.5</v>
      </c>
      <c r="AA85" s="1">
        <f>Table4[[#This Row],[Total Earnings]]</f>
        <v>66250</v>
      </c>
      <c r="AB85" s="1">
        <f>Table4[[#This Row],[Gross Salary]]-Table4[[#This Row],[WHT]]</f>
        <v>62937.5</v>
      </c>
    </row>
    <row r="86" spans="1:28" x14ac:dyDescent="0.3">
      <c r="A86" t="s">
        <v>21</v>
      </c>
      <c r="B86" t="s">
        <v>23</v>
      </c>
      <c r="C86" t="s">
        <v>22</v>
      </c>
      <c r="D86" t="s">
        <v>24</v>
      </c>
      <c r="E86" t="s">
        <v>888</v>
      </c>
      <c r="F86" s="1">
        <v>19500</v>
      </c>
      <c r="G86">
        <v>58</v>
      </c>
      <c r="H86" t="s">
        <v>7</v>
      </c>
      <c r="I86">
        <v>22</v>
      </c>
      <c r="J86">
        <v>13</v>
      </c>
      <c r="K86">
        <v>50</v>
      </c>
      <c r="L86">
        <v>12</v>
      </c>
      <c r="M86">
        <v>0</v>
      </c>
      <c r="N86" s="1">
        <f>Table4[[#This Row],[Total Weekday]]*Table4[[#This Row],[Daily Rate]]</f>
        <v>429000</v>
      </c>
      <c r="O86" s="8">
        <f>Table4[[#This Row],[Daily Rate]]/8*1.5*Table4[[#This Row],[Weekday OVT]]</f>
        <v>47531.25</v>
      </c>
      <c r="P86" s="1">
        <f>Table4[[#This Row],[Daily Rate]]/8*(1.5*Table4[[#This Row],[Total Saturday]])</f>
        <v>182812.5</v>
      </c>
      <c r="Q86" s="1">
        <f>Table4[[#This Row],[Daily Rate]]/8*(2*Table4[[#This Row],[Total Sunday]])</f>
        <v>58500</v>
      </c>
      <c r="R86" s="1">
        <f>2500*Table4[[#This Row],[Night Worked]]</f>
        <v>0</v>
      </c>
      <c r="S86" s="1">
        <f>500*Table4[[#This Row],[Total Weekday]]</f>
        <v>11000</v>
      </c>
      <c r="T86" s="1"/>
      <c r="U86" s="1"/>
      <c r="V86" s="1"/>
      <c r="W86" s="1"/>
      <c r="X86" s="1"/>
      <c r="Y86" s="1">
        <f>SUM(Table4[[#This Row],[Wkd Earning]:[Arrears]])</f>
        <v>728843.75</v>
      </c>
      <c r="Z86" s="1">
        <f>0.05*Table4[[#This Row],[Total Earnings]]</f>
        <v>36442.1875</v>
      </c>
      <c r="AA86" s="1">
        <f>Table4[[#This Row],[Total Earnings]]</f>
        <v>728843.75</v>
      </c>
      <c r="AB86" s="1">
        <f>Table4[[#This Row],[Gross Salary]]-Table4[[#This Row],[WHT]]</f>
        <v>692401.5625</v>
      </c>
    </row>
    <row r="87" spans="1:28" x14ac:dyDescent="0.3">
      <c r="A87" t="s">
        <v>34</v>
      </c>
      <c r="B87" t="s">
        <v>36</v>
      </c>
      <c r="C87" t="s">
        <v>35</v>
      </c>
      <c r="D87" t="s">
        <v>37</v>
      </c>
      <c r="E87" t="s">
        <v>888</v>
      </c>
      <c r="F87" s="1">
        <v>12750</v>
      </c>
      <c r="G87">
        <v>46</v>
      </c>
      <c r="H87" t="s">
        <v>7</v>
      </c>
      <c r="I87">
        <v>22</v>
      </c>
      <c r="J87">
        <v>0</v>
      </c>
      <c r="K87">
        <v>24</v>
      </c>
      <c r="L87">
        <v>6</v>
      </c>
      <c r="M87">
        <v>0</v>
      </c>
      <c r="N87" s="1">
        <f>Table4[[#This Row],[Total Weekday]]*Table4[[#This Row],[Daily Rate]]</f>
        <v>280500</v>
      </c>
      <c r="O87" s="8">
        <f>Table4[[#This Row],[Daily Rate]]/8*1.5*Table4[[#This Row],[Weekday OVT]]</f>
        <v>0</v>
      </c>
      <c r="P87" s="1">
        <f>Table4[[#This Row],[Daily Rate]]/8*(1.5*Table4[[#This Row],[Total Saturday]])</f>
        <v>57375</v>
      </c>
      <c r="Q87" s="1">
        <f>Table4[[#This Row],[Daily Rate]]/8*(2*Table4[[#This Row],[Total Sunday]])</f>
        <v>19125</v>
      </c>
      <c r="R87" s="1">
        <f>2500*Table4[[#This Row],[Night Worked]]</f>
        <v>0</v>
      </c>
      <c r="S87" s="1">
        <f>500*Table4[[#This Row],[Total Weekday]]</f>
        <v>11000</v>
      </c>
      <c r="T87" s="1"/>
      <c r="U87" s="1"/>
      <c r="V87" s="1"/>
      <c r="W87" s="1"/>
      <c r="X87" s="1"/>
      <c r="Y87" s="1">
        <f>SUM(Table4[[#This Row],[Wkd Earning]:[Arrears]])</f>
        <v>368000</v>
      </c>
      <c r="Z87" s="1">
        <f>0.05*Table4[[#This Row],[Total Earnings]]</f>
        <v>18400</v>
      </c>
      <c r="AA87" s="1">
        <f>Table4[[#This Row],[Total Earnings]]</f>
        <v>368000</v>
      </c>
      <c r="AB87" s="1">
        <f>Table4[[#This Row],[Gross Salary]]-Table4[[#This Row],[WHT]]</f>
        <v>349600</v>
      </c>
    </row>
    <row r="88" spans="1:28" x14ac:dyDescent="0.3">
      <c r="A88" t="s">
        <v>64</v>
      </c>
      <c r="B88" t="s">
        <v>66</v>
      </c>
      <c r="C88" t="s">
        <v>65</v>
      </c>
      <c r="D88" t="s">
        <v>33</v>
      </c>
      <c r="E88" t="s">
        <v>888</v>
      </c>
      <c r="F88" s="1">
        <v>14050</v>
      </c>
      <c r="G88">
        <v>55</v>
      </c>
      <c r="H88" t="s">
        <v>7</v>
      </c>
      <c r="I88">
        <v>22</v>
      </c>
      <c r="J88">
        <v>5</v>
      </c>
      <c r="K88">
        <v>24</v>
      </c>
      <c r="L88">
        <v>0</v>
      </c>
      <c r="M88">
        <v>0</v>
      </c>
      <c r="N88" s="1">
        <f>Table4[[#This Row],[Total Weekday]]*Table4[[#This Row],[Daily Rate]]</f>
        <v>309100</v>
      </c>
      <c r="O88" s="8">
        <f>Table4[[#This Row],[Daily Rate]]/8*1.5*Table4[[#This Row],[Weekday OVT]]</f>
        <v>13171.875</v>
      </c>
      <c r="P88" s="1">
        <f>Table4[[#This Row],[Daily Rate]]/8*(1.5*Table4[[#This Row],[Total Saturday]])</f>
        <v>63225</v>
      </c>
      <c r="Q88" s="1">
        <f>Table4[[#This Row],[Daily Rate]]/8*(2*Table4[[#This Row],[Total Sunday]])</f>
        <v>0</v>
      </c>
      <c r="R88" s="1">
        <f>2500*Table4[[#This Row],[Night Worked]]</f>
        <v>0</v>
      </c>
      <c r="S88" s="1">
        <f>500*Table4[[#This Row],[Total Weekday]]</f>
        <v>11000</v>
      </c>
      <c r="T88" s="1"/>
      <c r="U88" s="1"/>
      <c r="V88" s="1"/>
      <c r="W88" s="1"/>
      <c r="X88" s="1"/>
      <c r="Y88" s="1">
        <f>SUM(Table4[[#This Row],[Wkd Earning]:[Arrears]])</f>
        <v>396496.875</v>
      </c>
      <c r="Z88" s="1">
        <f>0.05*Table4[[#This Row],[Total Earnings]]</f>
        <v>19824.84375</v>
      </c>
      <c r="AA88" s="1">
        <f>Table4[[#This Row],[Total Earnings]]</f>
        <v>396496.875</v>
      </c>
      <c r="AB88" s="1">
        <f>Table4[[#This Row],[Gross Salary]]-Table4[[#This Row],[WHT]]</f>
        <v>376672.03125</v>
      </c>
    </row>
    <row r="89" spans="1:28" x14ac:dyDescent="0.3">
      <c r="A89" t="s">
        <v>72</v>
      </c>
      <c r="B89" t="s">
        <v>74</v>
      </c>
      <c r="C89" t="s">
        <v>73</v>
      </c>
      <c r="D89" t="s">
        <v>53</v>
      </c>
      <c r="E89" t="s">
        <v>888</v>
      </c>
      <c r="F89" s="1">
        <v>10250</v>
      </c>
      <c r="G89">
        <v>45</v>
      </c>
      <c r="H89" t="s">
        <v>7</v>
      </c>
      <c r="I89">
        <v>22</v>
      </c>
      <c r="J89">
        <v>0</v>
      </c>
      <c r="K89">
        <v>24</v>
      </c>
      <c r="L89">
        <v>0</v>
      </c>
      <c r="M89">
        <v>0</v>
      </c>
      <c r="N89" s="1">
        <f>Table4[[#This Row],[Total Weekday]]*Table4[[#This Row],[Daily Rate]]</f>
        <v>225500</v>
      </c>
      <c r="O89" s="8">
        <f>Table4[[#This Row],[Daily Rate]]/8*1.5*Table4[[#This Row],[Weekday OVT]]</f>
        <v>0</v>
      </c>
      <c r="P89" s="1">
        <f>Table4[[#This Row],[Daily Rate]]/8*(1.5*Table4[[#This Row],[Total Saturday]])</f>
        <v>46125</v>
      </c>
      <c r="Q89" s="1">
        <f>Table4[[#This Row],[Daily Rate]]/8*(2*Table4[[#This Row],[Total Sunday]])</f>
        <v>0</v>
      </c>
      <c r="R89" s="1">
        <f>2500*Table4[[#This Row],[Night Worked]]</f>
        <v>0</v>
      </c>
      <c r="S89" s="1">
        <f>500*Table4[[#This Row],[Total Weekday]]</f>
        <v>11000</v>
      </c>
      <c r="T89" s="1"/>
      <c r="U89" s="1"/>
      <c r="V89" s="1"/>
      <c r="W89" s="1"/>
      <c r="X89" s="1"/>
      <c r="Y89" s="1">
        <f>SUM(Table4[[#This Row],[Wkd Earning]:[Arrears]])</f>
        <v>282625</v>
      </c>
      <c r="Z89" s="1">
        <f>0.05*Table4[[#This Row],[Total Earnings]]</f>
        <v>14131.25</v>
      </c>
      <c r="AA89" s="1">
        <f>Table4[[#This Row],[Total Earnings]]</f>
        <v>282625</v>
      </c>
      <c r="AB89" s="1">
        <f>Table4[[#This Row],[Gross Salary]]-Table4[[#This Row],[WHT]]</f>
        <v>268493.75</v>
      </c>
    </row>
    <row r="90" spans="1:28" x14ac:dyDescent="0.3">
      <c r="A90" t="s">
        <v>78</v>
      </c>
      <c r="B90" t="s">
        <v>80</v>
      </c>
      <c r="C90" t="s">
        <v>79</v>
      </c>
      <c r="D90" t="s">
        <v>154</v>
      </c>
      <c r="E90" t="s">
        <v>888</v>
      </c>
      <c r="F90" s="1">
        <v>14050</v>
      </c>
      <c r="G90">
        <v>47</v>
      </c>
      <c r="H90" t="s">
        <v>7</v>
      </c>
      <c r="I90">
        <v>22</v>
      </c>
      <c r="J90">
        <v>6</v>
      </c>
      <c r="K90">
        <v>24</v>
      </c>
      <c r="L90">
        <v>0</v>
      </c>
      <c r="M90">
        <v>0</v>
      </c>
      <c r="N90" s="1">
        <f>Table4[[#This Row],[Total Weekday]]*Table4[[#This Row],[Daily Rate]]</f>
        <v>309100</v>
      </c>
      <c r="O90" s="8">
        <f>Table4[[#This Row],[Daily Rate]]/8*1.5*Table4[[#This Row],[Weekday OVT]]</f>
        <v>15806.25</v>
      </c>
      <c r="P90" s="1">
        <f>Table4[[#This Row],[Daily Rate]]/8*(1.5*Table4[[#This Row],[Total Saturday]])</f>
        <v>63225</v>
      </c>
      <c r="Q90" s="1">
        <f>Table4[[#This Row],[Daily Rate]]/8*(2*Table4[[#This Row],[Total Sunday]])</f>
        <v>0</v>
      </c>
      <c r="R90" s="1">
        <f>2500*Table4[[#This Row],[Night Worked]]</f>
        <v>0</v>
      </c>
      <c r="S90" s="1">
        <f>500*Table4[[#This Row],[Total Weekday]]</f>
        <v>11000</v>
      </c>
      <c r="T90" s="1"/>
      <c r="U90" s="1"/>
      <c r="V90" s="1"/>
      <c r="W90" s="1"/>
      <c r="X90" s="1"/>
      <c r="Y90" s="1">
        <f>SUM(Table4[[#This Row],[Wkd Earning]:[Arrears]])</f>
        <v>399131.25</v>
      </c>
      <c r="Z90" s="1">
        <f>0.05*Table4[[#This Row],[Total Earnings]]</f>
        <v>19956.5625</v>
      </c>
      <c r="AA90" s="1">
        <f>Table4[[#This Row],[Total Earnings]]</f>
        <v>399131.25</v>
      </c>
      <c r="AB90" s="1">
        <f>Table4[[#This Row],[Gross Salary]]-Table4[[#This Row],[WHT]]</f>
        <v>379174.6875</v>
      </c>
    </row>
    <row r="91" spans="1:28" x14ac:dyDescent="0.3">
      <c r="A91" t="s">
        <v>87</v>
      </c>
      <c r="B91" t="s">
        <v>89</v>
      </c>
      <c r="C91" t="s">
        <v>88</v>
      </c>
      <c r="D91" t="s">
        <v>50</v>
      </c>
      <c r="E91" t="s">
        <v>888</v>
      </c>
      <c r="F91" s="1">
        <v>13550</v>
      </c>
      <c r="G91">
        <v>37</v>
      </c>
      <c r="H91" t="s">
        <v>7</v>
      </c>
      <c r="I91">
        <v>22</v>
      </c>
      <c r="J91">
        <v>0</v>
      </c>
      <c r="K91">
        <v>24</v>
      </c>
      <c r="L91">
        <v>0</v>
      </c>
      <c r="M91">
        <v>0</v>
      </c>
      <c r="N91" s="1">
        <f>Table4[[#This Row],[Total Weekday]]*Table4[[#This Row],[Daily Rate]]</f>
        <v>298100</v>
      </c>
      <c r="O91" s="8">
        <f>Table4[[#This Row],[Daily Rate]]/8*1.5*Table4[[#This Row],[Weekday OVT]]</f>
        <v>0</v>
      </c>
      <c r="P91" s="1">
        <f>Table4[[#This Row],[Daily Rate]]/8*(1.5*Table4[[#This Row],[Total Saturday]])</f>
        <v>60975</v>
      </c>
      <c r="Q91" s="1">
        <f>Table4[[#This Row],[Daily Rate]]/8*(2*Table4[[#This Row],[Total Sunday]])</f>
        <v>0</v>
      </c>
      <c r="R91" s="1">
        <f>2500*Table4[[#This Row],[Night Worked]]</f>
        <v>0</v>
      </c>
      <c r="S91" s="1">
        <f>500*Table4[[#This Row],[Total Weekday]]</f>
        <v>11000</v>
      </c>
      <c r="T91" s="1"/>
      <c r="U91" s="1"/>
      <c r="V91" s="1"/>
      <c r="W91" s="1"/>
      <c r="X91" s="1"/>
      <c r="Y91" s="1">
        <f>SUM(Table4[[#This Row],[Wkd Earning]:[Arrears]])</f>
        <v>370075</v>
      </c>
      <c r="Z91" s="1">
        <f>0.05*Table4[[#This Row],[Total Earnings]]</f>
        <v>18503.75</v>
      </c>
      <c r="AA91" s="1">
        <f>Table4[[#This Row],[Total Earnings]]</f>
        <v>370075</v>
      </c>
      <c r="AB91" s="1">
        <f>Table4[[#This Row],[Gross Salary]]-Table4[[#This Row],[WHT]]</f>
        <v>351571.25</v>
      </c>
    </row>
    <row r="92" spans="1:28" x14ac:dyDescent="0.3">
      <c r="A92" t="s">
        <v>90</v>
      </c>
      <c r="B92" t="s">
        <v>91</v>
      </c>
      <c r="C92" t="s">
        <v>5</v>
      </c>
      <c r="D92" t="s">
        <v>53</v>
      </c>
      <c r="E92" t="s">
        <v>888</v>
      </c>
      <c r="F92" s="1">
        <v>10250</v>
      </c>
      <c r="G92">
        <v>57</v>
      </c>
      <c r="H92" t="s">
        <v>7</v>
      </c>
      <c r="I92">
        <v>22</v>
      </c>
      <c r="J92">
        <v>4</v>
      </c>
      <c r="K92">
        <v>12</v>
      </c>
      <c r="L92">
        <v>0</v>
      </c>
      <c r="M92">
        <v>0</v>
      </c>
      <c r="N92" s="1">
        <f>Table4[[#This Row],[Total Weekday]]*Table4[[#This Row],[Daily Rate]]</f>
        <v>225500</v>
      </c>
      <c r="O92" s="8">
        <f>Table4[[#This Row],[Daily Rate]]/8*1.5*Table4[[#This Row],[Weekday OVT]]</f>
        <v>7687.5</v>
      </c>
      <c r="P92" s="1">
        <f>Table4[[#This Row],[Daily Rate]]/8*(1.5*Table4[[#This Row],[Total Saturday]])</f>
        <v>23062.5</v>
      </c>
      <c r="Q92" s="1">
        <f>Table4[[#This Row],[Daily Rate]]/8*(2*Table4[[#This Row],[Total Sunday]])</f>
        <v>0</v>
      </c>
      <c r="R92" s="1">
        <f>2500*Table4[[#This Row],[Night Worked]]</f>
        <v>0</v>
      </c>
      <c r="S92" s="1">
        <f>500*Table4[[#This Row],[Total Weekday]]</f>
        <v>11000</v>
      </c>
      <c r="T92" s="1"/>
      <c r="U92" s="1"/>
      <c r="V92" s="1"/>
      <c r="W92" s="1"/>
      <c r="X92" s="1"/>
      <c r="Y92" s="1">
        <f>SUM(Table4[[#This Row],[Wkd Earning]:[Arrears]])</f>
        <v>267250</v>
      </c>
      <c r="Z92" s="1">
        <f>0.05*Table4[[#This Row],[Total Earnings]]</f>
        <v>13362.5</v>
      </c>
      <c r="AA92" s="1">
        <f>Table4[[#This Row],[Total Earnings]]</f>
        <v>267250</v>
      </c>
      <c r="AB92" s="1">
        <f>Table4[[#This Row],[Gross Salary]]-Table4[[#This Row],[WHT]]</f>
        <v>253887.5</v>
      </c>
    </row>
    <row r="93" spans="1:28" x14ac:dyDescent="0.3">
      <c r="A93" t="s">
        <v>121</v>
      </c>
      <c r="B93" t="s">
        <v>123</v>
      </c>
      <c r="C93" t="s">
        <v>122</v>
      </c>
      <c r="D93" t="s">
        <v>117</v>
      </c>
      <c r="E93" t="s">
        <v>888</v>
      </c>
      <c r="F93" s="1">
        <v>12750</v>
      </c>
      <c r="G93">
        <v>47</v>
      </c>
      <c r="H93" t="s">
        <v>7</v>
      </c>
      <c r="I93">
        <v>22</v>
      </c>
      <c r="J93">
        <v>13</v>
      </c>
      <c r="K93">
        <v>44</v>
      </c>
      <c r="L93">
        <v>12</v>
      </c>
      <c r="M93">
        <v>0</v>
      </c>
      <c r="N93" s="1">
        <f>Table4[[#This Row],[Total Weekday]]*Table4[[#This Row],[Daily Rate]]</f>
        <v>280500</v>
      </c>
      <c r="O93" s="8">
        <f>Table4[[#This Row],[Daily Rate]]/8*1.5*Table4[[#This Row],[Weekday OVT]]</f>
        <v>31078.125</v>
      </c>
      <c r="P93" s="1">
        <f>Table4[[#This Row],[Daily Rate]]/8*(1.5*Table4[[#This Row],[Total Saturday]])</f>
        <v>105187.5</v>
      </c>
      <c r="Q93" s="1">
        <f>Table4[[#This Row],[Daily Rate]]/8*(2*Table4[[#This Row],[Total Sunday]])</f>
        <v>38250</v>
      </c>
      <c r="R93" s="1">
        <f>2500*Table4[[#This Row],[Night Worked]]</f>
        <v>0</v>
      </c>
      <c r="S93" s="1">
        <f>500*Table4[[#This Row],[Total Weekday]]</f>
        <v>11000</v>
      </c>
      <c r="T93" s="1">
        <v>6000</v>
      </c>
      <c r="U93" s="1"/>
      <c r="V93" s="1"/>
      <c r="W93" s="1"/>
      <c r="X93" s="1"/>
      <c r="Y93" s="1">
        <f>SUM(Table4[[#This Row],[Wkd Earning]:[Arrears]])</f>
        <v>472015.625</v>
      </c>
      <c r="Z93" s="1">
        <f>0.05*Table4[[#This Row],[Total Earnings]]</f>
        <v>23600.78125</v>
      </c>
      <c r="AA93" s="1">
        <f>Table4[[#This Row],[Total Earnings]]</f>
        <v>472015.625</v>
      </c>
      <c r="AB93" s="1">
        <f>Table4[[#This Row],[Gross Salary]]-Table4[[#This Row],[WHT]]</f>
        <v>448414.84375</v>
      </c>
    </row>
    <row r="94" spans="1:28" x14ac:dyDescent="0.3">
      <c r="A94" t="s">
        <v>155</v>
      </c>
      <c r="B94" t="s">
        <v>157</v>
      </c>
      <c r="C94" t="s">
        <v>156</v>
      </c>
      <c r="D94" t="s">
        <v>154</v>
      </c>
      <c r="E94" t="s">
        <v>888</v>
      </c>
      <c r="F94" s="1">
        <v>11750</v>
      </c>
      <c r="G94">
        <v>52</v>
      </c>
      <c r="H94" t="s">
        <v>7</v>
      </c>
      <c r="I94">
        <v>21</v>
      </c>
      <c r="J94">
        <v>0</v>
      </c>
      <c r="K94">
        <v>0</v>
      </c>
      <c r="L94">
        <v>0</v>
      </c>
      <c r="M94">
        <v>0</v>
      </c>
      <c r="N94" s="1">
        <f>Table4[[#This Row],[Total Weekday]]*Table4[[#This Row],[Daily Rate]]</f>
        <v>246750</v>
      </c>
      <c r="O94" s="8">
        <f>Table4[[#This Row],[Daily Rate]]/8*1.5*Table4[[#This Row],[Weekday OVT]]</f>
        <v>0</v>
      </c>
      <c r="P94" s="1">
        <f>Table4[[#This Row],[Daily Rate]]/8*(1.5*Table4[[#This Row],[Total Saturday]])</f>
        <v>0</v>
      </c>
      <c r="Q94" s="1">
        <f>Table4[[#This Row],[Daily Rate]]/8*(2*Table4[[#This Row],[Total Sunday]])</f>
        <v>0</v>
      </c>
      <c r="R94" s="1">
        <f>2500*Table4[[#This Row],[Night Worked]]</f>
        <v>0</v>
      </c>
      <c r="S94" s="1">
        <f>500*Table4[[#This Row],[Total Weekday]]</f>
        <v>10500</v>
      </c>
      <c r="T94" s="1"/>
      <c r="U94" s="1"/>
      <c r="V94" s="1"/>
      <c r="W94" s="1"/>
      <c r="X94" s="1"/>
      <c r="Y94" s="1">
        <f>SUM(Table4[[#This Row],[Wkd Earning]:[Arrears]])</f>
        <v>257250</v>
      </c>
      <c r="Z94" s="1">
        <f>0.05*Table4[[#This Row],[Total Earnings]]</f>
        <v>12862.5</v>
      </c>
      <c r="AA94" s="1">
        <f>Table4[[#This Row],[Total Earnings]]</f>
        <v>257250</v>
      </c>
      <c r="AB94" s="1">
        <f>Table4[[#This Row],[Gross Salary]]-Table4[[#This Row],[WHT]]</f>
        <v>244387.5</v>
      </c>
    </row>
    <row r="95" spans="1:28" x14ac:dyDescent="0.3">
      <c r="A95" t="s">
        <v>173</v>
      </c>
      <c r="B95" t="s">
        <v>94</v>
      </c>
      <c r="C95" t="s">
        <v>174</v>
      </c>
      <c r="D95" t="s">
        <v>117</v>
      </c>
      <c r="E95" t="s">
        <v>888</v>
      </c>
      <c r="F95" s="1">
        <v>12750</v>
      </c>
      <c r="G95">
        <v>57</v>
      </c>
      <c r="H95" t="s">
        <v>7</v>
      </c>
      <c r="I95">
        <v>22</v>
      </c>
      <c r="J95">
        <v>13</v>
      </c>
      <c r="K95">
        <v>44</v>
      </c>
      <c r="L95">
        <v>12</v>
      </c>
      <c r="M95">
        <v>0</v>
      </c>
      <c r="N95" s="1">
        <f>Table4[[#This Row],[Total Weekday]]*Table4[[#This Row],[Daily Rate]]</f>
        <v>280500</v>
      </c>
      <c r="O95" s="8">
        <f>Table4[[#This Row],[Daily Rate]]/8*1.5*Table4[[#This Row],[Weekday OVT]]</f>
        <v>31078.125</v>
      </c>
      <c r="P95" s="1">
        <f>Table4[[#This Row],[Daily Rate]]/8*(1.5*Table4[[#This Row],[Total Saturday]])</f>
        <v>105187.5</v>
      </c>
      <c r="Q95" s="1">
        <f>Table4[[#This Row],[Daily Rate]]/8*(2*Table4[[#This Row],[Total Sunday]])</f>
        <v>38250</v>
      </c>
      <c r="R95" s="1">
        <f>2500*Table4[[#This Row],[Night Worked]]</f>
        <v>0</v>
      </c>
      <c r="S95" s="1">
        <f>500*Table4[[#This Row],[Total Weekday]]</f>
        <v>11000</v>
      </c>
      <c r="T95" s="1">
        <v>6000</v>
      </c>
      <c r="U95" s="1"/>
      <c r="V95" s="1"/>
      <c r="W95" s="1"/>
      <c r="X95" s="1"/>
      <c r="Y95" s="1">
        <f>SUM(Table4[[#This Row],[Wkd Earning]:[Arrears]])</f>
        <v>472015.625</v>
      </c>
      <c r="Z95" s="1">
        <f>0.05*Table4[[#This Row],[Total Earnings]]</f>
        <v>23600.78125</v>
      </c>
      <c r="AA95" s="1">
        <f>Table4[[#This Row],[Total Earnings]]</f>
        <v>472015.625</v>
      </c>
      <c r="AB95" s="1">
        <f>Table4[[#This Row],[Gross Salary]]-Table4[[#This Row],[WHT]]</f>
        <v>448414.84375</v>
      </c>
    </row>
    <row r="96" spans="1:28" x14ac:dyDescent="0.3">
      <c r="A96" t="s">
        <v>175</v>
      </c>
      <c r="B96" t="s">
        <v>14</v>
      </c>
      <c r="C96" t="s">
        <v>176</v>
      </c>
      <c r="D96" t="s">
        <v>117</v>
      </c>
      <c r="E96" t="s">
        <v>888</v>
      </c>
      <c r="F96" s="1">
        <v>12750</v>
      </c>
      <c r="G96">
        <v>45</v>
      </c>
      <c r="H96" t="s">
        <v>7</v>
      </c>
      <c r="I96">
        <v>22</v>
      </c>
      <c r="J96">
        <v>13</v>
      </c>
      <c r="K96">
        <v>50</v>
      </c>
      <c r="L96">
        <v>12</v>
      </c>
      <c r="M96">
        <v>0</v>
      </c>
      <c r="N96" s="1">
        <f>Table4[[#This Row],[Total Weekday]]*Table4[[#This Row],[Daily Rate]]</f>
        <v>280500</v>
      </c>
      <c r="O96" s="8">
        <f>Table4[[#This Row],[Daily Rate]]/8*1.5*Table4[[#This Row],[Weekday OVT]]</f>
        <v>31078.125</v>
      </c>
      <c r="P96" s="1">
        <f>Table4[[#This Row],[Daily Rate]]/8*(1.5*Table4[[#This Row],[Total Saturday]])</f>
        <v>119531.25</v>
      </c>
      <c r="Q96" s="1">
        <f>Table4[[#This Row],[Daily Rate]]/8*(2*Table4[[#This Row],[Total Sunday]])</f>
        <v>38250</v>
      </c>
      <c r="R96" s="1">
        <f>2500*Table4[[#This Row],[Night Worked]]</f>
        <v>0</v>
      </c>
      <c r="S96" s="1">
        <f>500*Table4[[#This Row],[Total Weekday]]</f>
        <v>11000</v>
      </c>
      <c r="T96" s="1"/>
      <c r="U96" s="1"/>
      <c r="V96" s="1"/>
      <c r="W96" s="1"/>
      <c r="X96" s="1"/>
      <c r="Y96" s="1">
        <f>SUM(Table4[[#This Row],[Wkd Earning]:[Arrears]])</f>
        <v>480359.375</v>
      </c>
      <c r="Z96" s="1">
        <f>0.05*Table4[[#This Row],[Total Earnings]]</f>
        <v>24017.96875</v>
      </c>
      <c r="AA96" s="1">
        <f>Table4[[#This Row],[Total Earnings]]</f>
        <v>480359.375</v>
      </c>
      <c r="AB96" s="1">
        <f>Table4[[#This Row],[Gross Salary]]-Table4[[#This Row],[WHT]]</f>
        <v>456341.40625</v>
      </c>
    </row>
    <row r="97" spans="1:28" x14ac:dyDescent="0.3">
      <c r="A97" t="s">
        <v>208</v>
      </c>
      <c r="B97" t="s">
        <v>210</v>
      </c>
      <c r="C97" t="s">
        <v>209</v>
      </c>
      <c r="D97" t="s">
        <v>154</v>
      </c>
      <c r="E97" t="s">
        <v>888</v>
      </c>
      <c r="F97" s="1">
        <v>14050</v>
      </c>
      <c r="G97">
        <v>44</v>
      </c>
      <c r="H97" t="s">
        <v>7</v>
      </c>
      <c r="I97">
        <v>22</v>
      </c>
      <c r="J97">
        <v>0</v>
      </c>
      <c r="K97">
        <v>12</v>
      </c>
      <c r="L97">
        <v>0</v>
      </c>
      <c r="M97">
        <v>0</v>
      </c>
      <c r="N97" s="1">
        <f>Table4[[#This Row],[Total Weekday]]*Table4[[#This Row],[Daily Rate]]</f>
        <v>309100</v>
      </c>
      <c r="O97" s="8">
        <f>Table4[[#This Row],[Daily Rate]]/8*1.5*Table4[[#This Row],[Weekday OVT]]</f>
        <v>0</v>
      </c>
      <c r="P97" s="1">
        <f>Table4[[#This Row],[Daily Rate]]/8*(1.5*Table4[[#This Row],[Total Saturday]])</f>
        <v>31612.5</v>
      </c>
      <c r="Q97" s="1">
        <f>Table4[[#This Row],[Daily Rate]]/8*(2*Table4[[#This Row],[Total Sunday]])</f>
        <v>0</v>
      </c>
      <c r="R97" s="1">
        <f>2500*Table4[[#This Row],[Night Worked]]</f>
        <v>0</v>
      </c>
      <c r="S97" s="1">
        <f>500*Table4[[#This Row],[Total Weekday]]</f>
        <v>11000</v>
      </c>
      <c r="Y97" s="1">
        <f>SUM(Table4[[#This Row],[Wkd Earning]:[Arrears]])</f>
        <v>351712.5</v>
      </c>
      <c r="Z97" s="1">
        <f>0.05*Table4[[#This Row],[Total Earnings]]</f>
        <v>17585.625</v>
      </c>
      <c r="AA97" s="1">
        <f>Table4[[#This Row],[Total Earnings]]</f>
        <v>351712.5</v>
      </c>
      <c r="AB97" s="1">
        <f>Table4[[#This Row],[Gross Salary]]-Table4[[#This Row],[WHT]]</f>
        <v>334126.875</v>
      </c>
    </row>
    <row r="98" spans="1:28" x14ac:dyDescent="0.3">
      <c r="A98" t="s">
        <v>216</v>
      </c>
      <c r="B98" t="s">
        <v>201</v>
      </c>
      <c r="C98" t="s">
        <v>217</v>
      </c>
      <c r="D98" t="s">
        <v>172</v>
      </c>
      <c r="E98" t="s">
        <v>888</v>
      </c>
      <c r="F98" s="1">
        <v>11575</v>
      </c>
      <c r="G98">
        <v>52</v>
      </c>
      <c r="H98" t="s">
        <v>7</v>
      </c>
      <c r="I98">
        <v>22</v>
      </c>
      <c r="J98">
        <v>0</v>
      </c>
      <c r="K98">
        <v>24</v>
      </c>
      <c r="L98">
        <v>0</v>
      </c>
      <c r="M98">
        <v>0</v>
      </c>
      <c r="N98" s="1">
        <f>Table4[[#This Row],[Total Weekday]]*Table4[[#This Row],[Daily Rate]]</f>
        <v>254650</v>
      </c>
      <c r="O98" s="8">
        <f>Table4[[#This Row],[Daily Rate]]/8*1.5*Table4[[#This Row],[Weekday OVT]]</f>
        <v>0</v>
      </c>
      <c r="P98" s="1">
        <f>Table4[[#This Row],[Daily Rate]]/8*(1.5*Table4[[#This Row],[Total Saturday]])</f>
        <v>52087.5</v>
      </c>
      <c r="Q98" s="1">
        <f>Table4[[#This Row],[Daily Rate]]/8*(2*Table4[[#This Row],[Total Sunday]])</f>
        <v>0</v>
      </c>
      <c r="R98" s="1">
        <f>2500*Table4[[#This Row],[Night Worked]]</f>
        <v>0</v>
      </c>
      <c r="S98" s="1">
        <f>500*Table4[[#This Row],[Total Weekday]]</f>
        <v>11000</v>
      </c>
      <c r="Y98" s="1">
        <f>SUM(Table4[[#This Row],[Wkd Earning]:[Arrears]])</f>
        <v>317737.5</v>
      </c>
      <c r="Z98" s="1">
        <f>0.05*Table4[[#This Row],[Total Earnings]]</f>
        <v>15886.875</v>
      </c>
      <c r="AA98" s="1">
        <f>Table4[[#This Row],[Total Earnings]]</f>
        <v>317737.5</v>
      </c>
      <c r="AB98" s="1">
        <f>Table4[[#This Row],[Gross Salary]]-Table4[[#This Row],[WHT]]</f>
        <v>301850.625</v>
      </c>
    </row>
    <row r="99" spans="1:28" x14ac:dyDescent="0.3">
      <c r="A99" t="s">
        <v>218</v>
      </c>
      <c r="B99" t="s">
        <v>220</v>
      </c>
      <c r="C99" t="s">
        <v>219</v>
      </c>
      <c r="D99" t="s">
        <v>154</v>
      </c>
      <c r="E99" t="s">
        <v>888</v>
      </c>
      <c r="F99" s="1">
        <v>14050</v>
      </c>
      <c r="G99">
        <v>49</v>
      </c>
      <c r="H99" t="s">
        <v>7</v>
      </c>
      <c r="I99">
        <v>22</v>
      </c>
      <c r="J99">
        <v>0</v>
      </c>
      <c r="K99">
        <v>18</v>
      </c>
      <c r="L99">
        <v>0</v>
      </c>
      <c r="M99">
        <v>0</v>
      </c>
      <c r="N99" s="1">
        <f>Table4[[#This Row],[Total Weekday]]*Table4[[#This Row],[Daily Rate]]</f>
        <v>309100</v>
      </c>
      <c r="O99" s="8">
        <f>Table4[[#This Row],[Daily Rate]]/8*1.5*Table4[[#This Row],[Weekday OVT]]</f>
        <v>0</v>
      </c>
      <c r="P99" s="1">
        <f>Table4[[#This Row],[Daily Rate]]/8*(1.5*Table4[[#This Row],[Total Saturday]])</f>
        <v>47418.75</v>
      </c>
      <c r="Q99" s="1">
        <f>Table4[[#This Row],[Daily Rate]]/8*(2*Table4[[#This Row],[Total Sunday]])</f>
        <v>0</v>
      </c>
      <c r="R99" s="1">
        <f>2500*Table4[[#This Row],[Night Worked]]</f>
        <v>0</v>
      </c>
      <c r="S99" s="1">
        <f>500*Table4[[#This Row],[Total Weekday]]</f>
        <v>11000</v>
      </c>
      <c r="Y99" s="1">
        <f>SUM(Table4[[#This Row],[Wkd Earning]:[Arrears]])</f>
        <v>367518.75</v>
      </c>
      <c r="Z99" s="1">
        <f>0.05*Table4[[#This Row],[Total Earnings]]</f>
        <v>18375.9375</v>
      </c>
      <c r="AA99" s="1">
        <f>Table4[[#This Row],[Total Earnings]]</f>
        <v>367518.75</v>
      </c>
      <c r="AB99" s="1">
        <f>Table4[[#This Row],[Gross Salary]]-Table4[[#This Row],[WHT]]</f>
        <v>349142.8125</v>
      </c>
    </row>
    <row r="100" spans="1:28" x14ac:dyDescent="0.3">
      <c r="A100" t="s">
        <v>229</v>
      </c>
      <c r="B100" t="s">
        <v>231</v>
      </c>
      <c r="C100" t="s">
        <v>230</v>
      </c>
      <c r="D100" t="s">
        <v>154</v>
      </c>
      <c r="E100" t="s">
        <v>888</v>
      </c>
      <c r="F100" s="1">
        <v>14050</v>
      </c>
      <c r="G100">
        <v>57</v>
      </c>
      <c r="H100" t="s">
        <v>7</v>
      </c>
      <c r="I100">
        <v>22</v>
      </c>
      <c r="J100">
        <v>0</v>
      </c>
      <c r="K100">
        <v>18</v>
      </c>
      <c r="L100">
        <v>0</v>
      </c>
      <c r="M100">
        <v>0</v>
      </c>
      <c r="N100" s="1">
        <f>Table4[[#This Row],[Total Weekday]]*Table4[[#This Row],[Daily Rate]]</f>
        <v>309100</v>
      </c>
      <c r="O100" s="8">
        <f>Table4[[#This Row],[Daily Rate]]/8*1.5*Table4[[#This Row],[Weekday OVT]]</f>
        <v>0</v>
      </c>
      <c r="P100" s="1">
        <f>Table4[[#This Row],[Daily Rate]]/8*(1.5*Table4[[#This Row],[Total Saturday]])</f>
        <v>47418.75</v>
      </c>
      <c r="Q100" s="1">
        <f>Table4[[#This Row],[Daily Rate]]/8*(2*Table4[[#This Row],[Total Sunday]])</f>
        <v>0</v>
      </c>
      <c r="R100" s="1">
        <f>2500*Table4[[#This Row],[Night Worked]]</f>
        <v>0</v>
      </c>
      <c r="S100" s="1">
        <f>500*Table4[[#This Row],[Total Weekday]]</f>
        <v>11000</v>
      </c>
      <c r="Y100" s="1">
        <f>SUM(Table4[[#This Row],[Wkd Earning]:[Arrears]])</f>
        <v>367518.75</v>
      </c>
      <c r="Z100" s="1">
        <f>0.05*Table4[[#This Row],[Total Earnings]]</f>
        <v>18375.9375</v>
      </c>
      <c r="AA100" s="1">
        <f>Table4[[#This Row],[Total Earnings]]</f>
        <v>367518.75</v>
      </c>
      <c r="AB100" s="1">
        <f>Table4[[#This Row],[Gross Salary]]-Table4[[#This Row],[WHT]]</f>
        <v>349142.8125</v>
      </c>
    </row>
    <row r="101" spans="1:28" x14ac:dyDescent="0.3">
      <c r="A101" t="s">
        <v>246</v>
      </c>
      <c r="B101" t="s">
        <v>248</v>
      </c>
      <c r="C101" t="s">
        <v>247</v>
      </c>
      <c r="D101" t="s">
        <v>154</v>
      </c>
      <c r="E101" t="s">
        <v>888</v>
      </c>
      <c r="F101" s="1">
        <v>14050</v>
      </c>
      <c r="G101">
        <v>66</v>
      </c>
      <c r="H101" t="s">
        <v>7</v>
      </c>
      <c r="I101">
        <v>22</v>
      </c>
      <c r="J101">
        <v>0</v>
      </c>
      <c r="K101">
        <v>12</v>
      </c>
      <c r="L101">
        <v>0</v>
      </c>
      <c r="M101">
        <v>0</v>
      </c>
      <c r="N101" s="1">
        <f>Table4[[#This Row],[Total Weekday]]*Table4[[#This Row],[Daily Rate]]</f>
        <v>309100</v>
      </c>
      <c r="O101" s="8">
        <f>Table4[[#This Row],[Daily Rate]]/8*1.5*Table4[[#This Row],[Weekday OVT]]</f>
        <v>0</v>
      </c>
      <c r="P101" s="1">
        <f>Table4[[#This Row],[Daily Rate]]/8*(1.5*Table4[[#This Row],[Total Saturday]])</f>
        <v>31612.5</v>
      </c>
      <c r="Q101" s="1">
        <f>Table4[[#This Row],[Daily Rate]]/8*(2*Table4[[#This Row],[Total Sunday]])</f>
        <v>0</v>
      </c>
      <c r="R101" s="1">
        <f>2500*Table4[[#This Row],[Night Worked]]</f>
        <v>0</v>
      </c>
      <c r="S101" s="1">
        <f>500*Table4[[#This Row],[Total Weekday]]</f>
        <v>11000</v>
      </c>
      <c r="Y101" s="1">
        <f>SUM(Table4[[#This Row],[Wkd Earning]:[Arrears]])</f>
        <v>351712.5</v>
      </c>
      <c r="Z101" s="1">
        <f>0.05*Table4[[#This Row],[Total Earnings]]</f>
        <v>17585.625</v>
      </c>
      <c r="AA101" s="1">
        <f>Table4[[#This Row],[Total Earnings]]</f>
        <v>351712.5</v>
      </c>
      <c r="AB101" s="1">
        <f>Table4[[#This Row],[Gross Salary]]-Table4[[#This Row],[WHT]]</f>
        <v>334126.875</v>
      </c>
    </row>
    <row r="102" spans="1:28" x14ac:dyDescent="0.3">
      <c r="A102" t="s">
        <v>258</v>
      </c>
      <c r="B102" t="s">
        <v>259</v>
      </c>
      <c r="C102" t="s">
        <v>142</v>
      </c>
      <c r="D102" t="s">
        <v>40</v>
      </c>
      <c r="E102" t="s">
        <v>888</v>
      </c>
      <c r="F102" s="1">
        <v>10250</v>
      </c>
      <c r="G102">
        <v>45</v>
      </c>
      <c r="H102" t="s">
        <v>7</v>
      </c>
      <c r="I102">
        <v>22</v>
      </c>
      <c r="J102">
        <v>66</v>
      </c>
      <c r="K102">
        <v>52</v>
      </c>
      <c r="L102">
        <v>24</v>
      </c>
      <c r="M102">
        <v>14</v>
      </c>
      <c r="N102" s="1">
        <f>Table4[[#This Row],[Total Weekday]]*Table4[[#This Row],[Daily Rate]]</f>
        <v>225500</v>
      </c>
      <c r="O102" s="8">
        <f>Table4[[#This Row],[Daily Rate]]/8*1.5*Table4[[#This Row],[Weekday OVT]]</f>
        <v>126843.75</v>
      </c>
      <c r="P102" s="1">
        <f>Table4[[#This Row],[Daily Rate]]/8*(1.5*Table4[[#This Row],[Total Saturday]])</f>
        <v>99937.5</v>
      </c>
      <c r="Q102" s="1">
        <f>Table4[[#This Row],[Daily Rate]]/8*(2*Table4[[#This Row],[Total Sunday]])</f>
        <v>61500</v>
      </c>
      <c r="R102" s="1">
        <f>2500*Table4[[#This Row],[Night Worked]]</f>
        <v>35000</v>
      </c>
      <c r="S102" s="1">
        <f>500*Table4[[#This Row],[Total Weekday]]</f>
        <v>11000</v>
      </c>
      <c r="Y102" s="1">
        <f>SUM(Table4[[#This Row],[Wkd Earning]:[Arrears]])</f>
        <v>559781.25</v>
      </c>
      <c r="Z102" s="1">
        <f>0.05*Table4[[#This Row],[Total Earnings]]</f>
        <v>27989.0625</v>
      </c>
      <c r="AA102" s="1">
        <f>Table4[[#This Row],[Total Earnings]]</f>
        <v>559781.25</v>
      </c>
      <c r="AB102" s="1">
        <f>Table4[[#This Row],[Gross Salary]]-Table4[[#This Row],[WHT]]</f>
        <v>531792.1875</v>
      </c>
    </row>
    <row r="103" spans="1:28" x14ac:dyDescent="0.3">
      <c r="A103" t="s">
        <v>274</v>
      </c>
      <c r="B103" t="s">
        <v>276</v>
      </c>
      <c r="C103" t="s">
        <v>275</v>
      </c>
      <c r="D103" t="s">
        <v>12</v>
      </c>
      <c r="E103" t="s">
        <v>888</v>
      </c>
      <c r="F103" s="1">
        <v>10250</v>
      </c>
      <c r="G103">
        <v>50</v>
      </c>
      <c r="H103" t="s">
        <v>7</v>
      </c>
      <c r="I103">
        <v>22</v>
      </c>
      <c r="J103">
        <v>68</v>
      </c>
      <c r="K103">
        <v>52</v>
      </c>
      <c r="L103">
        <v>37</v>
      </c>
      <c r="M103">
        <v>0</v>
      </c>
      <c r="N103" s="1">
        <f>Table4[[#This Row],[Total Weekday]]*Table4[[#This Row],[Daily Rate]]</f>
        <v>225500</v>
      </c>
      <c r="O103" s="8">
        <f>Table4[[#This Row],[Daily Rate]]/8*1.5*Table4[[#This Row],[Weekday OVT]]</f>
        <v>130687.5</v>
      </c>
      <c r="P103" s="1">
        <f>Table4[[#This Row],[Daily Rate]]/8*(1.5*Table4[[#This Row],[Total Saturday]])</f>
        <v>99937.5</v>
      </c>
      <c r="Q103" s="1">
        <f>Table4[[#This Row],[Daily Rate]]/8*(2*Table4[[#This Row],[Total Sunday]])</f>
        <v>94812.5</v>
      </c>
      <c r="R103" s="1">
        <f>2500*Table4[[#This Row],[Night Worked]]</f>
        <v>0</v>
      </c>
      <c r="S103" s="1">
        <f>500*Table4[[#This Row],[Total Weekday]]</f>
        <v>11000</v>
      </c>
      <c r="Y103" s="1">
        <f>SUM(Table4[[#This Row],[Wkd Earning]:[Arrears]])</f>
        <v>561937.5</v>
      </c>
      <c r="Z103" s="1">
        <f>0.05*Table4[[#This Row],[Total Earnings]]</f>
        <v>28096.875</v>
      </c>
      <c r="AA103" s="1">
        <f>Table4[[#This Row],[Total Earnings]]</f>
        <v>561937.5</v>
      </c>
      <c r="AB103" s="1">
        <f>Table4[[#This Row],[Gross Salary]]-Table4[[#This Row],[WHT]]</f>
        <v>533840.625</v>
      </c>
    </row>
    <row r="104" spans="1:28" x14ac:dyDescent="0.3">
      <c r="A104" t="s">
        <v>293</v>
      </c>
      <c r="B104" t="s">
        <v>295</v>
      </c>
      <c r="C104" t="s">
        <v>294</v>
      </c>
      <c r="D104" t="s">
        <v>154</v>
      </c>
      <c r="E104" t="s">
        <v>888</v>
      </c>
      <c r="F104" s="1">
        <v>14050</v>
      </c>
      <c r="G104">
        <v>49</v>
      </c>
      <c r="H104" t="s">
        <v>7</v>
      </c>
      <c r="I104">
        <v>22</v>
      </c>
      <c r="J104">
        <v>0</v>
      </c>
      <c r="K104">
        <v>24</v>
      </c>
      <c r="L104">
        <v>8</v>
      </c>
      <c r="M104">
        <v>0</v>
      </c>
      <c r="N104" s="1">
        <f>Table4[[#This Row],[Total Weekday]]*Table4[[#This Row],[Daily Rate]]</f>
        <v>309100</v>
      </c>
      <c r="O104" s="8">
        <f>Table4[[#This Row],[Daily Rate]]/8*1.5*Table4[[#This Row],[Weekday OVT]]</f>
        <v>0</v>
      </c>
      <c r="P104" s="1">
        <f>Table4[[#This Row],[Daily Rate]]/8*(1.5*Table4[[#This Row],[Total Saturday]])</f>
        <v>63225</v>
      </c>
      <c r="Q104" s="1">
        <f>Table4[[#This Row],[Daily Rate]]/8*(2*Table4[[#This Row],[Total Sunday]])</f>
        <v>28100</v>
      </c>
      <c r="R104" s="1">
        <f>2500*Table4[[#This Row],[Night Worked]]</f>
        <v>0</v>
      </c>
      <c r="S104" s="1">
        <f>500*Table4[[#This Row],[Total Weekday]]</f>
        <v>11000</v>
      </c>
      <c r="Y104" s="1">
        <f>SUM(Table4[[#This Row],[Wkd Earning]:[Arrears]])</f>
        <v>411425</v>
      </c>
      <c r="Z104" s="1">
        <f>0.05*Table4[[#This Row],[Total Earnings]]</f>
        <v>20571.25</v>
      </c>
      <c r="AA104" s="1">
        <f>Table4[[#This Row],[Total Earnings]]</f>
        <v>411425</v>
      </c>
      <c r="AB104" s="1">
        <f>Table4[[#This Row],[Gross Salary]]-Table4[[#This Row],[WHT]]</f>
        <v>390853.75</v>
      </c>
    </row>
    <row r="105" spans="1:28" x14ac:dyDescent="0.3">
      <c r="A105" t="s">
        <v>296</v>
      </c>
      <c r="B105" t="s">
        <v>245</v>
      </c>
      <c r="C105" t="s">
        <v>297</v>
      </c>
      <c r="D105" t="s">
        <v>154</v>
      </c>
      <c r="E105" t="s">
        <v>888</v>
      </c>
      <c r="F105" s="1">
        <v>14050</v>
      </c>
      <c r="G105">
        <v>71</v>
      </c>
      <c r="H105" t="s">
        <v>7</v>
      </c>
      <c r="I105">
        <v>22</v>
      </c>
      <c r="J105">
        <v>0</v>
      </c>
      <c r="K105">
        <v>18</v>
      </c>
      <c r="L105">
        <v>0</v>
      </c>
      <c r="M105">
        <v>0</v>
      </c>
      <c r="N105" s="1">
        <f>Table4[[#This Row],[Total Weekday]]*Table4[[#This Row],[Daily Rate]]</f>
        <v>309100</v>
      </c>
      <c r="O105" s="8">
        <f>Table4[[#This Row],[Daily Rate]]/8*1.5*Table4[[#This Row],[Weekday OVT]]</f>
        <v>0</v>
      </c>
      <c r="P105" s="1">
        <f>Table4[[#This Row],[Daily Rate]]/8*(1.5*Table4[[#This Row],[Total Saturday]])</f>
        <v>47418.75</v>
      </c>
      <c r="Q105" s="1">
        <f>Table4[[#This Row],[Daily Rate]]/8*(2*Table4[[#This Row],[Total Sunday]])</f>
        <v>0</v>
      </c>
      <c r="R105" s="1">
        <f>2500*Table4[[#This Row],[Night Worked]]</f>
        <v>0</v>
      </c>
      <c r="S105" s="1">
        <f>500*Table4[[#This Row],[Total Weekday]]</f>
        <v>11000</v>
      </c>
      <c r="Y105" s="1">
        <f>SUM(Table4[[#This Row],[Wkd Earning]:[Arrears]])</f>
        <v>367518.75</v>
      </c>
      <c r="Z105" s="1">
        <f>0.05*Table4[[#This Row],[Total Earnings]]</f>
        <v>18375.9375</v>
      </c>
      <c r="AA105" s="1">
        <f>Table4[[#This Row],[Total Earnings]]</f>
        <v>367518.75</v>
      </c>
      <c r="AB105" s="1">
        <f>Table4[[#This Row],[Gross Salary]]-Table4[[#This Row],[WHT]]</f>
        <v>349142.8125</v>
      </c>
    </row>
    <row r="106" spans="1:28" x14ac:dyDescent="0.3">
      <c r="A106" t="s">
        <v>313</v>
      </c>
      <c r="B106" t="s">
        <v>315</v>
      </c>
      <c r="C106" t="s">
        <v>314</v>
      </c>
      <c r="D106" t="s">
        <v>273</v>
      </c>
      <c r="E106" t="s">
        <v>888</v>
      </c>
      <c r="F106" s="1">
        <v>11575</v>
      </c>
      <c r="G106">
        <v>43</v>
      </c>
      <c r="H106" t="s">
        <v>7</v>
      </c>
      <c r="I106">
        <v>22</v>
      </c>
      <c r="J106">
        <v>0</v>
      </c>
      <c r="K106">
        <v>24</v>
      </c>
      <c r="L106">
        <v>0</v>
      </c>
      <c r="M106">
        <v>0</v>
      </c>
      <c r="N106" s="1">
        <f>Table4[[#This Row],[Total Weekday]]*Table4[[#This Row],[Daily Rate]]</f>
        <v>254650</v>
      </c>
      <c r="O106" s="8">
        <f>Table4[[#This Row],[Daily Rate]]/8*1.5*Table4[[#This Row],[Weekday OVT]]</f>
        <v>0</v>
      </c>
      <c r="P106" s="1">
        <f>Table4[[#This Row],[Daily Rate]]/8*(1.5*Table4[[#This Row],[Total Saturday]])</f>
        <v>52087.5</v>
      </c>
      <c r="Q106" s="1">
        <f>Table4[[#This Row],[Daily Rate]]/8*(2*Table4[[#This Row],[Total Sunday]])</f>
        <v>0</v>
      </c>
      <c r="R106" s="1">
        <f>2500*Table4[[#This Row],[Night Worked]]</f>
        <v>0</v>
      </c>
      <c r="S106" s="1">
        <f>500*Table4[[#This Row],[Total Weekday]]</f>
        <v>11000</v>
      </c>
      <c r="Y106" s="1">
        <f>SUM(Table4[[#This Row],[Wkd Earning]:[Arrears]])</f>
        <v>317737.5</v>
      </c>
      <c r="Z106" s="1">
        <f>0.05*Table4[[#This Row],[Total Earnings]]</f>
        <v>15886.875</v>
      </c>
      <c r="AA106" s="1">
        <f>Table4[[#This Row],[Total Earnings]]</f>
        <v>317737.5</v>
      </c>
      <c r="AB106" s="1">
        <f>Table4[[#This Row],[Gross Salary]]-Table4[[#This Row],[WHT]]</f>
        <v>301850.625</v>
      </c>
    </row>
    <row r="107" spans="1:28" x14ac:dyDescent="0.3">
      <c r="A107" t="s">
        <v>318</v>
      </c>
      <c r="B107" t="s">
        <v>319</v>
      </c>
      <c r="C107" t="s">
        <v>317</v>
      </c>
      <c r="D107" t="s">
        <v>12</v>
      </c>
      <c r="E107" t="s">
        <v>888</v>
      </c>
      <c r="F107" s="1">
        <v>10250</v>
      </c>
      <c r="G107">
        <v>30</v>
      </c>
      <c r="H107" t="s">
        <v>7</v>
      </c>
      <c r="I107">
        <v>22</v>
      </c>
      <c r="J107">
        <v>59</v>
      </c>
      <c r="K107">
        <v>51</v>
      </c>
      <c r="L107">
        <v>22</v>
      </c>
      <c r="M107">
        <v>7</v>
      </c>
      <c r="N107" s="1">
        <f>Table4[[#This Row],[Total Weekday]]*Table4[[#This Row],[Daily Rate]]</f>
        <v>225500</v>
      </c>
      <c r="O107" s="8">
        <f>Table4[[#This Row],[Daily Rate]]/8*1.5*Table4[[#This Row],[Weekday OVT]]</f>
        <v>113390.625</v>
      </c>
      <c r="P107" s="1">
        <f>Table4[[#This Row],[Daily Rate]]/8*(1.5*Table4[[#This Row],[Total Saturday]])</f>
        <v>98015.625</v>
      </c>
      <c r="Q107" s="1">
        <f>Table4[[#This Row],[Daily Rate]]/8*(2*Table4[[#This Row],[Total Sunday]])</f>
        <v>56375</v>
      </c>
      <c r="R107" s="1">
        <f>2500*Table4[[#This Row],[Night Worked]]</f>
        <v>17500</v>
      </c>
      <c r="S107" s="1">
        <f>500*Table4[[#This Row],[Total Weekday]]</f>
        <v>11000</v>
      </c>
      <c r="Y107" s="1">
        <f>SUM(Table4[[#This Row],[Wkd Earning]:[Arrears]])</f>
        <v>521781.25</v>
      </c>
      <c r="Z107" s="1">
        <f>0.05*Table4[[#This Row],[Total Earnings]]</f>
        <v>26089.0625</v>
      </c>
      <c r="AA107" s="1">
        <f>Table4[[#This Row],[Total Earnings]]</f>
        <v>521781.25</v>
      </c>
      <c r="AB107" s="1">
        <f>Table4[[#This Row],[Gross Salary]]-Table4[[#This Row],[WHT]]</f>
        <v>495692.1875</v>
      </c>
    </row>
    <row r="108" spans="1:28" x14ac:dyDescent="0.3">
      <c r="A108" t="s">
        <v>323</v>
      </c>
      <c r="B108" t="s">
        <v>306</v>
      </c>
      <c r="C108" t="s">
        <v>324</v>
      </c>
      <c r="D108" t="s">
        <v>50</v>
      </c>
      <c r="E108" t="s">
        <v>888</v>
      </c>
      <c r="F108" s="1">
        <v>19800</v>
      </c>
      <c r="G108">
        <v>46</v>
      </c>
      <c r="H108" t="s">
        <v>7</v>
      </c>
      <c r="I108">
        <v>22</v>
      </c>
      <c r="J108">
        <v>20</v>
      </c>
      <c r="K108">
        <v>24</v>
      </c>
      <c r="L108">
        <v>0</v>
      </c>
      <c r="M108">
        <v>0</v>
      </c>
      <c r="N108" s="1">
        <f>Table4[[#This Row],[Total Weekday]]*Table4[[#This Row],[Daily Rate]]</f>
        <v>435600</v>
      </c>
      <c r="O108" s="8">
        <f>Table4[[#This Row],[Daily Rate]]/8*1.5*Table4[[#This Row],[Weekday OVT]]</f>
        <v>74250</v>
      </c>
      <c r="P108" s="1">
        <f>Table4[[#This Row],[Daily Rate]]/8*(1.5*Table4[[#This Row],[Total Saturday]])</f>
        <v>89100</v>
      </c>
      <c r="Q108" s="1">
        <f>Table4[[#This Row],[Daily Rate]]/8*(2*Table4[[#This Row],[Total Sunday]])</f>
        <v>0</v>
      </c>
      <c r="R108" s="1">
        <f>2500*Table4[[#This Row],[Night Worked]]</f>
        <v>0</v>
      </c>
      <c r="S108" s="1">
        <f>500*Table4[[#This Row],[Total Weekday]]</f>
        <v>11000</v>
      </c>
      <c r="Y108" s="1">
        <f>SUM(Table4[[#This Row],[Wkd Earning]:[Arrears]])</f>
        <v>609950</v>
      </c>
      <c r="Z108" s="1">
        <f>0.05*Table4[[#This Row],[Total Earnings]]</f>
        <v>30497.5</v>
      </c>
      <c r="AA108" s="1">
        <f>Table4[[#This Row],[Total Earnings]]</f>
        <v>609950</v>
      </c>
      <c r="AB108" s="1">
        <f>Table4[[#This Row],[Gross Salary]]-Table4[[#This Row],[WHT]]</f>
        <v>579452.5</v>
      </c>
    </row>
    <row r="109" spans="1:28" x14ac:dyDescent="0.3">
      <c r="A109" t="s">
        <v>341</v>
      </c>
      <c r="B109" t="s">
        <v>317</v>
      </c>
      <c r="C109" t="s">
        <v>342</v>
      </c>
      <c r="D109" t="s">
        <v>273</v>
      </c>
      <c r="E109" t="s">
        <v>888</v>
      </c>
      <c r="F109" s="1">
        <v>13150</v>
      </c>
      <c r="G109">
        <v>63</v>
      </c>
      <c r="H109" t="s">
        <v>7</v>
      </c>
      <c r="I109">
        <v>22</v>
      </c>
      <c r="J109">
        <v>0</v>
      </c>
      <c r="K109">
        <v>18</v>
      </c>
      <c r="L109">
        <v>6</v>
      </c>
      <c r="M109">
        <v>0</v>
      </c>
      <c r="N109" s="1">
        <f>Table4[[#This Row],[Total Weekday]]*Table4[[#This Row],[Daily Rate]]</f>
        <v>289300</v>
      </c>
      <c r="O109" s="8">
        <f>Table4[[#This Row],[Daily Rate]]/8*1.5*Table4[[#This Row],[Weekday OVT]]</f>
        <v>0</v>
      </c>
      <c r="P109" s="1">
        <f>Table4[[#This Row],[Daily Rate]]/8*(1.5*Table4[[#This Row],[Total Saturday]])</f>
        <v>44381.25</v>
      </c>
      <c r="Q109" s="1">
        <f>Table4[[#This Row],[Daily Rate]]/8*(2*Table4[[#This Row],[Total Sunday]])</f>
        <v>19725</v>
      </c>
      <c r="R109" s="1">
        <f>2500*Table4[[#This Row],[Night Worked]]</f>
        <v>0</v>
      </c>
      <c r="S109" s="1">
        <f>500*Table4[[#This Row],[Total Weekday]]</f>
        <v>11000</v>
      </c>
      <c r="Y109" s="1">
        <f>SUM(Table4[[#This Row],[Wkd Earning]:[Arrears]])</f>
        <v>364406.25</v>
      </c>
      <c r="Z109" s="1">
        <f>0.05*Table4[[#This Row],[Total Earnings]]</f>
        <v>18220.3125</v>
      </c>
      <c r="AA109" s="1">
        <f>Table4[[#This Row],[Total Earnings]]</f>
        <v>364406.25</v>
      </c>
      <c r="AB109" s="1">
        <f>Table4[[#This Row],[Gross Salary]]-Table4[[#This Row],[WHT]]</f>
        <v>346185.9375</v>
      </c>
    </row>
    <row r="110" spans="1:28" x14ac:dyDescent="0.3">
      <c r="A110" t="s">
        <v>343</v>
      </c>
      <c r="B110" t="s">
        <v>345</v>
      </c>
      <c r="C110" t="s">
        <v>344</v>
      </c>
      <c r="D110" t="s">
        <v>12</v>
      </c>
      <c r="E110" t="s">
        <v>888</v>
      </c>
      <c r="F110" s="1">
        <v>10250</v>
      </c>
      <c r="G110">
        <v>48</v>
      </c>
      <c r="H110" t="s">
        <v>7</v>
      </c>
      <c r="I110">
        <v>22</v>
      </c>
      <c r="J110">
        <v>60</v>
      </c>
      <c r="K110">
        <v>53</v>
      </c>
      <c r="L110">
        <v>28</v>
      </c>
      <c r="M110">
        <v>13</v>
      </c>
      <c r="N110" s="1">
        <f>Table4[[#This Row],[Total Weekday]]*Table4[[#This Row],[Daily Rate]]</f>
        <v>225500</v>
      </c>
      <c r="O110" s="8">
        <f>Table4[[#This Row],[Daily Rate]]/8*1.5*Table4[[#This Row],[Weekday OVT]]</f>
        <v>115312.5</v>
      </c>
      <c r="P110" s="1">
        <f>Table4[[#This Row],[Daily Rate]]/8*(1.5*Table4[[#This Row],[Total Saturday]])</f>
        <v>101859.375</v>
      </c>
      <c r="Q110" s="1">
        <f>Table4[[#This Row],[Daily Rate]]/8*(2*Table4[[#This Row],[Total Sunday]])</f>
        <v>71750</v>
      </c>
      <c r="R110" s="1">
        <f>2500*Table4[[#This Row],[Night Worked]]</f>
        <v>32500</v>
      </c>
      <c r="S110" s="1">
        <f>500*Table4[[#This Row],[Total Weekday]]</f>
        <v>11000</v>
      </c>
      <c r="Y110" s="1">
        <f>SUM(Table4[[#This Row],[Wkd Earning]:[Arrears]])</f>
        <v>557921.875</v>
      </c>
      <c r="Z110" s="1">
        <f>0.05*Table4[[#This Row],[Total Earnings]]</f>
        <v>27896.09375</v>
      </c>
      <c r="AA110" s="1">
        <f>Table4[[#This Row],[Total Earnings]]</f>
        <v>557921.875</v>
      </c>
      <c r="AB110" s="1">
        <f>Table4[[#This Row],[Gross Salary]]-Table4[[#This Row],[WHT]]</f>
        <v>530025.78125</v>
      </c>
    </row>
    <row r="111" spans="1:28" x14ac:dyDescent="0.3">
      <c r="A111" t="s">
        <v>360</v>
      </c>
      <c r="B111" t="s">
        <v>227</v>
      </c>
      <c r="C111" t="s">
        <v>263</v>
      </c>
      <c r="D111" t="s">
        <v>172</v>
      </c>
      <c r="E111" t="s">
        <v>888</v>
      </c>
      <c r="F111" s="1">
        <v>13150</v>
      </c>
      <c r="G111">
        <v>58</v>
      </c>
      <c r="H111" t="s">
        <v>7</v>
      </c>
      <c r="I111">
        <v>21</v>
      </c>
      <c r="J111">
        <v>15</v>
      </c>
      <c r="K111">
        <v>12</v>
      </c>
      <c r="L111">
        <v>0</v>
      </c>
      <c r="M111">
        <v>0</v>
      </c>
      <c r="N111" s="1">
        <f>Table4[[#This Row],[Total Weekday]]*Table4[[#This Row],[Daily Rate]]</f>
        <v>276150</v>
      </c>
      <c r="O111" s="8">
        <f>Table4[[#This Row],[Daily Rate]]/8*1.5*Table4[[#This Row],[Weekday OVT]]</f>
        <v>36984.375</v>
      </c>
      <c r="P111" s="1">
        <f>Table4[[#This Row],[Daily Rate]]/8*(1.5*Table4[[#This Row],[Total Saturday]])</f>
        <v>29587.5</v>
      </c>
      <c r="Q111" s="1">
        <f>Table4[[#This Row],[Daily Rate]]/8*(2*Table4[[#This Row],[Total Sunday]])</f>
        <v>0</v>
      </c>
      <c r="R111" s="1">
        <f>2500*Table4[[#This Row],[Night Worked]]</f>
        <v>0</v>
      </c>
      <c r="S111" s="1">
        <f>500*Table4[[#This Row],[Total Weekday]]</f>
        <v>10500</v>
      </c>
      <c r="Y111" s="1">
        <f>SUM(Table4[[#This Row],[Wkd Earning]:[Arrears]])</f>
        <v>353221.875</v>
      </c>
      <c r="Z111" s="1">
        <f>0.05*Table4[[#This Row],[Total Earnings]]</f>
        <v>17661.09375</v>
      </c>
      <c r="AA111" s="1">
        <f>Table4[[#This Row],[Total Earnings]]</f>
        <v>353221.875</v>
      </c>
      <c r="AB111" s="1">
        <f>Table4[[#This Row],[Gross Salary]]-Table4[[#This Row],[WHT]]</f>
        <v>335560.78125</v>
      </c>
    </row>
    <row r="112" spans="1:28" x14ac:dyDescent="0.3">
      <c r="A112" t="s">
        <v>366</v>
      </c>
      <c r="B112" t="s">
        <v>368</v>
      </c>
      <c r="C112" t="s">
        <v>367</v>
      </c>
      <c r="D112" t="s">
        <v>40</v>
      </c>
      <c r="E112" t="s">
        <v>888</v>
      </c>
      <c r="F112" s="1">
        <v>10250</v>
      </c>
      <c r="G112">
        <v>47</v>
      </c>
      <c r="H112" t="s">
        <v>7</v>
      </c>
      <c r="I112">
        <v>22</v>
      </c>
      <c r="J112">
        <v>71</v>
      </c>
      <c r="K112">
        <v>56</v>
      </c>
      <c r="L112">
        <v>18</v>
      </c>
      <c r="M112">
        <v>16</v>
      </c>
      <c r="N112" s="1">
        <f>Table4[[#This Row],[Total Weekday]]*Table4[[#This Row],[Daily Rate]]</f>
        <v>225500</v>
      </c>
      <c r="O112" s="8">
        <f>Table4[[#This Row],[Daily Rate]]/8*1.5*Table4[[#This Row],[Weekday OVT]]</f>
        <v>136453.125</v>
      </c>
      <c r="P112" s="1">
        <f>Table4[[#This Row],[Daily Rate]]/8*(1.5*Table4[[#This Row],[Total Saturday]])</f>
        <v>107625</v>
      </c>
      <c r="Q112" s="1">
        <f>Table4[[#This Row],[Daily Rate]]/8*(2*Table4[[#This Row],[Total Sunday]])</f>
        <v>46125</v>
      </c>
      <c r="R112" s="1">
        <f>2500*Table4[[#This Row],[Night Worked]]</f>
        <v>40000</v>
      </c>
      <c r="S112" s="1">
        <f>500*Table4[[#This Row],[Total Weekday]]</f>
        <v>11000</v>
      </c>
      <c r="Y112" s="1">
        <f>SUM(Table4[[#This Row],[Wkd Earning]:[Arrears]])</f>
        <v>566703.125</v>
      </c>
      <c r="Z112" s="1">
        <f>0.05*Table4[[#This Row],[Total Earnings]]</f>
        <v>28335.15625</v>
      </c>
      <c r="AA112" s="1">
        <f>Table4[[#This Row],[Total Earnings]]</f>
        <v>566703.125</v>
      </c>
      <c r="AB112" s="1">
        <f>Table4[[#This Row],[Gross Salary]]-Table4[[#This Row],[WHT]]</f>
        <v>538367.96875</v>
      </c>
    </row>
    <row r="113" spans="1:28" x14ac:dyDescent="0.3">
      <c r="A113" t="s">
        <v>369</v>
      </c>
      <c r="B113" t="s">
        <v>203</v>
      </c>
      <c r="C113" t="s">
        <v>370</v>
      </c>
      <c r="D113" t="s">
        <v>273</v>
      </c>
      <c r="E113" t="s">
        <v>888</v>
      </c>
      <c r="F113" s="1">
        <v>11575</v>
      </c>
      <c r="G113">
        <v>59</v>
      </c>
      <c r="H113" t="s">
        <v>7</v>
      </c>
      <c r="I113">
        <v>22</v>
      </c>
      <c r="J113">
        <v>2</v>
      </c>
      <c r="K113">
        <v>18</v>
      </c>
      <c r="L113">
        <v>0</v>
      </c>
      <c r="M113">
        <v>0</v>
      </c>
      <c r="N113" s="1">
        <f>Table4[[#This Row],[Total Weekday]]*Table4[[#This Row],[Daily Rate]]</f>
        <v>254650</v>
      </c>
      <c r="O113" s="8">
        <f>Table4[[#This Row],[Daily Rate]]/8*1.5*Table4[[#This Row],[Weekday OVT]]</f>
        <v>4340.625</v>
      </c>
      <c r="P113" s="1">
        <f>Table4[[#This Row],[Daily Rate]]/8*(1.5*Table4[[#This Row],[Total Saturday]])</f>
        <v>39065.625</v>
      </c>
      <c r="Q113" s="1">
        <f>Table4[[#This Row],[Daily Rate]]/8*(2*Table4[[#This Row],[Total Sunday]])</f>
        <v>0</v>
      </c>
      <c r="R113" s="1">
        <f>2500*Table4[[#This Row],[Night Worked]]</f>
        <v>0</v>
      </c>
      <c r="S113" s="1">
        <f>500*Table4[[#This Row],[Total Weekday]]</f>
        <v>11000</v>
      </c>
      <c r="Y113" s="1">
        <f>SUM(Table4[[#This Row],[Wkd Earning]:[Arrears]])</f>
        <v>309056.25</v>
      </c>
      <c r="Z113" s="1">
        <f>0.05*Table4[[#This Row],[Total Earnings]]</f>
        <v>15452.8125</v>
      </c>
      <c r="AA113" s="1">
        <f>Table4[[#This Row],[Total Earnings]]</f>
        <v>309056.25</v>
      </c>
      <c r="AB113" s="1">
        <f>Table4[[#This Row],[Gross Salary]]-Table4[[#This Row],[WHT]]</f>
        <v>293603.4375</v>
      </c>
    </row>
    <row r="114" spans="1:28" x14ac:dyDescent="0.3">
      <c r="A114" t="s">
        <v>371</v>
      </c>
      <c r="B114" t="s">
        <v>347</v>
      </c>
      <c r="C114" t="s">
        <v>372</v>
      </c>
      <c r="D114" t="s">
        <v>373</v>
      </c>
      <c r="E114" t="s">
        <v>888</v>
      </c>
      <c r="F114" s="1">
        <v>8600</v>
      </c>
      <c r="G114">
        <v>46</v>
      </c>
      <c r="H114" t="s">
        <v>7</v>
      </c>
      <c r="I114">
        <v>22</v>
      </c>
      <c r="J114">
        <v>27</v>
      </c>
      <c r="K114">
        <v>38</v>
      </c>
      <c r="L114">
        <v>31</v>
      </c>
      <c r="M114">
        <v>0</v>
      </c>
      <c r="N114" s="1">
        <f>Table4[[#This Row],[Total Weekday]]*Table4[[#This Row],[Daily Rate]]</f>
        <v>189200</v>
      </c>
      <c r="O114" s="8">
        <f>Table4[[#This Row],[Daily Rate]]/8*1.5*Table4[[#This Row],[Weekday OVT]]</f>
        <v>43537.5</v>
      </c>
      <c r="P114" s="1">
        <f>Table4[[#This Row],[Daily Rate]]/8*(1.5*Table4[[#This Row],[Total Saturday]])</f>
        <v>61275</v>
      </c>
      <c r="Q114" s="1">
        <f>Table4[[#This Row],[Daily Rate]]/8*(2*Table4[[#This Row],[Total Sunday]])</f>
        <v>66650</v>
      </c>
      <c r="R114" s="1">
        <f>2500*Table4[[#This Row],[Night Worked]]</f>
        <v>0</v>
      </c>
      <c r="S114" s="1">
        <f>500*Table4[[#This Row],[Total Weekday]]</f>
        <v>11000</v>
      </c>
      <c r="Y114" s="1">
        <f>SUM(Table4[[#This Row],[Wkd Earning]:[Arrears]])</f>
        <v>371662.5</v>
      </c>
      <c r="Z114" s="1">
        <f>0.05*Table4[[#This Row],[Total Earnings]]</f>
        <v>18583.125</v>
      </c>
      <c r="AA114" s="1">
        <f>Table4[[#This Row],[Total Earnings]]</f>
        <v>371662.5</v>
      </c>
      <c r="AB114" s="1">
        <f>Table4[[#This Row],[Gross Salary]]-Table4[[#This Row],[WHT]]</f>
        <v>353079.375</v>
      </c>
    </row>
    <row r="115" spans="1:28" x14ac:dyDescent="0.3">
      <c r="A115" t="s">
        <v>375</v>
      </c>
      <c r="B115" t="s">
        <v>377</v>
      </c>
      <c r="C115" t="s">
        <v>376</v>
      </c>
      <c r="D115" t="s">
        <v>37</v>
      </c>
      <c r="E115" t="s">
        <v>888</v>
      </c>
      <c r="F115" s="1">
        <v>12750</v>
      </c>
      <c r="G115">
        <v>40</v>
      </c>
      <c r="H115" t="s">
        <v>7</v>
      </c>
      <c r="I115">
        <v>22</v>
      </c>
      <c r="J115">
        <v>6</v>
      </c>
      <c r="K115">
        <v>24</v>
      </c>
      <c r="L115">
        <v>6</v>
      </c>
      <c r="M115">
        <v>0</v>
      </c>
      <c r="N115" s="1">
        <f>Table4[[#This Row],[Total Weekday]]*Table4[[#This Row],[Daily Rate]]</f>
        <v>280500</v>
      </c>
      <c r="O115" s="8">
        <f>Table4[[#This Row],[Daily Rate]]/8*1.5*Table4[[#This Row],[Weekday OVT]]</f>
        <v>14343.75</v>
      </c>
      <c r="P115" s="1">
        <f>Table4[[#This Row],[Daily Rate]]/8*(1.5*Table4[[#This Row],[Total Saturday]])</f>
        <v>57375</v>
      </c>
      <c r="Q115" s="1">
        <f>Table4[[#This Row],[Daily Rate]]/8*(2*Table4[[#This Row],[Total Sunday]])</f>
        <v>19125</v>
      </c>
      <c r="R115" s="1">
        <f>2500*Table4[[#This Row],[Night Worked]]</f>
        <v>0</v>
      </c>
      <c r="S115" s="1">
        <f>500*Table4[[#This Row],[Total Weekday]]</f>
        <v>11000</v>
      </c>
      <c r="Y115" s="1">
        <f>SUM(Table4[[#This Row],[Wkd Earning]:[Arrears]])</f>
        <v>382343.75</v>
      </c>
      <c r="Z115" s="1">
        <f>0.05*Table4[[#This Row],[Total Earnings]]</f>
        <v>19117.1875</v>
      </c>
      <c r="AA115" s="1">
        <f>Table4[[#This Row],[Total Earnings]]</f>
        <v>382343.75</v>
      </c>
      <c r="AB115" s="1">
        <f>Table4[[#This Row],[Gross Salary]]-Table4[[#This Row],[WHT]]</f>
        <v>363226.5625</v>
      </c>
    </row>
    <row r="116" spans="1:28" x14ac:dyDescent="0.3">
      <c r="A116" t="s">
        <v>378</v>
      </c>
      <c r="B116" t="s">
        <v>345</v>
      </c>
      <c r="C116" t="s">
        <v>201</v>
      </c>
      <c r="D116" t="s">
        <v>154</v>
      </c>
      <c r="E116" t="s">
        <v>888</v>
      </c>
      <c r="F116" s="1">
        <v>14050</v>
      </c>
      <c r="G116">
        <v>54</v>
      </c>
      <c r="H116" t="s">
        <v>7</v>
      </c>
      <c r="I116">
        <v>22</v>
      </c>
      <c r="J116">
        <v>2</v>
      </c>
      <c r="K116">
        <v>18</v>
      </c>
      <c r="L116">
        <v>0</v>
      </c>
      <c r="M116">
        <v>0</v>
      </c>
      <c r="N116" s="1">
        <f>Table4[[#This Row],[Total Weekday]]*Table4[[#This Row],[Daily Rate]]</f>
        <v>309100</v>
      </c>
      <c r="O116" s="8">
        <f>Table4[[#This Row],[Daily Rate]]/8*1.5*Table4[[#This Row],[Weekday OVT]]</f>
        <v>5268.75</v>
      </c>
      <c r="P116" s="1">
        <f>Table4[[#This Row],[Daily Rate]]/8*(1.5*Table4[[#This Row],[Total Saturday]])</f>
        <v>47418.75</v>
      </c>
      <c r="Q116" s="1">
        <f>Table4[[#This Row],[Daily Rate]]/8*(2*Table4[[#This Row],[Total Sunday]])</f>
        <v>0</v>
      </c>
      <c r="R116" s="1">
        <f>2500*Table4[[#This Row],[Night Worked]]</f>
        <v>0</v>
      </c>
      <c r="S116" s="1">
        <f>500*Table4[[#This Row],[Total Weekday]]</f>
        <v>11000</v>
      </c>
      <c r="Y116" s="1">
        <f>SUM(Table4[[#This Row],[Wkd Earning]:[Arrears]])</f>
        <v>372787.5</v>
      </c>
      <c r="Z116" s="1">
        <f>0.05*Table4[[#This Row],[Total Earnings]]</f>
        <v>18639.375</v>
      </c>
      <c r="AA116" s="1">
        <f>Table4[[#This Row],[Total Earnings]]</f>
        <v>372787.5</v>
      </c>
      <c r="AB116" s="1">
        <f>Table4[[#This Row],[Gross Salary]]-Table4[[#This Row],[WHT]]</f>
        <v>354148.125</v>
      </c>
    </row>
    <row r="117" spans="1:28" x14ac:dyDescent="0.3">
      <c r="A117" t="s">
        <v>380</v>
      </c>
      <c r="B117" t="s">
        <v>160</v>
      </c>
      <c r="C117" t="s">
        <v>381</v>
      </c>
      <c r="D117" t="s">
        <v>161</v>
      </c>
      <c r="E117" t="s">
        <v>888</v>
      </c>
      <c r="F117" s="1">
        <v>13250</v>
      </c>
      <c r="G117">
        <v>63</v>
      </c>
      <c r="H117" t="s">
        <v>7</v>
      </c>
      <c r="I117">
        <v>22</v>
      </c>
      <c r="J117">
        <v>3</v>
      </c>
      <c r="K117">
        <v>0</v>
      </c>
      <c r="L117">
        <v>0</v>
      </c>
      <c r="M117">
        <v>0</v>
      </c>
      <c r="N117" s="1">
        <f>Table4[[#This Row],[Total Weekday]]*Table4[[#This Row],[Daily Rate]]</f>
        <v>291500</v>
      </c>
      <c r="O117" s="8">
        <f>Table4[[#This Row],[Daily Rate]]/8*1.5*Table4[[#This Row],[Weekday OVT]]</f>
        <v>7453.125</v>
      </c>
      <c r="P117" s="1">
        <f>Table4[[#This Row],[Daily Rate]]/8*(1.5*Table4[[#This Row],[Total Saturday]])</f>
        <v>0</v>
      </c>
      <c r="Q117" s="1">
        <f>Table4[[#This Row],[Daily Rate]]/8*(2*Table4[[#This Row],[Total Sunday]])</f>
        <v>0</v>
      </c>
      <c r="R117" s="1">
        <f>2500*Table4[[#This Row],[Night Worked]]</f>
        <v>0</v>
      </c>
      <c r="S117" s="1">
        <f>500*Table4[[#This Row],[Total Weekday]]</f>
        <v>11000</v>
      </c>
      <c r="Y117" s="1">
        <f>SUM(Table4[[#This Row],[Wkd Earning]:[Arrears]])</f>
        <v>309953.125</v>
      </c>
      <c r="Z117" s="1">
        <f>0.05*Table4[[#This Row],[Total Earnings]]</f>
        <v>15497.65625</v>
      </c>
      <c r="AA117" s="1">
        <f>Table4[[#This Row],[Total Earnings]]</f>
        <v>309953.125</v>
      </c>
      <c r="AB117" s="1">
        <f>Table4[[#This Row],[Gross Salary]]-Table4[[#This Row],[WHT]]</f>
        <v>294455.46875</v>
      </c>
    </row>
    <row r="118" spans="1:28" x14ac:dyDescent="0.3">
      <c r="A118" t="s">
        <v>382</v>
      </c>
      <c r="B118" t="s">
        <v>384</v>
      </c>
      <c r="C118" t="s">
        <v>383</v>
      </c>
      <c r="D118" t="s">
        <v>354</v>
      </c>
      <c r="E118" t="s">
        <v>888</v>
      </c>
      <c r="F118" s="1">
        <v>11750</v>
      </c>
      <c r="G118">
        <v>46</v>
      </c>
      <c r="H118" t="s">
        <v>7</v>
      </c>
      <c r="I118">
        <v>22</v>
      </c>
      <c r="J118">
        <v>0</v>
      </c>
      <c r="K118">
        <v>24</v>
      </c>
      <c r="L118">
        <v>0</v>
      </c>
      <c r="M118">
        <v>0</v>
      </c>
      <c r="N118" s="1">
        <f>Table4[[#This Row],[Total Weekday]]*Table4[[#This Row],[Daily Rate]]</f>
        <v>258500</v>
      </c>
      <c r="O118" s="8">
        <f>Table4[[#This Row],[Daily Rate]]/8*1.5*Table4[[#This Row],[Weekday OVT]]</f>
        <v>0</v>
      </c>
      <c r="P118" s="1">
        <f>Table4[[#This Row],[Daily Rate]]/8*(1.5*Table4[[#This Row],[Total Saturday]])</f>
        <v>52875</v>
      </c>
      <c r="Q118" s="1">
        <f>Table4[[#This Row],[Daily Rate]]/8*(2*Table4[[#This Row],[Total Sunday]])</f>
        <v>0</v>
      </c>
      <c r="R118" s="1">
        <f>2500*Table4[[#This Row],[Night Worked]]</f>
        <v>0</v>
      </c>
      <c r="S118" s="1">
        <f>500*Table4[[#This Row],[Total Weekday]]</f>
        <v>11000</v>
      </c>
      <c r="Y118" s="1">
        <f>SUM(Table4[[#This Row],[Wkd Earning]:[Arrears]])</f>
        <v>322375</v>
      </c>
      <c r="Z118" s="1">
        <f>0.05*Table4[[#This Row],[Total Earnings]]</f>
        <v>16118.75</v>
      </c>
      <c r="AA118" s="1">
        <f>Table4[[#This Row],[Total Earnings]]</f>
        <v>322375</v>
      </c>
      <c r="AB118" s="1">
        <f>Table4[[#This Row],[Gross Salary]]-Table4[[#This Row],[WHT]]</f>
        <v>306256.25</v>
      </c>
    </row>
    <row r="119" spans="1:28" x14ac:dyDescent="0.3">
      <c r="A119" t="s">
        <v>385</v>
      </c>
      <c r="B119" t="s">
        <v>387</v>
      </c>
      <c r="C119" t="s">
        <v>386</v>
      </c>
      <c r="D119" t="s">
        <v>354</v>
      </c>
      <c r="E119" t="s">
        <v>888</v>
      </c>
      <c r="F119" s="1">
        <v>11750</v>
      </c>
      <c r="G119">
        <v>44</v>
      </c>
      <c r="H119" t="s">
        <v>7</v>
      </c>
      <c r="I119">
        <v>22</v>
      </c>
      <c r="J119">
        <v>0</v>
      </c>
      <c r="K119">
        <v>0</v>
      </c>
      <c r="L119">
        <v>0</v>
      </c>
      <c r="M119">
        <v>0</v>
      </c>
      <c r="N119" s="1">
        <f>Table4[[#This Row],[Total Weekday]]*Table4[[#This Row],[Daily Rate]]</f>
        <v>258500</v>
      </c>
      <c r="O119" s="8">
        <f>Table4[[#This Row],[Daily Rate]]/8*1.5*Table4[[#This Row],[Weekday OVT]]</f>
        <v>0</v>
      </c>
      <c r="P119" s="1">
        <f>Table4[[#This Row],[Daily Rate]]/8*(1.5*Table4[[#This Row],[Total Saturday]])</f>
        <v>0</v>
      </c>
      <c r="Q119" s="1">
        <f>Table4[[#This Row],[Daily Rate]]/8*(2*Table4[[#This Row],[Total Sunday]])</f>
        <v>0</v>
      </c>
      <c r="R119" s="1">
        <f>2500*Table4[[#This Row],[Night Worked]]</f>
        <v>0</v>
      </c>
      <c r="S119" s="1">
        <f>500*Table4[[#This Row],[Total Weekday]]</f>
        <v>11000</v>
      </c>
      <c r="Y119" s="1">
        <f>SUM(Table4[[#This Row],[Wkd Earning]:[Arrears]])</f>
        <v>269500</v>
      </c>
      <c r="Z119" s="1">
        <f>0.05*Table4[[#This Row],[Total Earnings]]</f>
        <v>13475</v>
      </c>
      <c r="AA119" s="1">
        <f>Table4[[#This Row],[Total Earnings]]</f>
        <v>269500</v>
      </c>
      <c r="AB119" s="1">
        <f>Table4[[#This Row],[Gross Salary]]-Table4[[#This Row],[WHT]]</f>
        <v>256025</v>
      </c>
    </row>
    <row r="120" spans="1:28" x14ac:dyDescent="0.3">
      <c r="A120" t="s">
        <v>388</v>
      </c>
      <c r="B120" t="s">
        <v>240</v>
      </c>
      <c r="C120" t="s">
        <v>389</v>
      </c>
      <c r="D120" t="s">
        <v>354</v>
      </c>
      <c r="E120" t="s">
        <v>888</v>
      </c>
      <c r="F120" s="1">
        <v>11750</v>
      </c>
      <c r="G120">
        <v>38</v>
      </c>
      <c r="H120" t="s">
        <v>7</v>
      </c>
      <c r="I120">
        <v>22</v>
      </c>
      <c r="J120">
        <v>0</v>
      </c>
      <c r="K120">
        <v>0</v>
      </c>
      <c r="L120">
        <v>0</v>
      </c>
      <c r="M120">
        <v>0</v>
      </c>
      <c r="N120" s="1">
        <f>Table4[[#This Row],[Total Weekday]]*Table4[[#This Row],[Daily Rate]]</f>
        <v>258500</v>
      </c>
      <c r="O120" s="8">
        <f>Table4[[#This Row],[Daily Rate]]/8*1.5*Table4[[#This Row],[Weekday OVT]]</f>
        <v>0</v>
      </c>
      <c r="P120" s="1">
        <f>Table4[[#This Row],[Daily Rate]]/8*(1.5*Table4[[#This Row],[Total Saturday]])</f>
        <v>0</v>
      </c>
      <c r="Q120" s="1">
        <f>Table4[[#This Row],[Daily Rate]]/8*(2*Table4[[#This Row],[Total Sunday]])</f>
        <v>0</v>
      </c>
      <c r="R120" s="1">
        <f>2500*Table4[[#This Row],[Night Worked]]</f>
        <v>0</v>
      </c>
      <c r="S120" s="1">
        <f>500*Table4[[#This Row],[Total Weekday]]</f>
        <v>11000</v>
      </c>
      <c r="Y120" s="1">
        <f>SUM(Table4[[#This Row],[Wkd Earning]:[Arrears]])</f>
        <v>269500</v>
      </c>
      <c r="Z120" s="1">
        <f>0.05*Table4[[#This Row],[Total Earnings]]</f>
        <v>13475</v>
      </c>
      <c r="AA120" s="1">
        <f>Table4[[#This Row],[Total Earnings]]</f>
        <v>269500</v>
      </c>
      <c r="AB120" s="1">
        <f>Table4[[#This Row],[Gross Salary]]-Table4[[#This Row],[WHT]]</f>
        <v>256025</v>
      </c>
    </row>
    <row r="121" spans="1:28" x14ac:dyDescent="0.3">
      <c r="A121" t="s">
        <v>390</v>
      </c>
      <c r="B121" t="s">
        <v>392</v>
      </c>
      <c r="C121" t="s">
        <v>391</v>
      </c>
      <c r="D121" t="s">
        <v>354</v>
      </c>
      <c r="E121" t="s">
        <v>888</v>
      </c>
      <c r="F121" s="1">
        <v>11750</v>
      </c>
      <c r="G121">
        <v>43</v>
      </c>
      <c r="H121" t="s">
        <v>7</v>
      </c>
      <c r="I121">
        <v>22</v>
      </c>
      <c r="J121">
        <v>0</v>
      </c>
      <c r="K121">
        <v>0</v>
      </c>
      <c r="L121">
        <v>0</v>
      </c>
      <c r="M121">
        <v>0</v>
      </c>
      <c r="N121" s="1">
        <f>Table4[[#This Row],[Total Weekday]]*Table4[[#This Row],[Daily Rate]]</f>
        <v>258500</v>
      </c>
      <c r="O121" s="8">
        <f>Table4[[#This Row],[Daily Rate]]/8*1.5*Table4[[#This Row],[Weekday OVT]]</f>
        <v>0</v>
      </c>
      <c r="P121" s="1">
        <f>Table4[[#This Row],[Daily Rate]]/8*(1.5*Table4[[#This Row],[Total Saturday]])</f>
        <v>0</v>
      </c>
      <c r="Q121" s="1">
        <f>Table4[[#This Row],[Daily Rate]]/8*(2*Table4[[#This Row],[Total Sunday]])</f>
        <v>0</v>
      </c>
      <c r="R121" s="1">
        <f>2500*Table4[[#This Row],[Night Worked]]</f>
        <v>0</v>
      </c>
      <c r="S121" s="1">
        <f>500*Table4[[#This Row],[Total Weekday]]</f>
        <v>11000</v>
      </c>
      <c r="Y121" s="1">
        <f>SUM(Table4[[#This Row],[Wkd Earning]:[Arrears]])</f>
        <v>269500</v>
      </c>
      <c r="Z121" s="1">
        <f>0.05*Table4[[#This Row],[Total Earnings]]</f>
        <v>13475</v>
      </c>
      <c r="AA121" s="1">
        <f>Table4[[#This Row],[Total Earnings]]</f>
        <v>269500</v>
      </c>
      <c r="AB121" s="1">
        <f>Table4[[#This Row],[Gross Salary]]-Table4[[#This Row],[WHT]]</f>
        <v>256025</v>
      </c>
    </row>
    <row r="122" spans="1:28" x14ac:dyDescent="0.3">
      <c r="A122" t="s">
        <v>393</v>
      </c>
      <c r="B122" t="s">
        <v>384</v>
      </c>
      <c r="C122" t="s">
        <v>49</v>
      </c>
      <c r="D122" t="s">
        <v>354</v>
      </c>
      <c r="E122" t="s">
        <v>888</v>
      </c>
      <c r="F122" s="1">
        <v>11750</v>
      </c>
      <c r="G122">
        <v>33</v>
      </c>
      <c r="H122" t="s">
        <v>7</v>
      </c>
      <c r="I122">
        <v>22</v>
      </c>
      <c r="J122">
        <v>6</v>
      </c>
      <c r="K122">
        <v>0</v>
      </c>
      <c r="L122">
        <v>0</v>
      </c>
      <c r="M122">
        <v>0</v>
      </c>
      <c r="N122" s="1">
        <f>Table4[[#This Row],[Total Weekday]]*Table4[[#This Row],[Daily Rate]]</f>
        <v>258500</v>
      </c>
      <c r="O122" s="8">
        <f>Table4[[#This Row],[Daily Rate]]/8*1.5*Table4[[#This Row],[Weekday OVT]]</f>
        <v>13218.75</v>
      </c>
      <c r="P122" s="1">
        <f>Table4[[#This Row],[Daily Rate]]/8*(1.5*Table4[[#This Row],[Total Saturday]])</f>
        <v>0</v>
      </c>
      <c r="Q122" s="1">
        <f>Table4[[#This Row],[Daily Rate]]/8*(2*Table4[[#This Row],[Total Sunday]])</f>
        <v>0</v>
      </c>
      <c r="R122" s="1">
        <f>2500*Table4[[#This Row],[Night Worked]]</f>
        <v>0</v>
      </c>
      <c r="S122" s="1">
        <f>500*Table4[[#This Row],[Total Weekday]]</f>
        <v>11000</v>
      </c>
      <c r="Y122" s="1">
        <f>SUM(Table4[[#This Row],[Wkd Earning]:[Arrears]])</f>
        <v>282718.75</v>
      </c>
      <c r="Z122" s="1">
        <f>0.05*Table4[[#This Row],[Total Earnings]]</f>
        <v>14135.9375</v>
      </c>
      <c r="AA122" s="1">
        <f>Table4[[#This Row],[Total Earnings]]</f>
        <v>282718.75</v>
      </c>
      <c r="AB122" s="1">
        <f>Table4[[#This Row],[Gross Salary]]-Table4[[#This Row],[WHT]]</f>
        <v>268582.8125</v>
      </c>
    </row>
    <row r="123" spans="1:28" x14ac:dyDescent="0.3">
      <c r="A123" t="s">
        <v>406</v>
      </c>
      <c r="B123" t="s">
        <v>408</v>
      </c>
      <c r="C123" t="s">
        <v>407</v>
      </c>
      <c r="D123" t="s">
        <v>354</v>
      </c>
      <c r="E123" t="s">
        <v>888</v>
      </c>
      <c r="F123" s="1">
        <v>11750</v>
      </c>
      <c r="G123">
        <v>34</v>
      </c>
      <c r="H123" t="s">
        <v>7</v>
      </c>
      <c r="I123">
        <v>22</v>
      </c>
      <c r="J123">
        <v>6</v>
      </c>
      <c r="K123">
        <v>11</v>
      </c>
      <c r="L123">
        <v>11</v>
      </c>
      <c r="M123">
        <v>0</v>
      </c>
      <c r="N123" s="1">
        <f>Table4[[#This Row],[Total Weekday]]*Table4[[#This Row],[Daily Rate]]</f>
        <v>258500</v>
      </c>
      <c r="O123" s="8">
        <f>Table4[[#This Row],[Daily Rate]]/8*1.5*Table4[[#This Row],[Weekday OVT]]</f>
        <v>13218.75</v>
      </c>
      <c r="P123" s="1">
        <f>Table4[[#This Row],[Daily Rate]]/8*(1.5*Table4[[#This Row],[Total Saturday]])</f>
        <v>24234.375</v>
      </c>
      <c r="Q123" s="1">
        <f>Table4[[#This Row],[Daily Rate]]/8*(2*Table4[[#This Row],[Total Sunday]])</f>
        <v>32312.5</v>
      </c>
      <c r="R123" s="1">
        <f>2500*Table4[[#This Row],[Night Worked]]</f>
        <v>0</v>
      </c>
      <c r="S123" s="1">
        <f>500*Table4[[#This Row],[Total Weekday]]</f>
        <v>11000</v>
      </c>
      <c r="Y123" s="1">
        <f>SUM(Table4[[#This Row],[Wkd Earning]:[Arrears]])</f>
        <v>339265.625</v>
      </c>
      <c r="Z123" s="1">
        <f>0.05*Table4[[#This Row],[Total Earnings]]</f>
        <v>16963.28125</v>
      </c>
      <c r="AA123" s="1">
        <f>Table4[[#This Row],[Total Earnings]]</f>
        <v>339265.625</v>
      </c>
      <c r="AB123" s="1">
        <f>Table4[[#This Row],[Gross Salary]]-Table4[[#This Row],[WHT]]</f>
        <v>322302.34375</v>
      </c>
    </row>
    <row r="124" spans="1:28" x14ac:dyDescent="0.3">
      <c r="A124" t="s">
        <v>409</v>
      </c>
      <c r="B124" t="s">
        <v>94</v>
      </c>
      <c r="C124" t="s">
        <v>410</v>
      </c>
      <c r="D124" t="s">
        <v>354</v>
      </c>
      <c r="E124" t="s">
        <v>888</v>
      </c>
      <c r="F124" s="1">
        <v>11750</v>
      </c>
      <c r="G124">
        <v>47</v>
      </c>
      <c r="H124" t="s">
        <v>7</v>
      </c>
      <c r="I124">
        <v>22</v>
      </c>
      <c r="J124">
        <v>0</v>
      </c>
      <c r="K124">
        <v>0</v>
      </c>
      <c r="L124">
        <v>0</v>
      </c>
      <c r="M124">
        <v>0</v>
      </c>
      <c r="N124" s="1">
        <f>Table4[[#This Row],[Total Weekday]]*Table4[[#This Row],[Daily Rate]]</f>
        <v>258500</v>
      </c>
      <c r="O124" s="8">
        <f>Table4[[#This Row],[Daily Rate]]/8*1.5*Table4[[#This Row],[Weekday OVT]]</f>
        <v>0</v>
      </c>
      <c r="P124" s="1">
        <f>Table4[[#This Row],[Daily Rate]]/8*(1.5*Table4[[#This Row],[Total Saturday]])</f>
        <v>0</v>
      </c>
      <c r="Q124" s="1">
        <f>Table4[[#This Row],[Daily Rate]]/8*(2*Table4[[#This Row],[Total Sunday]])</f>
        <v>0</v>
      </c>
      <c r="R124" s="1">
        <f>2500*Table4[[#This Row],[Night Worked]]</f>
        <v>0</v>
      </c>
      <c r="S124" s="1">
        <f>500*Table4[[#This Row],[Total Weekday]]</f>
        <v>11000</v>
      </c>
      <c r="Y124" s="1">
        <f>SUM(Table4[[#This Row],[Wkd Earning]:[Arrears]])</f>
        <v>269500</v>
      </c>
      <c r="Z124" s="1">
        <f>0.05*Table4[[#This Row],[Total Earnings]]</f>
        <v>13475</v>
      </c>
      <c r="AA124" s="1">
        <f>Table4[[#This Row],[Total Earnings]]</f>
        <v>269500</v>
      </c>
      <c r="AB124" s="1">
        <f>Table4[[#This Row],[Gross Salary]]-Table4[[#This Row],[WHT]]</f>
        <v>256025</v>
      </c>
    </row>
    <row r="125" spans="1:28" x14ac:dyDescent="0.3">
      <c r="A125" t="s">
        <v>411</v>
      </c>
      <c r="B125" t="s">
        <v>413</v>
      </c>
      <c r="C125" t="s">
        <v>412</v>
      </c>
      <c r="D125" t="s">
        <v>213</v>
      </c>
      <c r="E125" t="s">
        <v>888</v>
      </c>
      <c r="F125" s="1">
        <v>13550</v>
      </c>
      <c r="G125">
        <v>44</v>
      </c>
      <c r="H125" t="s">
        <v>7</v>
      </c>
      <c r="I125">
        <v>21</v>
      </c>
      <c r="J125">
        <v>0</v>
      </c>
      <c r="K125">
        <v>24</v>
      </c>
      <c r="L125">
        <v>0</v>
      </c>
      <c r="M125">
        <v>0</v>
      </c>
      <c r="N125" s="1">
        <f>Table4[[#This Row],[Total Weekday]]*Table4[[#This Row],[Daily Rate]]</f>
        <v>284550</v>
      </c>
      <c r="O125" s="8">
        <f>Table4[[#This Row],[Daily Rate]]/8*1.5*Table4[[#This Row],[Weekday OVT]]</f>
        <v>0</v>
      </c>
      <c r="P125" s="1">
        <f>Table4[[#This Row],[Daily Rate]]/8*(1.5*Table4[[#This Row],[Total Saturday]])</f>
        <v>60975</v>
      </c>
      <c r="Q125" s="1">
        <f>Table4[[#This Row],[Daily Rate]]/8*(2*Table4[[#This Row],[Total Sunday]])</f>
        <v>0</v>
      </c>
      <c r="R125" s="1">
        <f>2500*Table4[[#This Row],[Night Worked]]</f>
        <v>0</v>
      </c>
      <c r="S125" s="1">
        <f>500*Table4[[#This Row],[Total Weekday]]</f>
        <v>10500</v>
      </c>
      <c r="Y125" s="1">
        <f>SUM(Table4[[#This Row],[Wkd Earning]:[Arrears]])</f>
        <v>356025</v>
      </c>
      <c r="Z125" s="1">
        <f>0.05*Table4[[#This Row],[Total Earnings]]</f>
        <v>17801.25</v>
      </c>
      <c r="AA125" s="1">
        <f>Table4[[#This Row],[Total Earnings]]</f>
        <v>356025</v>
      </c>
      <c r="AB125" s="1">
        <f>Table4[[#This Row],[Gross Salary]]-Table4[[#This Row],[WHT]]</f>
        <v>338223.75</v>
      </c>
    </row>
    <row r="126" spans="1:28" x14ac:dyDescent="0.3">
      <c r="A126" t="s">
        <v>419</v>
      </c>
      <c r="B126" t="s">
        <v>420</v>
      </c>
      <c r="C126" t="s">
        <v>160</v>
      </c>
      <c r="D126" t="s">
        <v>213</v>
      </c>
      <c r="E126" t="s">
        <v>888</v>
      </c>
      <c r="F126" s="1">
        <v>20100</v>
      </c>
      <c r="G126">
        <v>82</v>
      </c>
      <c r="H126" t="s">
        <v>7</v>
      </c>
      <c r="I126">
        <v>22</v>
      </c>
      <c r="J126">
        <v>18</v>
      </c>
      <c r="K126">
        <v>30</v>
      </c>
      <c r="L126">
        <v>0</v>
      </c>
      <c r="M126">
        <v>0</v>
      </c>
      <c r="N126" s="1">
        <f>Table4[[#This Row],[Total Weekday]]*Table4[[#This Row],[Daily Rate]]</f>
        <v>442200</v>
      </c>
      <c r="O126" s="8">
        <f>Table4[[#This Row],[Daily Rate]]/8*1.5*Table4[[#This Row],[Weekday OVT]]</f>
        <v>67837.5</v>
      </c>
      <c r="P126" s="1">
        <f>Table4[[#This Row],[Daily Rate]]/8*(1.5*Table4[[#This Row],[Total Saturday]])</f>
        <v>113062.5</v>
      </c>
      <c r="Q126" s="1">
        <f>Table4[[#This Row],[Daily Rate]]/8*(2*Table4[[#This Row],[Total Sunday]])</f>
        <v>0</v>
      </c>
      <c r="R126" s="1">
        <f>2500*Table4[[#This Row],[Night Worked]]</f>
        <v>0</v>
      </c>
      <c r="S126" s="1">
        <f>500*Table4[[#This Row],[Total Weekday]]</f>
        <v>11000</v>
      </c>
      <c r="X126" s="1">
        <v>34650</v>
      </c>
      <c r="Y126" s="1">
        <f>SUM(Table4[[#This Row],[Wkd Earning]:[Arrears]])</f>
        <v>668750</v>
      </c>
      <c r="Z126" s="1">
        <f>0.05*Table4[[#This Row],[Total Earnings]]</f>
        <v>33437.5</v>
      </c>
      <c r="AA126" s="1">
        <f>Table4[[#This Row],[Total Earnings]]</f>
        <v>668750</v>
      </c>
      <c r="AB126" s="1">
        <f>Table4[[#This Row],[Gross Salary]]-Table4[[#This Row],[WHT]]</f>
        <v>635312.5</v>
      </c>
    </row>
    <row r="127" spans="1:28" x14ac:dyDescent="0.3">
      <c r="A127" t="s">
        <v>422</v>
      </c>
      <c r="B127" t="s">
        <v>269</v>
      </c>
      <c r="C127" t="s">
        <v>423</v>
      </c>
      <c r="D127" t="s">
        <v>154</v>
      </c>
      <c r="E127" t="s">
        <v>888</v>
      </c>
      <c r="F127" s="1">
        <v>14050</v>
      </c>
      <c r="G127">
        <v>41</v>
      </c>
      <c r="H127" t="s">
        <v>7</v>
      </c>
      <c r="I127">
        <v>22</v>
      </c>
      <c r="J127">
        <v>0</v>
      </c>
      <c r="K127">
        <v>24</v>
      </c>
      <c r="L127">
        <v>0</v>
      </c>
      <c r="M127">
        <v>0</v>
      </c>
      <c r="N127" s="1">
        <f>Table4[[#This Row],[Total Weekday]]*Table4[[#This Row],[Daily Rate]]</f>
        <v>309100</v>
      </c>
      <c r="O127" s="8">
        <f>Table4[[#This Row],[Daily Rate]]/8*1.5*Table4[[#This Row],[Weekday OVT]]</f>
        <v>0</v>
      </c>
      <c r="P127" s="1">
        <f>Table4[[#This Row],[Daily Rate]]/8*(1.5*Table4[[#This Row],[Total Saturday]])</f>
        <v>63225</v>
      </c>
      <c r="Q127" s="1">
        <f>Table4[[#This Row],[Daily Rate]]/8*(2*Table4[[#This Row],[Total Sunday]])</f>
        <v>0</v>
      </c>
      <c r="R127" s="1">
        <f>2500*Table4[[#This Row],[Night Worked]]</f>
        <v>0</v>
      </c>
      <c r="S127" s="1">
        <f>500*Table4[[#This Row],[Total Weekday]]</f>
        <v>11000</v>
      </c>
      <c r="Y127" s="1">
        <f>SUM(Table4[[#This Row],[Wkd Earning]:[Arrears]])</f>
        <v>383325</v>
      </c>
      <c r="Z127" s="1">
        <f>0.05*Table4[[#This Row],[Total Earnings]]</f>
        <v>19166.25</v>
      </c>
      <c r="AA127" s="1">
        <f>Table4[[#This Row],[Total Earnings]]</f>
        <v>383325</v>
      </c>
      <c r="AB127" s="1">
        <f>Table4[[#This Row],[Gross Salary]]-Table4[[#This Row],[WHT]]</f>
        <v>364158.75</v>
      </c>
    </row>
    <row r="128" spans="1:28" x14ac:dyDescent="0.3">
      <c r="A128" t="s">
        <v>424</v>
      </c>
      <c r="B128" t="s">
        <v>425</v>
      </c>
      <c r="C128" t="s">
        <v>94</v>
      </c>
      <c r="D128" t="s">
        <v>154</v>
      </c>
      <c r="E128" t="s">
        <v>888</v>
      </c>
      <c r="F128" s="1">
        <v>14050</v>
      </c>
      <c r="G128">
        <v>39</v>
      </c>
      <c r="H128" t="s">
        <v>7</v>
      </c>
      <c r="I128">
        <v>22</v>
      </c>
      <c r="J128">
        <v>0</v>
      </c>
      <c r="K128">
        <v>18</v>
      </c>
      <c r="L128">
        <v>0</v>
      </c>
      <c r="M128">
        <v>0</v>
      </c>
      <c r="N128" s="1">
        <f>Table4[[#This Row],[Total Weekday]]*Table4[[#This Row],[Daily Rate]]</f>
        <v>309100</v>
      </c>
      <c r="O128" s="8">
        <f>Table4[[#This Row],[Daily Rate]]/8*1.5*Table4[[#This Row],[Weekday OVT]]</f>
        <v>0</v>
      </c>
      <c r="P128" s="1">
        <f>Table4[[#This Row],[Daily Rate]]/8*(1.5*Table4[[#This Row],[Total Saturday]])</f>
        <v>47418.75</v>
      </c>
      <c r="Q128" s="1">
        <f>Table4[[#This Row],[Daily Rate]]/8*(2*Table4[[#This Row],[Total Sunday]])</f>
        <v>0</v>
      </c>
      <c r="R128" s="1">
        <f>2500*Table4[[#This Row],[Night Worked]]</f>
        <v>0</v>
      </c>
      <c r="S128" s="1">
        <f>500*Table4[[#This Row],[Total Weekday]]</f>
        <v>11000</v>
      </c>
      <c r="Y128" s="1">
        <f>SUM(Table4[[#This Row],[Wkd Earning]:[Arrears]])</f>
        <v>367518.75</v>
      </c>
      <c r="Z128" s="1">
        <f>0.05*Table4[[#This Row],[Total Earnings]]</f>
        <v>18375.9375</v>
      </c>
      <c r="AA128" s="1">
        <f>Table4[[#This Row],[Total Earnings]]</f>
        <v>367518.75</v>
      </c>
      <c r="AB128" s="1">
        <f>Table4[[#This Row],[Gross Salary]]-Table4[[#This Row],[WHT]]</f>
        <v>349142.8125</v>
      </c>
    </row>
    <row r="129" spans="1:28" x14ac:dyDescent="0.3">
      <c r="A129" t="s">
        <v>447</v>
      </c>
      <c r="B129" t="s">
        <v>448</v>
      </c>
      <c r="C129" t="s">
        <v>152</v>
      </c>
      <c r="D129" t="s">
        <v>53</v>
      </c>
      <c r="E129" t="s">
        <v>888</v>
      </c>
      <c r="F129" s="1">
        <v>10250</v>
      </c>
      <c r="G129">
        <v>46</v>
      </c>
      <c r="H129" t="s">
        <v>7</v>
      </c>
      <c r="I129">
        <v>22</v>
      </c>
      <c r="J129">
        <v>2</v>
      </c>
      <c r="K129">
        <v>18</v>
      </c>
      <c r="L129">
        <v>0</v>
      </c>
      <c r="M129">
        <v>0</v>
      </c>
      <c r="N129" s="1">
        <f>Table4[[#This Row],[Total Weekday]]*Table4[[#This Row],[Daily Rate]]</f>
        <v>225500</v>
      </c>
      <c r="O129" s="8">
        <f>Table4[[#This Row],[Daily Rate]]/8*1.5*Table4[[#This Row],[Weekday OVT]]</f>
        <v>3843.75</v>
      </c>
      <c r="P129" s="1">
        <f>Table4[[#This Row],[Daily Rate]]/8*(1.5*Table4[[#This Row],[Total Saturday]])</f>
        <v>34593.75</v>
      </c>
      <c r="Q129" s="1">
        <f>Table4[[#This Row],[Daily Rate]]/8*(2*Table4[[#This Row],[Total Sunday]])</f>
        <v>0</v>
      </c>
      <c r="R129" s="1">
        <f>2500*Table4[[#This Row],[Night Worked]]</f>
        <v>0</v>
      </c>
      <c r="S129" s="1">
        <f>500*Table4[[#This Row],[Total Weekday]]</f>
        <v>11000</v>
      </c>
      <c r="Y129" s="1">
        <f>SUM(Table4[[#This Row],[Wkd Earning]:[Arrears]])</f>
        <v>274937.5</v>
      </c>
      <c r="Z129" s="1">
        <f>0.05*Table4[[#This Row],[Total Earnings]]</f>
        <v>13746.875</v>
      </c>
      <c r="AA129" s="1">
        <f>Table4[[#This Row],[Total Earnings]]</f>
        <v>274937.5</v>
      </c>
      <c r="AB129" s="1">
        <f>Table4[[#This Row],[Gross Salary]]-Table4[[#This Row],[WHT]]</f>
        <v>261190.625</v>
      </c>
    </row>
    <row r="130" spans="1:28" x14ac:dyDescent="0.3">
      <c r="A130" t="s">
        <v>355</v>
      </c>
      <c r="B130" t="s">
        <v>357</v>
      </c>
      <c r="C130" t="s">
        <v>356</v>
      </c>
      <c r="D130" t="s">
        <v>50</v>
      </c>
      <c r="E130" t="s">
        <v>888</v>
      </c>
      <c r="F130" s="1">
        <v>16700</v>
      </c>
      <c r="G130">
        <v>36</v>
      </c>
      <c r="H130" t="s">
        <v>7</v>
      </c>
      <c r="I130">
        <v>22</v>
      </c>
      <c r="J130">
        <v>88</v>
      </c>
      <c r="K130">
        <v>60</v>
      </c>
      <c r="L130">
        <v>48</v>
      </c>
      <c r="M130">
        <v>0</v>
      </c>
      <c r="N130" s="1">
        <f>Table4[[#This Row],[Total Weekday]]*Table4[[#This Row],[Daily Rate]]</f>
        <v>367400</v>
      </c>
      <c r="O130" s="8">
        <f>Table4[[#This Row],[Daily Rate]]/8*1.5*Table4[[#This Row],[Weekday OVT]]</f>
        <v>275550</v>
      </c>
      <c r="P130" s="1">
        <f>Table4[[#This Row],[Daily Rate]]/8*(1.5*Table4[[#This Row],[Total Saturday]])</f>
        <v>187875</v>
      </c>
      <c r="Q130" s="1">
        <f>Table4[[#This Row],[Daily Rate]]/8*(2*Table4[[#This Row],[Total Sunday]])</f>
        <v>200400</v>
      </c>
      <c r="R130" s="1">
        <f>2500*Table4[[#This Row],[Night Worked]]</f>
        <v>0</v>
      </c>
      <c r="S130" s="1">
        <f>500*Table4[[#This Row],[Total Weekday]]</f>
        <v>11000</v>
      </c>
      <c r="Y130" s="1">
        <f>SUM(Table4[[#This Row],[Wkd Earning]:[Arrears]])</f>
        <v>1042225</v>
      </c>
      <c r="Z130" s="1">
        <f>0.05*Table4[[#This Row],[Total Earnings]]</f>
        <v>52111.25</v>
      </c>
      <c r="AA130" s="1">
        <f>Table4[[#This Row],[Total Earnings]]</f>
        <v>1042225</v>
      </c>
      <c r="AB130" s="1">
        <f>Table4[[#This Row],[Gross Salary]]-Table4[[#This Row],[WHT]]</f>
        <v>990113.75</v>
      </c>
    </row>
    <row r="131" spans="1:28" x14ac:dyDescent="0.3">
      <c r="A131" t="s">
        <v>346</v>
      </c>
      <c r="B131" t="s">
        <v>348</v>
      </c>
      <c r="C131" t="s">
        <v>846</v>
      </c>
      <c r="D131" t="s">
        <v>50</v>
      </c>
      <c r="E131" t="s">
        <v>888</v>
      </c>
      <c r="F131" s="1">
        <v>18150</v>
      </c>
      <c r="G131">
        <v>49</v>
      </c>
      <c r="H131" t="s">
        <v>7</v>
      </c>
      <c r="I131">
        <v>22</v>
      </c>
      <c r="J131">
        <v>22</v>
      </c>
      <c r="K131">
        <v>32</v>
      </c>
      <c r="L131">
        <v>6</v>
      </c>
      <c r="M131">
        <v>0</v>
      </c>
      <c r="N131" s="1">
        <f>Table4[[#This Row],[Total Weekday]]*Table4[[#This Row],[Daily Rate]]</f>
        <v>399300</v>
      </c>
      <c r="O131" s="8">
        <f>Table4[[#This Row],[Daily Rate]]/8*1.5*Table4[[#This Row],[Weekday OVT]]</f>
        <v>74868.75</v>
      </c>
      <c r="P131" s="1">
        <f>Table4[[#This Row],[Daily Rate]]/8*(1.5*Table4[[#This Row],[Total Saturday]])</f>
        <v>108900</v>
      </c>
      <c r="Q131" s="1">
        <f>Table4[[#This Row],[Daily Rate]]/8*(2*Table4[[#This Row],[Total Sunday]])</f>
        <v>27225</v>
      </c>
      <c r="R131" s="1">
        <f>2500*Table4[[#This Row],[Night Worked]]</f>
        <v>0</v>
      </c>
      <c r="S131" s="1">
        <f>500*Table4[[#This Row],[Total Weekday]]</f>
        <v>11000</v>
      </c>
      <c r="Y131" s="1">
        <f>SUM(Table4[[#This Row],[Wkd Earning]:[Arrears]])</f>
        <v>621293.75</v>
      </c>
      <c r="Z131" s="1">
        <f>0.05*Table4[[#This Row],[Total Earnings]]</f>
        <v>31064.6875</v>
      </c>
      <c r="AA131" s="1">
        <f>Table4[[#This Row],[Total Earnings]]</f>
        <v>621293.75</v>
      </c>
      <c r="AB131" s="1">
        <f>Table4[[#This Row],[Gross Salary]]-Table4[[#This Row],[WHT]]</f>
        <v>590229.0625</v>
      </c>
    </row>
    <row r="132" spans="1:28" x14ac:dyDescent="0.3">
      <c r="A132" t="s">
        <v>221</v>
      </c>
      <c r="B132" t="s">
        <v>122</v>
      </c>
      <c r="C132" t="s">
        <v>222</v>
      </c>
      <c r="D132" t="s">
        <v>154</v>
      </c>
      <c r="E132" t="s">
        <v>888</v>
      </c>
      <c r="F132" s="1">
        <v>14050</v>
      </c>
      <c r="G132">
        <v>61</v>
      </c>
      <c r="H132" t="s">
        <v>7</v>
      </c>
      <c r="I132">
        <v>22</v>
      </c>
      <c r="J132">
        <v>13</v>
      </c>
      <c r="K132">
        <v>0</v>
      </c>
      <c r="L132">
        <v>0</v>
      </c>
      <c r="M132">
        <v>0</v>
      </c>
      <c r="N132" s="1">
        <f>Table4[[#This Row],[Total Weekday]]*Table4[[#This Row],[Daily Rate]]</f>
        <v>309100</v>
      </c>
      <c r="O132" s="8">
        <f>Table4[[#This Row],[Daily Rate]]/8*1.5*Table4[[#This Row],[Weekday OVT]]</f>
        <v>34246.875</v>
      </c>
      <c r="P132" s="1">
        <f>Table4[[#This Row],[Daily Rate]]/8*(1.5*Table4[[#This Row],[Total Saturday]])</f>
        <v>0</v>
      </c>
      <c r="Q132" s="1">
        <f>Table4[[#This Row],[Daily Rate]]/8*(2*Table4[[#This Row],[Total Sunday]])</f>
        <v>0</v>
      </c>
      <c r="R132" s="1">
        <f>2500*Table4[[#This Row],[Night Worked]]</f>
        <v>0</v>
      </c>
      <c r="S132" s="1">
        <f>500*Table4[[#This Row],[Total Weekday]]</f>
        <v>11000</v>
      </c>
      <c r="Y132" s="1">
        <f>SUM(Table4[[#This Row],[Wkd Earning]:[Arrears]])</f>
        <v>354346.875</v>
      </c>
      <c r="Z132" s="1">
        <f>0.05*Table4[[#This Row],[Total Earnings]]</f>
        <v>17717.34375</v>
      </c>
      <c r="AA132" s="1">
        <f>Table4[[#This Row],[Total Earnings]]</f>
        <v>354346.875</v>
      </c>
      <c r="AB132" s="1">
        <f>Table4[[#This Row],[Gross Salary]]-Table4[[#This Row],[WHT]]</f>
        <v>336629.53125</v>
      </c>
    </row>
    <row r="133" spans="1:28" x14ac:dyDescent="0.3">
      <c r="A133" t="s">
        <v>352</v>
      </c>
      <c r="B133" t="s">
        <v>847</v>
      </c>
      <c r="C133" t="s">
        <v>353</v>
      </c>
      <c r="D133" t="s">
        <v>848</v>
      </c>
      <c r="E133" t="s">
        <v>888</v>
      </c>
      <c r="F133" s="1">
        <v>15100</v>
      </c>
      <c r="G133">
        <v>37</v>
      </c>
      <c r="H133" t="s">
        <v>7</v>
      </c>
      <c r="I133">
        <v>22</v>
      </c>
      <c r="J133">
        <v>6</v>
      </c>
      <c r="K133">
        <v>17</v>
      </c>
      <c r="L133">
        <v>11</v>
      </c>
      <c r="M133">
        <v>0</v>
      </c>
      <c r="N133" s="1">
        <f>Table4[[#This Row],[Total Weekday]]*Table4[[#This Row],[Daily Rate]]</f>
        <v>332200</v>
      </c>
      <c r="O133" s="8">
        <f>Table4[[#This Row],[Daily Rate]]/8*1.5*Table4[[#This Row],[Weekday OVT]]</f>
        <v>16987.5</v>
      </c>
      <c r="P133" s="1">
        <f>Table4[[#This Row],[Daily Rate]]/8*(1.5*Table4[[#This Row],[Total Saturday]])</f>
        <v>48131.25</v>
      </c>
      <c r="Q133" s="1">
        <f>Table4[[#This Row],[Daily Rate]]/8*(2*Table4[[#This Row],[Total Sunday]])</f>
        <v>41525</v>
      </c>
      <c r="R133" s="1">
        <f>2500*Table4[[#This Row],[Night Worked]]</f>
        <v>0</v>
      </c>
      <c r="S133" s="1">
        <f>500*Table4[[#This Row],[Total Weekday]]</f>
        <v>11000</v>
      </c>
      <c r="Y133" s="1">
        <f>SUM(Table4[[#This Row],[Wkd Earning]:[Arrears]])</f>
        <v>449843.75</v>
      </c>
      <c r="Z133" s="1">
        <f>0.05*Table4[[#This Row],[Total Earnings]]</f>
        <v>22492.1875</v>
      </c>
      <c r="AA133" s="1">
        <f>Table4[[#This Row],[Total Earnings]]</f>
        <v>449843.75</v>
      </c>
      <c r="AB133" s="1">
        <f>Table4[[#This Row],[Gross Salary]]-Table4[[#This Row],[WHT]]</f>
        <v>427351.5625</v>
      </c>
    </row>
    <row r="134" spans="1:28" x14ac:dyDescent="0.3">
      <c r="A134" t="s">
        <v>349</v>
      </c>
      <c r="B134" t="s">
        <v>351</v>
      </c>
      <c r="C134" t="s">
        <v>350</v>
      </c>
      <c r="D134" t="s">
        <v>849</v>
      </c>
      <c r="E134" t="s">
        <v>888</v>
      </c>
      <c r="F134" s="1">
        <v>16200</v>
      </c>
      <c r="G134">
        <v>42</v>
      </c>
      <c r="H134" t="s">
        <v>7</v>
      </c>
      <c r="I134">
        <v>22</v>
      </c>
      <c r="J134">
        <v>50</v>
      </c>
      <c r="K134">
        <v>42</v>
      </c>
      <c r="L134">
        <v>17</v>
      </c>
      <c r="M134">
        <v>0</v>
      </c>
      <c r="N134" s="1">
        <f>Table4[[#This Row],[Total Weekday]]*Table4[[#This Row],[Daily Rate]]</f>
        <v>356400</v>
      </c>
      <c r="O134" s="8">
        <f>Table4[[#This Row],[Daily Rate]]/8*1.5*Table4[[#This Row],[Weekday OVT]]</f>
        <v>151875</v>
      </c>
      <c r="P134" s="1">
        <f>Table4[[#This Row],[Daily Rate]]/8*(1.5*Table4[[#This Row],[Total Saturday]])</f>
        <v>127575</v>
      </c>
      <c r="Q134" s="1">
        <f>Table4[[#This Row],[Daily Rate]]/8*(2*Table4[[#This Row],[Total Sunday]])</f>
        <v>68850</v>
      </c>
      <c r="R134" s="1">
        <f>2500*Table4[[#This Row],[Night Worked]]</f>
        <v>0</v>
      </c>
      <c r="S134" s="1">
        <f>500*Table4[[#This Row],[Total Weekday]]</f>
        <v>11000</v>
      </c>
      <c r="Y134" s="1">
        <f>SUM(Table4[[#This Row],[Wkd Earning]:[Arrears]])</f>
        <v>715700</v>
      </c>
      <c r="Z134" s="1">
        <f>0.05*Table4[[#This Row],[Total Earnings]]</f>
        <v>35785</v>
      </c>
      <c r="AA134" s="1">
        <f>Table4[[#This Row],[Total Earnings]]</f>
        <v>715700</v>
      </c>
      <c r="AB134" s="1">
        <f>Table4[[#This Row],[Gross Salary]]-Table4[[#This Row],[WHT]]</f>
        <v>679915</v>
      </c>
    </row>
    <row r="135" spans="1:28" x14ac:dyDescent="0.3">
      <c r="A135" t="s">
        <v>358</v>
      </c>
      <c r="B135" t="s">
        <v>850</v>
      </c>
      <c r="C135" t="s">
        <v>359</v>
      </c>
      <c r="D135" t="s">
        <v>273</v>
      </c>
      <c r="E135" t="s">
        <v>888</v>
      </c>
      <c r="F135" s="1">
        <v>13150</v>
      </c>
      <c r="G135">
        <v>45</v>
      </c>
      <c r="H135" t="s">
        <v>7</v>
      </c>
      <c r="I135">
        <v>22</v>
      </c>
      <c r="J135">
        <v>11</v>
      </c>
      <c r="K135">
        <v>18</v>
      </c>
      <c r="L135">
        <v>6</v>
      </c>
      <c r="M135">
        <v>0</v>
      </c>
      <c r="N135" s="1">
        <f>Table4[[#This Row],[Total Weekday]]*Table4[[#This Row],[Daily Rate]]</f>
        <v>289300</v>
      </c>
      <c r="O135" s="8">
        <f>Table4[[#This Row],[Daily Rate]]/8*1.5*Table4[[#This Row],[Weekday OVT]]</f>
        <v>27121.875</v>
      </c>
      <c r="P135" s="1">
        <f>Table4[[#This Row],[Daily Rate]]/8*(1.5*Table4[[#This Row],[Total Saturday]])</f>
        <v>44381.25</v>
      </c>
      <c r="Q135" s="1">
        <f>Table4[[#This Row],[Daily Rate]]/8*(2*Table4[[#This Row],[Total Sunday]])</f>
        <v>19725</v>
      </c>
      <c r="R135" s="1">
        <f>2500*Table4[[#This Row],[Night Worked]]</f>
        <v>0</v>
      </c>
      <c r="S135" s="1">
        <f>500*Table4[[#This Row],[Total Weekday]]</f>
        <v>11000</v>
      </c>
      <c r="Y135" s="1">
        <f>SUM(Table4[[#This Row],[Wkd Earning]:[Arrears]])</f>
        <v>391528.125</v>
      </c>
      <c r="Z135" s="1">
        <f>0.05*Table4[[#This Row],[Total Earnings]]</f>
        <v>19576.40625</v>
      </c>
      <c r="AA135" s="1">
        <f>Table4[[#This Row],[Total Earnings]]</f>
        <v>391528.125</v>
      </c>
      <c r="AB135" s="1">
        <f>Table4[[#This Row],[Gross Salary]]-Table4[[#This Row],[WHT]]</f>
        <v>371951.71875</v>
      </c>
    </row>
    <row r="136" spans="1:28" x14ac:dyDescent="0.3">
      <c r="A136" t="s">
        <v>363</v>
      </c>
      <c r="B136" t="s">
        <v>365</v>
      </c>
      <c r="C136" t="s">
        <v>364</v>
      </c>
      <c r="D136" t="s">
        <v>851</v>
      </c>
      <c r="E136" t="s">
        <v>888</v>
      </c>
      <c r="F136" s="1">
        <v>12750</v>
      </c>
      <c r="G136">
        <v>53</v>
      </c>
      <c r="H136" t="s">
        <v>7</v>
      </c>
      <c r="I136">
        <v>22</v>
      </c>
      <c r="J136">
        <v>13</v>
      </c>
      <c r="K136">
        <v>50</v>
      </c>
      <c r="L136">
        <v>12</v>
      </c>
      <c r="M136">
        <v>0</v>
      </c>
      <c r="N136" s="1">
        <f>Table4[[#This Row],[Total Weekday]]*Table4[[#This Row],[Daily Rate]]</f>
        <v>280500</v>
      </c>
      <c r="O136" s="8">
        <f>Table4[[#This Row],[Daily Rate]]/8*1.5*Table4[[#This Row],[Weekday OVT]]</f>
        <v>31078.125</v>
      </c>
      <c r="P136" s="1">
        <f>Table4[[#This Row],[Daily Rate]]/8*(1.5*Table4[[#This Row],[Total Saturday]])</f>
        <v>119531.25</v>
      </c>
      <c r="Q136" s="1">
        <f>Table4[[#This Row],[Daily Rate]]/8*(2*Table4[[#This Row],[Total Sunday]])</f>
        <v>38250</v>
      </c>
      <c r="R136" s="1">
        <f>2500*Table4[[#This Row],[Night Worked]]</f>
        <v>0</v>
      </c>
      <c r="S136" s="1">
        <f>500*Table4[[#This Row],[Total Weekday]]</f>
        <v>11000</v>
      </c>
      <c r="Y136" s="1">
        <f>SUM(Table4[[#This Row],[Wkd Earning]:[Arrears]])</f>
        <v>480359.375</v>
      </c>
      <c r="Z136" s="1">
        <f>0.05*Table4[[#This Row],[Total Earnings]]</f>
        <v>24017.96875</v>
      </c>
      <c r="AA136" s="1">
        <f>Table4[[#This Row],[Total Earnings]]</f>
        <v>480359.375</v>
      </c>
      <c r="AB136" s="1">
        <f>Table4[[#This Row],[Gross Salary]]-Table4[[#This Row],[WHT]]</f>
        <v>456341.40625</v>
      </c>
    </row>
    <row r="137" spans="1:28" x14ac:dyDescent="0.3">
      <c r="A137" t="s">
        <v>131</v>
      </c>
      <c r="B137" t="s">
        <v>132</v>
      </c>
      <c r="C137" t="s">
        <v>133</v>
      </c>
      <c r="D137" t="s">
        <v>134</v>
      </c>
      <c r="E137" t="s">
        <v>888</v>
      </c>
      <c r="F137" s="1">
        <v>10250</v>
      </c>
      <c r="G137">
        <v>48</v>
      </c>
      <c r="H137" t="s">
        <v>7</v>
      </c>
      <c r="I137">
        <v>22</v>
      </c>
      <c r="J137">
        <v>6</v>
      </c>
      <c r="K137">
        <v>24</v>
      </c>
      <c r="L137">
        <v>0</v>
      </c>
      <c r="M137">
        <v>0</v>
      </c>
      <c r="N137" s="1">
        <f>Table4[[#This Row],[Total Weekday]]*Table4[[#This Row],[Daily Rate]]</f>
        <v>225500</v>
      </c>
      <c r="O137" s="8">
        <f>Table4[[#This Row],[Daily Rate]]/8*1.5*Table4[[#This Row],[Weekday OVT]]</f>
        <v>11531.25</v>
      </c>
      <c r="P137" s="1">
        <f>Table4[[#This Row],[Daily Rate]]/8*(1.5*Table4[[#This Row],[Total Saturday]])</f>
        <v>46125</v>
      </c>
      <c r="Q137" s="1">
        <f>Table4[[#This Row],[Daily Rate]]/8*(2*Table4[[#This Row],[Total Sunday]])</f>
        <v>0</v>
      </c>
      <c r="R137" s="1">
        <f>2500*Table4[[#This Row],[Night Worked]]</f>
        <v>0</v>
      </c>
      <c r="S137" s="1">
        <f>500*Table4[[#This Row],[Total Weekday]]</f>
        <v>11000</v>
      </c>
      <c r="Y137" s="1">
        <f>SUM(Table4[[#This Row],[Wkd Earning]:[Arrears]])</f>
        <v>294156.25</v>
      </c>
      <c r="Z137" s="1">
        <f>0.05*Table4[[#This Row],[Total Earnings]]</f>
        <v>14707.8125</v>
      </c>
      <c r="AA137" s="1">
        <f>Table4[[#This Row],[Total Earnings]]</f>
        <v>294156.25</v>
      </c>
      <c r="AB137" s="1">
        <f>Table4[[#This Row],[Gross Salary]]-Table4[[#This Row],[WHT]]</f>
        <v>279448.4375</v>
      </c>
    </row>
    <row r="138" spans="1:28" x14ac:dyDescent="0.3">
      <c r="A138" t="s">
        <v>290</v>
      </c>
      <c r="B138" t="s">
        <v>291</v>
      </c>
      <c r="C138" t="s">
        <v>292</v>
      </c>
      <c r="D138" t="s">
        <v>53</v>
      </c>
      <c r="E138" t="s">
        <v>888</v>
      </c>
      <c r="F138" s="1">
        <v>10250</v>
      </c>
      <c r="G138">
        <v>38</v>
      </c>
      <c r="H138" t="s">
        <v>7</v>
      </c>
      <c r="I138">
        <v>22</v>
      </c>
      <c r="J138">
        <v>0</v>
      </c>
      <c r="K138">
        <v>12</v>
      </c>
      <c r="L138">
        <v>0</v>
      </c>
      <c r="M138">
        <v>0</v>
      </c>
      <c r="N138" s="1">
        <f>Table4[[#This Row],[Total Weekday]]*Table4[[#This Row],[Daily Rate]]</f>
        <v>225500</v>
      </c>
      <c r="O138" s="8">
        <f>Table4[[#This Row],[Daily Rate]]/8*1.5*Table4[[#This Row],[Weekday OVT]]</f>
        <v>0</v>
      </c>
      <c r="P138" s="1">
        <f>Table4[[#This Row],[Daily Rate]]/8*(1.5*Table4[[#This Row],[Total Saturday]])</f>
        <v>23062.5</v>
      </c>
      <c r="Q138" s="1">
        <f>Table4[[#This Row],[Daily Rate]]/8*(2*Table4[[#This Row],[Total Sunday]])</f>
        <v>0</v>
      </c>
      <c r="R138" s="1">
        <f>2500*Table4[[#This Row],[Night Worked]]</f>
        <v>0</v>
      </c>
      <c r="S138" s="1">
        <f>500*Table4[[#This Row],[Total Weekday]]</f>
        <v>11000</v>
      </c>
      <c r="Y138" s="1">
        <f>SUM(Table4[[#This Row],[Wkd Earning]:[Arrears]])</f>
        <v>259562.5</v>
      </c>
      <c r="Z138" s="1">
        <f>0.05*Table4[[#This Row],[Total Earnings]]</f>
        <v>12978.125</v>
      </c>
      <c r="AA138" s="1">
        <f>Table4[[#This Row],[Total Earnings]]</f>
        <v>259562.5</v>
      </c>
      <c r="AB138" s="1">
        <f>Table4[[#This Row],[Gross Salary]]-Table4[[#This Row],[WHT]]</f>
        <v>246584.375</v>
      </c>
    </row>
    <row r="139" spans="1:28" x14ac:dyDescent="0.3">
      <c r="A139" t="s">
        <v>186</v>
      </c>
      <c r="B139" t="s">
        <v>188</v>
      </c>
      <c r="C139" t="s">
        <v>187</v>
      </c>
      <c r="D139" t="s">
        <v>53</v>
      </c>
      <c r="E139" t="s">
        <v>888</v>
      </c>
      <c r="F139" s="1">
        <v>10250</v>
      </c>
      <c r="G139">
        <v>64</v>
      </c>
      <c r="H139" t="s">
        <v>7</v>
      </c>
      <c r="I139">
        <v>22</v>
      </c>
      <c r="J139">
        <v>4</v>
      </c>
      <c r="K139">
        <v>24</v>
      </c>
      <c r="L139">
        <v>8</v>
      </c>
      <c r="M139">
        <v>0</v>
      </c>
      <c r="N139" s="1">
        <f>Table4[[#This Row],[Total Weekday]]*Table4[[#This Row],[Daily Rate]]</f>
        <v>225500</v>
      </c>
      <c r="O139" s="8">
        <f>Table4[[#This Row],[Daily Rate]]/8*1.5*Table4[[#This Row],[Weekday OVT]]</f>
        <v>7687.5</v>
      </c>
      <c r="P139" s="1">
        <f>Table4[[#This Row],[Daily Rate]]/8*(1.5*Table4[[#This Row],[Total Saturday]])</f>
        <v>46125</v>
      </c>
      <c r="Q139" s="1">
        <f>Table4[[#This Row],[Daily Rate]]/8*(2*Table4[[#This Row],[Total Sunday]])</f>
        <v>20500</v>
      </c>
      <c r="R139" s="1">
        <f>2500*Table4[[#This Row],[Night Worked]]</f>
        <v>0</v>
      </c>
      <c r="S139" s="1">
        <f>500*Table4[[#This Row],[Total Weekday]]</f>
        <v>11000</v>
      </c>
      <c r="Y139" s="1">
        <f>SUM(Table4[[#This Row],[Wkd Earning]:[Arrears]])</f>
        <v>310812.5</v>
      </c>
      <c r="Z139" s="1">
        <f>0.05*Table4[[#This Row],[Total Earnings]]</f>
        <v>15540.625</v>
      </c>
      <c r="AA139" s="1">
        <f>Table4[[#This Row],[Total Earnings]]</f>
        <v>310812.5</v>
      </c>
      <c r="AB139" s="1">
        <f>Table4[[#This Row],[Gross Salary]]-Table4[[#This Row],[WHT]]</f>
        <v>295271.875</v>
      </c>
    </row>
    <row r="140" spans="1:28" x14ac:dyDescent="0.3">
      <c r="A140" t="s">
        <v>214</v>
      </c>
      <c r="B140" t="s">
        <v>49</v>
      </c>
      <c r="C140" t="s">
        <v>215</v>
      </c>
      <c r="D140" t="s">
        <v>134</v>
      </c>
      <c r="E140" t="s">
        <v>888</v>
      </c>
      <c r="F140" s="1">
        <v>10250</v>
      </c>
      <c r="G140">
        <v>42</v>
      </c>
      <c r="H140" t="s">
        <v>7</v>
      </c>
      <c r="I140">
        <v>22</v>
      </c>
      <c r="J140">
        <v>0</v>
      </c>
      <c r="K140">
        <v>24</v>
      </c>
      <c r="L140">
        <v>6</v>
      </c>
      <c r="M140">
        <v>0</v>
      </c>
      <c r="N140" s="1">
        <f>Table4[[#This Row],[Total Weekday]]*Table4[[#This Row],[Daily Rate]]</f>
        <v>225500</v>
      </c>
      <c r="O140" s="8">
        <f>Table4[[#This Row],[Daily Rate]]/8*1.5*Table4[[#This Row],[Weekday OVT]]</f>
        <v>0</v>
      </c>
      <c r="P140" s="1">
        <f>Table4[[#This Row],[Daily Rate]]/8*(1.5*Table4[[#This Row],[Total Saturday]])</f>
        <v>46125</v>
      </c>
      <c r="Q140" s="1">
        <f>Table4[[#This Row],[Daily Rate]]/8*(2*Table4[[#This Row],[Total Sunday]])</f>
        <v>15375</v>
      </c>
      <c r="R140" s="1">
        <f>2500*Table4[[#This Row],[Night Worked]]</f>
        <v>0</v>
      </c>
      <c r="S140" s="1">
        <f>500*Table4[[#This Row],[Total Weekday]]</f>
        <v>11000</v>
      </c>
      <c r="Y140" s="1">
        <f>SUM(Table4[[#This Row],[Wkd Earning]:[Arrears]])</f>
        <v>298000</v>
      </c>
      <c r="Z140" s="1">
        <f>0.05*Table4[[#This Row],[Total Earnings]]</f>
        <v>14900</v>
      </c>
      <c r="AA140" s="1">
        <f>Table4[[#This Row],[Total Earnings]]</f>
        <v>298000</v>
      </c>
      <c r="AB140" s="1">
        <f>Table4[[#This Row],[Gross Salary]]-Table4[[#This Row],[WHT]]</f>
        <v>283100</v>
      </c>
    </row>
    <row r="141" spans="1:28" x14ac:dyDescent="0.3">
      <c r="A141" t="s">
        <v>38</v>
      </c>
      <c r="B141" t="s">
        <v>39</v>
      </c>
      <c r="C141" t="s">
        <v>853</v>
      </c>
      <c r="D141" t="s">
        <v>40</v>
      </c>
      <c r="E141" t="s">
        <v>888</v>
      </c>
      <c r="F141" s="1">
        <v>10250</v>
      </c>
      <c r="G141">
        <v>43</v>
      </c>
      <c r="H141" t="s">
        <v>7</v>
      </c>
      <c r="I141">
        <v>21</v>
      </c>
      <c r="J141">
        <v>53</v>
      </c>
      <c r="K141">
        <v>32</v>
      </c>
      <c r="L141">
        <v>38</v>
      </c>
      <c r="M141">
        <v>0</v>
      </c>
      <c r="N141" s="1">
        <f>Table4[[#This Row],[Total Weekday]]*Table4[[#This Row],[Daily Rate]]</f>
        <v>215250</v>
      </c>
      <c r="O141" s="8">
        <f>Table4[[#This Row],[Daily Rate]]/8*1.5*Table4[[#This Row],[Weekday OVT]]</f>
        <v>101859.375</v>
      </c>
      <c r="P141" s="1">
        <f>Table4[[#This Row],[Daily Rate]]/8*(1.5*Table4[[#This Row],[Total Saturday]])</f>
        <v>61500</v>
      </c>
      <c r="Q141" s="1">
        <f>Table4[[#This Row],[Daily Rate]]/8*(2*Table4[[#This Row],[Total Sunday]])</f>
        <v>97375</v>
      </c>
      <c r="R141" s="1">
        <f>2500*Table4[[#This Row],[Night Worked]]</f>
        <v>0</v>
      </c>
      <c r="S141" s="1">
        <f>500*Table4[[#This Row],[Total Weekday]]</f>
        <v>10500</v>
      </c>
      <c r="Y141" s="1">
        <f>SUM(Table4[[#This Row],[Wkd Earning]:[Arrears]])</f>
        <v>486484.375</v>
      </c>
      <c r="Z141" s="1">
        <f>0.05*Table4[[#This Row],[Total Earnings]]</f>
        <v>24324.21875</v>
      </c>
      <c r="AA141" s="1">
        <f>Table4[[#This Row],[Total Earnings]]</f>
        <v>486484.375</v>
      </c>
      <c r="AB141" s="1">
        <f>Table4[[#This Row],[Gross Salary]]-Table4[[#This Row],[WHT]]</f>
        <v>462160.15625</v>
      </c>
    </row>
    <row r="142" spans="1:28" x14ac:dyDescent="0.3">
      <c r="A142" t="s">
        <v>450</v>
      </c>
      <c r="B142" t="s">
        <v>451</v>
      </c>
      <c r="C142" t="s">
        <v>376</v>
      </c>
      <c r="D142" t="s">
        <v>117</v>
      </c>
      <c r="E142" t="s">
        <v>888</v>
      </c>
      <c r="F142" s="1">
        <v>12750</v>
      </c>
      <c r="G142">
        <v>43</v>
      </c>
      <c r="H142" t="s">
        <v>7</v>
      </c>
      <c r="I142">
        <v>22</v>
      </c>
      <c r="J142">
        <v>13</v>
      </c>
      <c r="K142">
        <v>50</v>
      </c>
      <c r="L142">
        <v>12</v>
      </c>
      <c r="M142">
        <v>0</v>
      </c>
      <c r="N142" s="1">
        <f>Table4[[#This Row],[Total Weekday]]*Table4[[#This Row],[Daily Rate]]</f>
        <v>280500</v>
      </c>
      <c r="O142" s="8">
        <f>Table4[[#This Row],[Daily Rate]]/8*1.5*Table4[[#This Row],[Weekday OVT]]</f>
        <v>31078.125</v>
      </c>
      <c r="P142" s="1">
        <f>Table4[[#This Row],[Daily Rate]]/8*(1.5*Table4[[#This Row],[Total Saturday]])</f>
        <v>119531.25</v>
      </c>
      <c r="Q142" s="1">
        <f>Table4[[#This Row],[Daily Rate]]/8*(2*Table4[[#This Row],[Total Sunday]])</f>
        <v>38250</v>
      </c>
      <c r="R142" s="1">
        <f>2500*Table4[[#This Row],[Night Worked]]</f>
        <v>0</v>
      </c>
      <c r="S142" s="1">
        <f>500*Table4[[#This Row],[Total Weekday]]</f>
        <v>11000</v>
      </c>
      <c r="Y142" s="1">
        <f>SUM(Table4[[#This Row],[Wkd Earning]:[Arrears]])</f>
        <v>480359.375</v>
      </c>
      <c r="Z142" s="1">
        <f>0.05*Table4[[#This Row],[Total Earnings]]</f>
        <v>24017.96875</v>
      </c>
      <c r="AA142" s="1">
        <f>Table4[[#This Row],[Total Earnings]]</f>
        <v>480359.375</v>
      </c>
      <c r="AB142" s="1">
        <f>Table4[[#This Row],[Gross Salary]]-Table4[[#This Row],[WHT]]</f>
        <v>456341.40625</v>
      </c>
    </row>
    <row r="143" spans="1:28" x14ac:dyDescent="0.3">
      <c r="A143" t="s">
        <v>379</v>
      </c>
      <c r="B143" t="s">
        <v>324</v>
      </c>
      <c r="C143" t="s">
        <v>854</v>
      </c>
      <c r="D143" t="s">
        <v>12</v>
      </c>
      <c r="E143" t="s">
        <v>888</v>
      </c>
      <c r="F143" s="1">
        <v>10250</v>
      </c>
      <c r="G143">
        <v>40</v>
      </c>
      <c r="H143" t="s">
        <v>7</v>
      </c>
      <c r="I143">
        <v>22</v>
      </c>
      <c r="J143">
        <v>43</v>
      </c>
      <c r="K143">
        <v>46</v>
      </c>
      <c r="L143">
        <v>10</v>
      </c>
      <c r="M143">
        <v>10</v>
      </c>
      <c r="N143" s="1">
        <f>Table4[[#This Row],[Total Weekday]]*Table4[[#This Row],[Daily Rate]]</f>
        <v>225500</v>
      </c>
      <c r="O143" s="8">
        <f>Table4[[#This Row],[Daily Rate]]/8*1.5*Table4[[#This Row],[Weekday OVT]]</f>
        <v>82640.625</v>
      </c>
      <c r="P143" s="1">
        <f>Table4[[#This Row],[Daily Rate]]/8*(1.5*Table4[[#This Row],[Total Saturday]])</f>
        <v>88406.25</v>
      </c>
      <c r="Q143" s="1">
        <f>Table4[[#This Row],[Daily Rate]]/8*(2*Table4[[#This Row],[Total Sunday]])</f>
        <v>25625</v>
      </c>
      <c r="R143" s="1">
        <f>2500*Table4[[#This Row],[Night Worked]]</f>
        <v>25000</v>
      </c>
      <c r="S143" s="1">
        <f>500*Table4[[#This Row],[Total Weekday]]</f>
        <v>11000</v>
      </c>
      <c r="Y143" s="1">
        <f>SUM(Table4[[#This Row],[Wkd Earning]:[Arrears]])</f>
        <v>458171.875</v>
      </c>
      <c r="Z143" s="1">
        <f>0.05*Table4[[#This Row],[Total Earnings]]</f>
        <v>22908.59375</v>
      </c>
      <c r="AA143" s="1">
        <f>Table4[[#This Row],[Total Earnings]]</f>
        <v>458171.875</v>
      </c>
      <c r="AB143" s="1">
        <f>Table4[[#This Row],[Gross Salary]]-Table4[[#This Row],[WHT]]</f>
        <v>435263.28125</v>
      </c>
    </row>
    <row r="144" spans="1:28" x14ac:dyDescent="0.3">
      <c r="A144" t="s">
        <v>452</v>
      </c>
      <c r="B144" t="s">
        <v>855</v>
      </c>
      <c r="C144" t="s">
        <v>453</v>
      </c>
      <c r="D144" t="s">
        <v>161</v>
      </c>
      <c r="E144" t="s">
        <v>888</v>
      </c>
      <c r="F144" s="1">
        <v>13250</v>
      </c>
      <c r="G144">
        <v>49</v>
      </c>
      <c r="H144" t="s">
        <v>7</v>
      </c>
      <c r="I144">
        <v>22</v>
      </c>
      <c r="J144">
        <v>3</v>
      </c>
      <c r="K144">
        <v>0</v>
      </c>
      <c r="L144">
        <v>0</v>
      </c>
      <c r="M144">
        <v>0</v>
      </c>
      <c r="N144" s="1">
        <f>Table4[[#This Row],[Total Weekday]]*Table4[[#This Row],[Daily Rate]]</f>
        <v>291500</v>
      </c>
      <c r="O144" s="8">
        <f>Table4[[#This Row],[Daily Rate]]/8*1.5*Table4[[#This Row],[Weekday OVT]]</f>
        <v>7453.125</v>
      </c>
      <c r="P144" s="1">
        <f>Table4[[#This Row],[Daily Rate]]/8*(1.5*Table4[[#This Row],[Total Saturday]])</f>
        <v>0</v>
      </c>
      <c r="Q144" s="1">
        <f>Table4[[#This Row],[Daily Rate]]/8*(2*Table4[[#This Row],[Total Sunday]])</f>
        <v>0</v>
      </c>
      <c r="R144" s="1">
        <f>2500*Table4[[#This Row],[Night Worked]]</f>
        <v>0</v>
      </c>
      <c r="S144" s="1">
        <f>500*Table4[[#This Row],[Total Weekday]]</f>
        <v>11000</v>
      </c>
      <c r="Y144" s="1">
        <f>SUM(Table4[[#This Row],[Wkd Earning]:[Arrears]])</f>
        <v>309953.125</v>
      </c>
      <c r="Z144" s="1">
        <f>0.05*Table4[[#This Row],[Total Earnings]]</f>
        <v>15497.65625</v>
      </c>
      <c r="AA144" s="1">
        <f>Table4[[#This Row],[Total Earnings]]</f>
        <v>309953.125</v>
      </c>
      <c r="AB144" s="1">
        <f>Table4[[#This Row],[Gross Salary]]-Table4[[#This Row],[WHT]]</f>
        <v>294455.46875</v>
      </c>
    </row>
    <row r="145" spans="1:28" x14ac:dyDescent="0.3">
      <c r="A145" t="s">
        <v>361</v>
      </c>
      <c r="B145" t="s">
        <v>292</v>
      </c>
      <c r="C145" t="s">
        <v>362</v>
      </c>
      <c r="D145" t="s">
        <v>856</v>
      </c>
      <c r="E145" t="s">
        <v>888</v>
      </c>
      <c r="F145" s="1">
        <v>16200</v>
      </c>
      <c r="G145">
        <v>68</v>
      </c>
      <c r="H145" t="s">
        <v>7</v>
      </c>
      <c r="I145">
        <v>22</v>
      </c>
      <c r="J145">
        <v>0</v>
      </c>
      <c r="K145">
        <v>12</v>
      </c>
      <c r="L145">
        <v>0</v>
      </c>
      <c r="M145">
        <v>0</v>
      </c>
      <c r="N145" s="1">
        <f>Table4[[#This Row],[Total Weekday]]*Table4[[#This Row],[Daily Rate]]</f>
        <v>356400</v>
      </c>
      <c r="O145" s="8">
        <f>Table4[[#This Row],[Daily Rate]]/8*1.5*Table4[[#This Row],[Weekday OVT]]</f>
        <v>0</v>
      </c>
      <c r="P145" s="1">
        <f>Table4[[#This Row],[Daily Rate]]/8*(1.5*Table4[[#This Row],[Total Saturday]])</f>
        <v>36450</v>
      </c>
      <c r="Q145" s="1">
        <f>Table4[[#This Row],[Daily Rate]]/8*(2*Table4[[#This Row],[Total Sunday]])</f>
        <v>0</v>
      </c>
      <c r="R145" s="1">
        <f>2500*Table4[[#This Row],[Night Worked]]</f>
        <v>0</v>
      </c>
      <c r="S145" s="1">
        <f>500*Table4[[#This Row],[Total Weekday]]</f>
        <v>11000</v>
      </c>
      <c r="Y145" s="1">
        <f>SUM(Table4[[#This Row],[Wkd Earning]:[Arrears]])</f>
        <v>403850</v>
      </c>
      <c r="Z145" s="1">
        <f>0.05*Table4[[#This Row],[Total Earnings]]</f>
        <v>20192.5</v>
      </c>
      <c r="AA145" s="1">
        <f>Table4[[#This Row],[Total Earnings]]</f>
        <v>403850</v>
      </c>
      <c r="AB145" s="1">
        <f>Table4[[#This Row],[Gross Salary]]-Table4[[#This Row],[WHT]]</f>
        <v>383657.5</v>
      </c>
    </row>
    <row r="146" spans="1:28" x14ac:dyDescent="0.3">
      <c r="A146" t="s">
        <v>414</v>
      </c>
      <c r="B146" t="s">
        <v>315</v>
      </c>
      <c r="C146" t="s">
        <v>415</v>
      </c>
      <c r="D146" t="s">
        <v>213</v>
      </c>
      <c r="E146" t="s">
        <v>888</v>
      </c>
      <c r="F146" s="1">
        <v>13550</v>
      </c>
      <c r="G146">
        <v>42</v>
      </c>
      <c r="H146" t="s">
        <v>7</v>
      </c>
      <c r="I146">
        <v>20</v>
      </c>
      <c r="J146">
        <v>3</v>
      </c>
      <c r="K146">
        <v>24</v>
      </c>
      <c r="L146">
        <v>0</v>
      </c>
      <c r="M146">
        <v>0</v>
      </c>
      <c r="N146" s="1">
        <f>Table4[[#This Row],[Total Weekday]]*Table4[[#This Row],[Daily Rate]]</f>
        <v>271000</v>
      </c>
      <c r="O146" s="8">
        <f>Table4[[#This Row],[Daily Rate]]/8*1.5*Table4[[#This Row],[Weekday OVT]]</f>
        <v>7621.875</v>
      </c>
      <c r="P146" s="1">
        <f>Table4[[#This Row],[Daily Rate]]/8*(1.5*Table4[[#This Row],[Total Saturday]])</f>
        <v>60975</v>
      </c>
      <c r="Q146" s="1">
        <f>Table4[[#This Row],[Daily Rate]]/8*(2*Table4[[#This Row],[Total Sunday]])</f>
        <v>0</v>
      </c>
      <c r="R146" s="1">
        <f>2500*Table4[[#This Row],[Night Worked]]</f>
        <v>0</v>
      </c>
      <c r="S146" s="1">
        <f>500*Table4[[#This Row],[Total Weekday]]</f>
        <v>10000</v>
      </c>
      <c r="Y146" s="1">
        <f>SUM(Table4[[#This Row],[Wkd Earning]:[Arrears]])</f>
        <v>349596.875</v>
      </c>
      <c r="Z146" s="1">
        <f>0.05*Table4[[#This Row],[Total Earnings]]</f>
        <v>17479.84375</v>
      </c>
      <c r="AA146" s="1">
        <f>Table4[[#This Row],[Total Earnings]]</f>
        <v>349596.875</v>
      </c>
      <c r="AB146" s="1">
        <f>Table4[[#This Row],[Gross Salary]]-Table4[[#This Row],[WHT]]</f>
        <v>332117.03125</v>
      </c>
    </row>
    <row r="147" spans="1:28" x14ac:dyDescent="0.3">
      <c r="A147" t="s">
        <v>421</v>
      </c>
      <c r="B147" t="s">
        <v>857</v>
      </c>
      <c r="C147" t="s">
        <v>441</v>
      </c>
      <c r="D147" t="s">
        <v>213</v>
      </c>
      <c r="E147" t="s">
        <v>888</v>
      </c>
      <c r="F147" s="1">
        <v>13550</v>
      </c>
      <c r="G147">
        <v>47</v>
      </c>
      <c r="H147" t="s">
        <v>7</v>
      </c>
      <c r="I147">
        <v>22</v>
      </c>
      <c r="J147">
        <v>5</v>
      </c>
      <c r="K147">
        <v>24</v>
      </c>
      <c r="L147">
        <v>0</v>
      </c>
      <c r="M147">
        <v>0</v>
      </c>
      <c r="N147" s="1">
        <f>Table4[[#This Row],[Total Weekday]]*Table4[[#This Row],[Daily Rate]]</f>
        <v>298100</v>
      </c>
      <c r="O147" s="8">
        <f>Table4[[#This Row],[Daily Rate]]/8*1.5*Table4[[#This Row],[Weekday OVT]]</f>
        <v>12703.125</v>
      </c>
      <c r="P147" s="1">
        <f>Table4[[#This Row],[Daily Rate]]/8*(1.5*Table4[[#This Row],[Total Saturday]])</f>
        <v>60975</v>
      </c>
      <c r="Q147" s="1">
        <f>Table4[[#This Row],[Daily Rate]]/8*(2*Table4[[#This Row],[Total Sunday]])</f>
        <v>0</v>
      </c>
      <c r="R147" s="1">
        <f>2500*Table4[[#This Row],[Night Worked]]</f>
        <v>0</v>
      </c>
      <c r="S147" s="1">
        <f>500*Table4[[#This Row],[Total Weekday]]</f>
        <v>11000</v>
      </c>
      <c r="Y147" s="1">
        <f>SUM(Table4[[#This Row],[Wkd Earning]:[Arrears]])</f>
        <v>382778.125</v>
      </c>
      <c r="Z147" s="1">
        <f>0.05*Table4[[#This Row],[Total Earnings]]</f>
        <v>19138.90625</v>
      </c>
      <c r="AA147" s="1">
        <f>Table4[[#This Row],[Total Earnings]]</f>
        <v>382778.125</v>
      </c>
      <c r="AB147" s="1">
        <f>Table4[[#This Row],[Gross Salary]]-Table4[[#This Row],[WHT]]</f>
        <v>363639.21875</v>
      </c>
    </row>
    <row r="148" spans="1:28" x14ac:dyDescent="0.3">
      <c r="A148" t="s">
        <v>329</v>
      </c>
      <c r="B148" t="s">
        <v>858</v>
      </c>
      <c r="C148" t="s">
        <v>330</v>
      </c>
      <c r="D148" t="s">
        <v>12</v>
      </c>
      <c r="E148" t="s">
        <v>888</v>
      </c>
      <c r="F148" s="1">
        <v>10250</v>
      </c>
      <c r="G148">
        <v>64</v>
      </c>
      <c r="H148" t="s">
        <v>7</v>
      </c>
      <c r="I148">
        <v>21</v>
      </c>
      <c r="J148">
        <v>90</v>
      </c>
      <c r="K148">
        <v>48</v>
      </c>
      <c r="L148">
        <v>10</v>
      </c>
      <c r="M148">
        <v>0</v>
      </c>
      <c r="N148" s="1">
        <f>Table4[[#This Row],[Total Weekday]]*Table4[[#This Row],[Daily Rate]]</f>
        <v>215250</v>
      </c>
      <c r="O148" s="8">
        <f>Table4[[#This Row],[Daily Rate]]/8*1.5*Table4[[#This Row],[Weekday OVT]]</f>
        <v>172968.75</v>
      </c>
      <c r="P148" s="1">
        <f>Table4[[#This Row],[Daily Rate]]/8*(1.5*Table4[[#This Row],[Total Saturday]])</f>
        <v>92250</v>
      </c>
      <c r="Q148" s="1">
        <f>Table4[[#This Row],[Daily Rate]]/8*(2*Table4[[#This Row],[Total Sunday]])</f>
        <v>25625</v>
      </c>
      <c r="R148" s="1">
        <f>2500*Table4[[#This Row],[Night Worked]]</f>
        <v>0</v>
      </c>
      <c r="S148" s="1">
        <f>500*Table4[[#This Row],[Total Weekday]]</f>
        <v>10500</v>
      </c>
      <c r="Y148" s="1">
        <f>SUM(Table4[[#This Row],[Wkd Earning]:[Arrears]])</f>
        <v>516593.75</v>
      </c>
      <c r="Z148" s="1">
        <f>0.05*Table4[[#This Row],[Total Earnings]]</f>
        <v>25829.6875</v>
      </c>
      <c r="AA148" s="1">
        <f>Table4[[#This Row],[Total Earnings]]</f>
        <v>516593.75</v>
      </c>
      <c r="AB148" s="1">
        <f>Table4[[#This Row],[Gross Salary]]-Table4[[#This Row],[WHT]]</f>
        <v>490764.0625</v>
      </c>
    </row>
    <row r="149" spans="1:28" x14ac:dyDescent="0.3">
      <c r="A149" t="s">
        <v>432</v>
      </c>
      <c r="B149" t="s">
        <v>94</v>
      </c>
      <c r="C149" t="s">
        <v>433</v>
      </c>
      <c r="D149" t="s">
        <v>273</v>
      </c>
      <c r="E149" t="s">
        <v>888</v>
      </c>
      <c r="F149" s="1">
        <v>13150</v>
      </c>
      <c r="G149">
        <v>52</v>
      </c>
      <c r="H149" t="s">
        <v>7</v>
      </c>
      <c r="I149">
        <v>19</v>
      </c>
      <c r="J149">
        <v>0</v>
      </c>
      <c r="K149">
        <v>6</v>
      </c>
      <c r="L149">
        <v>0</v>
      </c>
      <c r="M149">
        <v>0</v>
      </c>
      <c r="N149" s="1">
        <f>Table4[[#This Row],[Total Weekday]]*Table4[[#This Row],[Daily Rate]]</f>
        <v>249850</v>
      </c>
      <c r="O149" s="8">
        <f>Table4[[#This Row],[Daily Rate]]/8*1.5*Table4[[#This Row],[Weekday OVT]]</f>
        <v>0</v>
      </c>
      <c r="P149" s="1">
        <f>Table4[[#This Row],[Daily Rate]]/8*(1.5*Table4[[#This Row],[Total Saturday]])</f>
        <v>14793.75</v>
      </c>
      <c r="Q149" s="1">
        <f>Table4[[#This Row],[Daily Rate]]/8*(2*Table4[[#This Row],[Total Sunday]])</f>
        <v>0</v>
      </c>
      <c r="R149" s="1">
        <f>2500*Table4[[#This Row],[Night Worked]]</f>
        <v>0</v>
      </c>
      <c r="S149" s="1">
        <f>500*Table4[[#This Row],[Total Weekday]]</f>
        <v>9500</v>
      </c>
      <c r="Y149" s="1">
        <f>SUM(Table4[[#This Row],[Wkd Earning]:[Arrears]])</f>
        <v>274143.75</v>
      </c>
      <c r="Z149" s="1">
        <f>0.05*Table4[[#This Row],[Total Earnings]]</f>
        <v>13707.1875</v>
      </c>
      <c r="AA149" s="1">
        <f>Table4[[#This Row],[Total Earnings]]</f>
        <v>274143.75</v>
      </c>
      <c r="AB149" s="1">
        <f>Table4[[#This Row],[Gross Salary]]-Table4[[#This Row],[WHT]]</f>
        <v>260436.5625</v>
      </c>
    </row>
    <row r="150" spans="1:28" x14ac:dyDescent="0.3">
      <c r="A150" t="s">
        <v>170</v>
      </c>
      <c r="B150" t="s">
        <v>171</v>
      </c>
      <c r="C150" t="s">
        <v>859</v>
      </c>
      <c r="D150" t="s">
        <v>273</v>
      </c>
      <c r="E150" t="s">
        <v>888</v>
      </c>
      <c r="F150" s="1">
        <v>13150</v>
      </c>
      <c r="G150">
        <v>55</v>
      </c>
      <c r="H150" t="s">
        <v>7</v>
      </c>
      <c r="I150">
        <v>22</v>
      </c>
      <c r="J150">
        <v>8</v>
      </c>
      <c r="K150">
        <v>8</v>
      </c>
      <c r="L150">
        <v>0</v>
      </c>
      <c r="M150">
        <v>0</v>
      </c>
      <c r="N150" s="1">
        <f>Table4[[#This Row],[Total Weekday]]*Table4[[#This Row],[Daily Rate]]</f>
        <v>289300</v>
      </c>
      <c r="O150" s="8">
        <f>Table4[[#This Row],[Daily Rate]]/8*1.5*Table4[[#This Row],[Weekday OVT]]</f>
        <v>19725</v>
      </c>
      <c r="P150" s="1">
        <f>Table4[[#This Row],[Daily Rate]]/8*(1.5*Table4[[#This Row],[Total Saturday]])</f>
        <v>19725</v>
      </c>
      <c r="Q150" s="1">
        <f>Table4[[#This Row],[Daily Rate]]/8*(2*Table4[[#This Row],[Total Sunday]])</f>
        <v>0</v>
      </c>
      <c r="R150" s="1">
        <f>2500*Table4[[#This Row],[Night Worked]]</f>
        <v>0</v>
      </c>
      <c r="S150" s="1">
        <f>500*Table4[[#This Row],[Total Weekday]]</f>
        <v>11000</v>
      </c>
      <c r="Y150" s="1">
        <f>SUM(Table4[[#This Row],[Wkd Earning]:[Arrears]])</f>
        <v>339750</v>
      </c>
      <c r="Z150" s="1">
        <f>0.05*Table4[[#This Row],[Total Earnings]]</f>
        <v>16987.5</v>
      </c>
      <c r="AA150" s="1">
        <f>Table4[[#This Row],[Total Earnings]]</f>
        <v>339750</v>
      </c>
      <c r="AB150" s="1">
        <f>Table4[[#This Row],[Gross Salary]]-Table4[[#This Row],[WHT]]</f>
        <v>322762.5</v>
      </c>
    </row>
    <row r="151" spans="1:28" x14ac:dyDescent="0.3">
      <c r="A151" t="s">
        <v>465</v>
      </c>
      <c r="B151" t="s">
        <v>466</v>
      </c>
      <c r="C151" t="s">
        <v>367</v>
      </c>
      <c r="D151" t="s">
        <v>154</v>
      </c>
      <c r="E151" t="s">
        <v>888</v>
      </c>
      <c r="F151" s="1">
        <v>14050</v>
      </c>
      <c r="G151">
        <v>61</v>
      </c>
      <c r="H151" t="s">
        <v>7</v>
      </c>
      <c r="I151">
        <v>22</v>
      </c>
      <c r="J151">
        <v>0</v>
      </c>
      <c r="K151">
        <v>24</v>
      </c>
      <c r="L151">
        <v>0</v>
      </c>
      <c r="M151">
        <v>0</v>
      </c>
      <c r="N151" s="1">
        <f>Table4[[#This Row],[Total Weekday]]*Table4[[#This Row],[Daily Rate]]</f>
        <v>309100</v>
      </c>
      <c r="O151" s="8">
        <f>Table4[[#This Row],[Daily Rate]]/8*1.5*Table4[[#This Row],[Weekday OVT]]</f>
        <v>0</v>
      </c>
      <c r="P151" s="1">
        <f>Table4[[#This Row],[Daily Rate]]/8*(1.5*Table4[[#This Row],[Total Saturday]])</f>
        <v>63225</v>
      </c>
      <c r="Q151" s="1">
        <f>Table4[[#This Row],[Daily Rate]]/8*(2*Table4[[#This Row],[Total Sunday]])</f>
        <v>0</v>
      </c>
      <c r="R151" s="1">
        <f>2500*Table4[[#This Row],[Night Worked]]</f>
        <v>0</v>
      </c>
      <c r="S151" s="1">
        <f>500*Table4[[#This Row],[Total Weekday]]</f>
        <v>11000</v>
      </c>
      <c r="T151" s="1"/>
      <c r="U151" s="1"/>
      <c r="V151" s="1"/>
      <c r="W151" s="1"/>
      <c r="X151" s="1"/>
      <c r="Y151" s="1">
        <f>SUM(Table4[[#This Row],[Wkd Earning]:[Arrears]])</f>
        <v>383325</v>
      </c>
      <c r="Z151" s="1">
        <f>0.05*Table4[[#This Row],[Total Earnings]]</f>
        <v>19166.25</v>
      </c>
      <c r="AA151" s="1">
        <f>Table4[[#This Row],[Total Earnings]]</f>
        <v>383325</v>
      </c>
      <c r="AB151" s="1">
        <f>Table4[[#This Row],[Gross Salary]]-Table4[[#This Row],[WHT]]</f>
        <v>364158.75</v>
      </c>
    </row>
    <row r="152" spans="1:28" x14ac:dyDescent="0.3">
      <c r="A152" t="s">
        <v>151</v>
      </c>
      <c r="B152" t="s">
        <v>152</v>
      </c>
      <c r="C152" t="s">
        <v>153</v>
      </c>
      <c r="D152" t="s">
        <v>154</v>
      </c>
      <c r="E152" t="s">
        <v>888</v>
      </c>
      <c r="F152" s="1">
        <v>14050</v>
      </c>
      <c r="G152">
        <v>55</v>
      </c>
      <c r="H152" t="s">
        <v>7</v>
      </c>
      <c r="I152">
        <v>22</v>
      </c>
      <c r="J152">
        <v>0</v>
      </c>
      <c r="K152">
        <v>12</v>
      </c>
      <c r="L152">
        <v>0</v>
      </c>
      <c r="M152">
        <v>0</v>
      </c>
      <c r="N152" s="1">
        <f>Table4[[#This Row],[Total Weekday]]*Table4[[#This Row],[Daily Rate]]</f>
        <v>309100</v>
      </c>
      <c r="O152" s="8">
        <f>Table4[[#This Row],[Daily Rate]]/8*1.5*Table4[[#This Row],[Weekday OVT]]</f>
        <v>0</v>
      </c>
      <c r="P152" s="1">
        <f>Table4[[#This Row],[Daily Rate]]/8*(1.5*Table4[[#This Row],[Total Saturday]])</f>
        <v>31612.5</v>
      </c>
      <c r="Q152" s="1">
        <f>Table4[[#This Row],[Daily Rate]]/8*(2*Table4[[#This Row],[Total Sunday]])</f>
        <v>0</v>
      </c>
      <c r="R152" s="1">
        <f>2500*Table4[[#This Row],[Night Worked]]</f>
        <v>0</v>
      </c>
      <c r="S152" s="1">
        <f>500*Table4[[#This Row],[Total Weekday]]</f>
        <v>11000</v>
      </c>
      <c r="T152" s="1"/>
      <c r="U152" s="1"/>
      <c r="V152" s="1"/>
      <c r="W152" s="1"/>
      <c r="X152" s="1"/>
      <c r="Y152" s="1">
        <f>SUM(Table4[[#This Row],[Wkd Earning]:[Arrears]])</f>
        <v>351712.5</v>
      </c>
      <c r="Z152" s="1">
        <f>0.05*Table4[[#This Row],[Total Earnings]]</f>
        <v>17585.625</v>
      </c>
      <c r="AA152" s="1">
        <f>Table4[[#This Row],[Total Earnings]]</f>
        <v>351712.5</v>
      </c>
      <c r="AB152" s="1">
        <f>Table4[[#This Row],[Gross Salary]]-Table4[[#This Row],[WHT]]</f>
        <v>334126.875</v>
      </c>
    </row>
    <row r="153" spans="1:28" x14ac:dyDescent="0.3">
      <c r="A153" t="s">
        <v>460</v>
      </c>
      <c r="B153" t="s">
        <v>462</v>
      </c>
      <c r="C153" t="s">
        <v>461</v>
      </c>
      <c r="D153" t="s">
        <v>154</v>
      </c>
      <c r="E153" t="s">
        <v>888</v>
      </c>
      <c r="F153" s="1">
        <v>14050</v>
      </c>
      <c r="G153">
        <v>51</v>
      </c>
      <c r="H153" t="s">
        <v>7</v>
      </c>
      <c r="I153">
        <v>22</v>
      </c>
      <c r="J153">
        <v>0</v>
      </c>
      <c r="K153">
        <v>6</v>
      </c>
      <c r="L153">
        <v>0</v>
      </c>
      <c r="M153">
        <v>0</v>
      </c>
      <c r="N153" s="1">
        <f>Table4[[#This Row],[Total Weekday]]*Table4[[#This Row],[Daily Rate]]</f>
        <v>309100</v>
      </c>
      <c r="O153" s="8">
        <f>Table4[[#This Row],[Daily Rate]]/8*1.5*Table4[[#This Row],[Weekday OVT]]</f>
        <v>0</v>
      </c>
      <c r="P153" s="1">
        <f>Table4[[#This Row],[Daily Rate]]/8*(1.5*Table4[[#This Row],[Total Saturday]])</f>
        <v>15806.25</v>
      </c>
      <c r="Q153" s="1">
        <f>Table4[[#This Row],[Daily Rate]]/8*(2*Table4[[#This Row],[Total Sunday]])</f>
        <v>0</v>
      </c>
      <c r="R153" s="1">
        <f>2500*Table4[[#This Row],[Night Worked]]</f>
        <v>0</v>
      </c>
      <c r="S153" s="1">
        <f>500*Table4[[#This Row],[Total Weekday]]</f>
        <v>11000</v>
      </c>
      <c r="T153" s="1"/>
      <c r="U153" s="1"/>
      <c r="V153" s="1"/>
      <c r="W153" s="1"/>
      <c r="X153" s="1"/>
      <c r="Y153" s="1">
        <f>SUM(Table4[[#This Row],[Wkd Earning]:[Arrears]])</f>
        <v>335906.25</v>
      </c>
      <c r="Z153" s="1">
        <f>0.05*Table4[[#This Row],[Total Earnings]]</f>
        <v>16795.3125</v>
      </c>
      <c r="AA153" s="1">
        <f>Table4[[#This Row],[Total Earnings]]</f>
        <v>335906.25</v>
      </c>
      <c r="AB153" s="1">
        <f>Table4[[#This Row],[Gross Salary]]-Table4[[#This Row],[WHT]]</f>
        <v>319110.9375</v>
      </c>
    </row>
    <row r="154" spans="1:28" x14ac:dyDescent="0.3">
      <c r="A154" t="s">
        <v>394</v>
      </c>
      <c r="B154" t="s">
        <v>227</v>
      </c>
      <c r="C154" t="s">
        <v>395</v>
      </c>
      <c r="D154" t="s">
        <v>154</v>
      </c>
      <c r="E154" t="s">
        <v>888</v>
      </c>
      <c r="F154" s="1">
        <v>14050</v>
      </c>
      <c r="G154">
        <v>42</v>
      </c>
      <c r="H154" t="s">
        <v>7</v>
      </c>
      <c r="I154">
        <v>22</v>
      </c>
      <c r="J154">
        <v>5</v>
      </c>
      <c r="K154">
        <v>12</v>
      </c>
      <c r="L154">
        <v>0</v>
      </c>
      <c r="M154">
        <v>0</v>
      </c>
      <c r="N154" s="1">
        <f>Table4[[#This Row],[Total Weekday]]*Table4[[#This Row],[Daily Rate]]</f>
        <v>309100</v>
      </c>
      <c r="O154" s="8">
        <f>Table4[[#This Row],[Daily Rate]]/8*1.5*Table4[[#This Row],[Weekday OVT]]</f>
        <v>13171.875</v>
      </c>
      <c r="P154" s="1">
        <f>Table4[[#This Row],[Daily Rate]]/8*(1.5*Table4[[#This Row],[Total Saturday]])</f>
        <v>31612.5</v>
      </c>
      <c r="Q154" s="1">
        <f>Table4[[#This Row],[Daily Rate]]/8*(2*Table4[[#This Row],[Total Sunday]])</f>
        <v>0</v>
      </c>
      <c r="R154" s="1">
        <f>2500*Table4[[#This Row],[Night Worked]]</f>
        <v>0</v>
      </c>
      <c r="S154" s="1">
        <f>500*Table4[[#This Row],[Total Weekday]]</f>
        <v>11000</v>
      </c>
      <c r="T154" s="1"/>
      <c r="U154" s="1"/>
      <c r="V154" s="1"/>
      <c r="W154" s="1"/>
      <c r="X154" s="1"/>
      <c r="Y154" s="1">
        <f>SUM(Table4[[#This Row],[Wkd Earning]:[Arrears]])</f>
        <v>364884.375</v>
      </c>
      <c r="Z154" s="1">
        <f>0.05*Table4[[#This Row],[Total Earnings]]</f>
        <v>18244.21875</v>
      </c>
      <c r="AA154" s="1">
        <f>Table4[[#This Row],[Total Earnings]]</f>
        <v>364884.375</v>
      </c>
      <c r="AB154" s="1">
        <f>Table4[[#This Row],[Gross Salary]]-Table4[[#This Row],[WHT]]</f>
        <v>346640.15625</v>
      </c>
    </row>
    <row r="155" spans="1:28" x14ac:dyDescent="0.3">
      <c r="A155" t="s">
        <v>426</v>
      </c>
      <c r="B155" t="s">
        <v>428</v>
      </c>
      <c r="C155" t="s">
        <v>427</v>
      </c>
      <c r="D155" t="s">
        <v>154</v>
      </c>
      <c r="E155" t="s">
        <v>888</v>
      </c>
      <c r="F155" s="1">
        <v>14050</v>
      </c>
      <c r="G155">
        <v>54</v>
      </c>
      <c r="H155" t="s">
        <v>7</v>
      </c>
      <c r="I155">
        <v>22</v>
      </c>
      <c r="J155">
        <v>5</v>
      </c>
      <c r="K155">
        <v>12</v>
      </c>
      <c r="L155">
        <v>0</v>
      </c>
      <c r="M155">
        <v>0</v>
      </c>
      <c r="N155" s="1">
        <f>Table4[[#This Row],[Total Weekday]]*Table4[[#This Row],[Daily Rate]]</f>
        <v>309100</v>
      </c>
      <c r="O155" s="8">
        <f>Table4[[#This Row],[Daily Rate]]/8*1.5*Table4[[#This Row],[Weekday OVT]]</f>
        <v>13171.875</v>
      </c>
      <c r="P155" s="1">
        <f>Table4[[#This Row],[Daily Rate]]/8*(1.5*Table4[[#This Row],[Total Saturday]])</f>
        <v>31612.5</v>
      </c>
      <c r="Q155" s="1">
        <f>Table4[[#This Row],[Daily Rate]]/8*(2*Table4[[#This Row],[Total Sunday]])</f>
        <v>0</v>
      </c>
      <c r="R155" s="1">
        <f>2500*Table4[[#This Row],[Night Worked]]</f>
        <v>0</v>
      </c>
      <c r="S155" s="1">
        <f>500*Table4[[#This Row],[Total Weekday]]</f>
        <v>11000</v>
      </c>
      <c r="Y155" s="1">
        <f>SUM(Table4[[#This Row],[Wkd Earning]:[Arrears]])</f>
        <v>364884.375</v>
      </c>
      <c r="Z155" s="1">
        <f>0.05*Table4[[#This Row],[Total Earnings]]</f>
        <v>18244.21875</v>
      </c>
      <c r="AA155" s="1">
        <f>Table4[[#This Row],[Total Earnings]]</f>
        <v>364884.375</v>
      </c>
      <c r="AB155" s="1">
        <f>Table4[[#This Row],[Gross Salary]]-Table4[[#This Row],[WHT]]</f>
        <v>346640.15625</v>
      </c>
    </row>
    <row r="156" spans="1:28" x14ac:dyDescent="0.3">
      <c r="A156" t="s">
        <v>165</v>
      </c>
      <c r="B156" t="s">
        <v>166</v>
      </c>
      <c r="C156" t="s">
        <v>860</v>
      </c>
      <c r="D156" t="s">
        <v>154</v>
      </c>
      <c r="E156" t="s">
        <v>888</v>
      </c>
      <c r="F156" s="1">
        <v>14050</v>
      </c>
      <c r="G156">
        <v>55</v>
      </c>
      <c r="H156" t="s">
        <v>7</v>
      </c>
      <c r="I156">
        <v>22</v>
      </c>
      <c r="J156">
        <v>3</v>
      </c>
      <c r="K156">
        <v>12</v>
      </c>
      <c r="L156">
        <v>0</v>
      </c>
      <c r="M156">
        <v>0</v>
      </c>
      <c r="N156" s="1">
        <f>Table4[[#This Row],[Total Weekday]]*Table4[[#This Row],[Daily Rate]]</f>
        <v>309100</v>
      </c>
      <c r="O156" s="8">
        <f>Table4[[#This Row],[Daily Rate]]/8*1.5*Table4[[#This Row],[Weekday OVT]]</f>
        <v>7903.125</v>
      </c>
      <c r="P156" s="1">
        <f>Table4[[#This Row],[Daily Rate]]/8*(1.5*Table4[[#This Row],[Total Saturday]])</f>
        <v>31612.5</v>
      </c>
      <c r="Q156" s="1">
        <f>Table4[[#This Row],[Daily Rate]]/8*(2*Table4[[#This Row],[Total Sunday]])</f>
        <v>0</v>
      </c>
      <c r="R156" s="1">
        <f>2500*Table4[[#This Row],[Night Worked]]</f>
        <v>0</v>
      </c>
      <c r="S156" s="1">
        <f>500*Table4[[#This Row],[Total Weekday]]</f>
        <v>11000</v>
      </c>
      <c r="Y156" s="1">
        <f>SUM(Table4[[#This Row],[Wkd Earning]:[Arrears]])</f>
        <v>359615.625</v>
      </c>
      <c r="Z156" s="1">
        <f>0.05*Table4[[#This Row],[Total Earnings]]</f>
        <v>17980.78125</v>
      </c>
      <c r="AA156" s="1">
        <f>Table4[[#This Row],[Total Earnings]]</f>
        <v>359615.625</v>
      </c>
      <c r="AB156" s="1">
        <f>Table4[[#This Row],[Gross Salary]]-Table4[[#This Row],[WHT]]</f>
        <v>341634.84375</v>
      </c>
    </row>
    <row r="157" spans="1:28" x14ac:dyDescent="0.3">
      <c r="A157" t="s">
        <v>429</v>
      </c>
      <c r="B157" t="s">
        <v>430</v>
      </c>
      <c r="C157" t="s">
        <v>431</v>
      </c>
      <c r="D157" t="s">
        <v>154</v>
      </c>
      <c r="E157" t="s">
        <v>888</v>
      </c>
      <c r="F157" s="1">
        <v>14050</v>
      </c>
      <c r="G157">
        <v>46</v>
      </c>
      <c r="H157" t="s">
        <v>7</v>
      </c>
      <c r="I157">
        <v>21</v>
      </c>
      <c r="J157">
        <v>3</v>
      </c>
      <c r="K157">
        <v>12</v>
      </c>
      <c r="L157">
        <v>0</v>
      </c>
      <c r="M157">
        <v>0</v>
      </c>
      <c r="N157" s="1">
        <f>Table4[[#This Row],[Total Weekday]]*Table4[[#This Row],[Daily Rate]]</f>
        <v>295050</v>
      </c>
      <c r="O157" s="8">
        <f>Table4[[#This Row],[Daily Rate]]/8*1.5*Table4[[#This Row],[Weekday OVT]]</f>
        <v>7903.125</v>
      </c>
      <c r="P157" s="1">
        <f>Table4[[#This Row],[Daily Rate]]/8*(1.5*Table4[[#This Row],[Total Saturday]])</f>
        <v>31612.5</v>
      </c>
      <c r="Q157" s="1">
        <f>Table4[[#This Row],[Daily Rate]]/8*(2*Table4[[#This Row],[Total Sunday]])</f>
        <v>0</v>
      </c>
      <c r="R157" s="1">
        <f>2500*Table4[[#This Row],[Night Worked]]</f>
        <v>0</v>
      </c>
      <c r="S157" s="1">
        <f>500*Table4[[#This Row],[Total Weekday]]</f>
        <v>10500</v>
      </c>
      <c r="Y157" s="1">
        <f>SUM(Table4[[#This Row],[Wkd Earning]:[Arrears]])</f>
        <v>345065.625</v>
      </c>
      <c r="Z157" s="1">
        <f>0.05*Table4[[#This Row],[Total Earnings]]</f>
        <v>17253.28125</v>
      </c>
      <c r="AA157" s="1">
        <f>Table4[[#This Row],[Total Earnings]]</f>
        <v>345065.625</v>
      </c>
      <c r="AB157" s="1">
        <f>Table4[[#This Row],[Gross Salary]]-Table4[[#This Row],[WHT]]</f>
        <v>327812.34375</v>
      </c>
    </row>
    <row r="158" spans="1:28" x14ac:dyDescent="0.3">
      <c r="A158" t="s">
        <v>200</v>
      </c>
      <c r="B158" t="s">
        <v>201</v>
      </c>
      <c r="C158" t="s">
        <v>861</v>
      </c>
      <c r="D158" t="s">
        <v>154</v>
      </c>
      <c r="E158" t="s">
        <v>888</v>
      </c>
      <c r="F158" s="1">
        <v>14050</v>
      </c>
      <c r="G158">
        <v>55</v>
      </c>
      <c r="H158" t="s">
        <v>7</v>
      </c>
      <c r="I158">
        <v>22</v>
      </c>
      <c r="J158">
        <v>0</v>
      </c>
      <c r="K158">
        <v>18</v>
      </c>
      <c r="L158">
        <v>0</v>
      </c>
      <c r="M158">
        <v>0</v>
      </c>
      <c r="N158" s="1">
        <f>Table4[[#This Row],[Total Weekday]]*Table4[[#This Row],[Daily Rate]]</f>
        <v>309100</v>
      </c>
      <c r="O158" s="8">
        <f>Table4[[#This Row],[Daily Rate]]/8*1.5*Table4[[#This Row],[Weekday OVT]]</f>
        <v>0</v>
      </c>
      <c r="P158" s="1">
        <f>Table4[[#This Row],[Daily Rate]]/8*(1.5*Table4[[#This Row],[Total Saturday]])</f>
        <v>47418.75</v>
      </c>
      <c r="Q158" s="1">
        <f>Table4[[#This Row],[Daily Rate]]/8*(2*Table4[[#This Row],[Total Sunday]])</f>
        <v>0</v>
      </c>
      <c r="R158" s="1">
        <f>2500*Table4[[#This Row],[Night Worked]]</f>
        <v>0</v>
      </c>
      <c r="S158" s="1">
        <f>500*Table4[[#This Row],[Total Weekday]]</f>
        <v>11000</v>
      </c>
      <c r="Y158" s="1">
        <f>SUM(Table4[[#This Row],[Wkd Earning]:[Arrears]])</f>
        <v>367518.75</v>
      </c>
      <c r="Z158" s="1">
        <f>0.05*Table4[[#This Row],[Total Earnings]]</f>
        <v>18375.9375</v>
      </c>
      <c r="AA158" s="1">
        <f>Table4[[#This Row],[Total Earnings]]</f>
        <v>367518.75</v>
      </c>
      <c r="AB158" s="1">
        <f>Table4[[#This Row],[Gross Salary]]-Table4[[#This Row],[WHT]]</f>
        <v>349142.8125</v>
      </c>
    </row>
    <row r="159" spans="1:28" x14ac:dyDescent="0.3">
      <c r="A159" t="s">
        <v>192</v>
      </c>
      <c r="B159" t="s">
        <v>862</v>
      </c>
      <c r="C159" t="s">
        <v>193</v>
      </c>
      <c r="D159" t="s">
        <v>154</v>
      </c>
      <c r="E159" t="s">
        <v>888</v>
      </c>
      <c r="F159" s="1">
        <v>14050</v>
      </c>
      <c r="G159">
        <v>55</v>
      </c>
      <c r="H159" t="s">
        <v>7</v>
      </c>
      <c r="I159">
        <v>15</v>
      </c>
      <c r="J159">
        <v>0</v>
      </c>
      <c r="K159">
        <v>6</v>
      </c>
      <c r="L159">
        <v>0</v>
      </c>
      <c r="M159">
        <v>0</v>
      </c>
      <c r="N159" s="1">
        <f>Table4[[#This Row],[Total Weekday]]*Table4[[#This Row],[Daily Rate]]</f>
        <v>210750</v>
      </c>
      <c r="O159" s="8">
        <f>Table4[[#This Row],[Daily Rate]]/8*1.5*Table4[[#This Row],[Weekday OVT]]</f>
        <v>0</v>
      </c>
      <c r="P159" s="1">
        <f>Table4[[#This Row],[Daily Rate]]/8*(1.5*Table4[[#This Row],[Total Saturday]])</f>
        <v>15806.25</v>
      </c>
      <c r="Q159" s="1">
        <f>Table4[[#This Row],[Daily Rate]]/8*(2*Table4[[#This Row],[Total Sunday]])</f>
        <v>0</v>
      </c>
      <c r="R159" s="1">
        <f>2500*Table4[[#This Row],[Night Worked]]</f>
        <v>0</v>
      </c>
      <c r="S159" s="1">
        <f>500*Table4[[#This Row],[Total Weekday]]</f>
        <v>7500</v>
      </c>
      <c r="Y159" s="1">
        <f>SUM(Table4[[#This Row],[Wkd Earning]:[Arrears]])</f>
        <v>234056.25</v>
      </c>
      <c r="Z159" s="1">
        <f>0.05*Table4[[#This Row],[Total Earnings]]</f>
        <v>11702.8125</v>
      </c>
      <c r="AA159" s="1">
        <f>Table4[[#This Row],[Total Earnings]]</f>
        <v>234056.25</v>
      </c>
      <c r="AB159" s="1">
        <f>Table4[[#This Row],[Gross Salary]]-Table4[[#This Row],[WHT]]</f>
        <v>222353.4375</v>
      </c>
    </row>
    <row r="160" spans="1:28" x14ac:dyDescent="0.3">
      <c r="A160" t="s">
        <v>442</v>
      </c>
      <c r="B160" t="s">
        <v>444</v>
      </c>
      <c r="C160" t="s">
        <v>443</v>
      </c>
      <c r="D160" t="s">
        <v>863</v>
      </c>
      <c r="E160" t="s">
        <v>888</v>
      </c>
      <c r="F160" s="1">
        <v>8100</v>
      </c>
      <c r="G160">
        <v>20</v>
      </c>
      <c r="H160" t="s">
        <v>7</v>
      </c>
      <c r="I160">
        <v>22</v>
      </c>
      <c r="J160">
        <v>6</v>
      </c>
      <c r="K160">
        <v>24</v>
      </c>
      <c r="L160">
        <v>6</v>
      </c>
      <c r="M160">
        <v>0</v>
      </c>
      <c r="N160" s="1">
        <f>Table4[[#This Row],[Total Weekday]]*Table4[[#This Row],[Daily Rate]]</f>
        <v>178200</v>
      </c>
      <c r="O160" s="8">
        <f>Table4[[#This Row],[Daily Rate]]/8*1.5*Table4[[#This Row],[Weekday OVT]]</f>
        <v>9112.5</v>
      </c>
      <c r="P160" s="1">
        <f>Table4[[#This Row],[Daily Rate]]/8*(1.5*Table4[[#This Row],[Total Saturday]])</f>
        <v>36450</v>
      </c>
      <c r="Q160" s="1">
        <f>Table4[[#This Row],[Daily Rate]]/8*(2*Table4[[#This Row],[Total Sunday]])</f>
        <v>12150</v>
      </c>
      <c r="R160" s="1">
        <f>2500*Table4[[#This Row],[Night Worked]]</f>
        <v>0</v>
      </c>
      <c r="S160" s="1">
        <f>500*Table4[[#This Row],[Total Weekday]]</f>
        <v>11000</v>
      </c>
      <c r="Y160" s="1">
        <f>SUM(Table4[[#This Row],[Wkd Earning]:[Arrears]])</f>
        <v>246912.5</v>
      </c>
      <c r="Z160" s="1">
        <f>0.05*Table4[[#This Row],[Total Earnings]]</f>
        <v>12345.625</v>
      </c>
      <c r="AA160" s="1">
        <f>Table4[[#This Row],[Total Earnings]]</f>
        <v>246912.5</v>
      </c>
      <c r="AB160" s="1">
        <f>Table4[[#This Row],[Gross Salary]]-Table4[[#This Row],[WHT]]</f>
        <v>234566.875</v>
      </c>
    </row>
    <row r="161" spans="1:28" x14ac:dyDescent="0.3">
      <c r="A161" t="s">
        <v>198</v>
      </c>
      <c r="B161" t="s">
        <v>864</v>
      </c>
      <c r="C161" t="s">
        <v>187</v>
      </c>
      <c r="D161" t="s">
        <v>863</v>
      </c>
      <c r="E161" t="s">
        <v>888</v>
      </c>
      <c r="F161" s="1">
        <v>8100</v>
      </c>
      <c r="G161">
        <v>55</v>
      </c>
      <c r="H161" t="s">
        <v>7</v>
      </c>
      <c r="I161">
        <v>22</v>
      </c>
      <c r="J161">
        <v>0</v>
      </c>
      <c r="K161">
        <v>18</v>
      </c>
      <c r="L161">
        <v>0</v>
      </c>
      <c r="M161">
        <v>0</v>
      </c>
      <c r="N161" s="1">
        <f>Table4[[#This Row],[Total Weekday]]*Table4[[#This Row],[Daily Rate]]</f>
        <v>178200</v>
      </c>
      <c r="O161" s="8">
        <f>Table4[[#This Row],[Daily Rate]]/8*1.5*Table4[[#This Row],[Weekday OVT]]</f>
        <v>0</v>
      </c>
      <c r="P161" s="1">
        <f>Table4[[#This Row],[Daily Rate]]/8*(1.5*Table4[[#This Row],[Total Saturday]])</f>
        <v>27337.5</v>
      </c>
      <c r="Q161" s="1">
        <f>Table4[[#This Row],[Daily Rate]]/8*(2*Table4[[#This Row],[Total Sunday]])</f>
        <v>0</v>
      </c>
      <c r="R161" s="1">
        <f>2500*Table4[[#This Row],[Night Worked]]</f>
        <v>0</v>
      </c>
      <c r="S161" s="1">
        <f>500*Table4[[#This Row],[Total Weekday]]</f>
        <v>11000</v>
      </c>
      <c r="Y161" s="1">
        <f>SUM(Table4[[#This Row],[Wkd Earning]:[Arrears]])</f>
        <v>216537.5</v>
      </c>
      <c r="Z161" s="1">
        <f>0.05*Table4[[#This Row],[Total Earnings]]</f>
        <v>10826.875</v>
      </c>
      <c r="AA161" s="1">
        <f>Table4[[#This Row],[Total Earnings]]</f>
        <v>216537.5</v>
      </c>
      <c r="AB161" s="1">
        <f>Table4[[#This Row],[Gross Salary]]-Table4[[#This Row],[WHT]]</f>
        <v>205710.625</v>
      </c>
    </row>
    <row r="162" spans="1:28" x14ac:dyDescent="0.3">
      <c r="A162" t="s">
        <v>467</v>
      </c>
      <c r="B162" t="s">
        <v>469</v>
      </c>
      <c r="C162" t="s">
        <v>468</v>
      </c>
      <c r="D162" t="s">
        <v>863</v>
      </c>
      <c r="E162" t="s">
        <v>888</v>
      </c>
      <c r="F162" s="1">
        <v>8100</v>
      </c>
      <c r="G162">
        <v>21</v>
      </c>
      <c r="H162" t="s">
        <v>7</v>
      </c>
      <c r="I162">
        <v>22</v>
      </c>
      <c r="J162">
        <v>4</v>
      </c>
      <c r="K162">
        <v>24</v>
      </c>
      <c r="L162">
        <v>0</v>
      </c>
      <c r="M162">
        <v>0</v>
      </c>
      <c r="N162" s="1">
        <f>Table4[[#This Row],[Total Weekday]]*Table4[[#This Row],[Daily Rate]]</f>
        <v>178200</v>
      </c>
      <c r="O162" s="8">
        <f>Table4[[#This Row],[Daily Rate]]/8*1.5*Table4[[#This Row],[Weekday OVT]]</f>
        <v>6075</v>
      </c>
      <c r="P162" s="1">
        <f>Table4[[#This Row],[Daily Rate]]/8*(1.5*Table4[[#This Row],[Total Saturday]])</f>
        <v>36450</v>
      </c>
      <c r="Q162" s="1">
        <f>Table4[[#This Row],[Daily Rate]]/8*(2*Table4[[#This Row],[Total Sunday]])</f>
        <v>0</v>
      </c>
      <c r="R162" s="1">
        <f>2500*Table4[[#This Row],[Night Worked]]</f>
        <v>0</v>
      </c>
      <c r="S162" s="1">
        <f>500*Table4[[#This Row],[Total Weekday]]</f>
        <v>11000</v>
      </c>
      <c r="Y162" s="1">
        <f>SUM(Table4[[#This Row],[Wkd Earning]:[Arrears]])</f>
        <v>231725</v>
      </c>
      <c r="Z162" s="1">
        <f>0.05*Table4[[#This Row],[Total Earnings]]</f>
        <v>11586.25</v>
      </c>
      <c r="AA162" s="1">
        <f>Table4[[#This Row],[Total Earnings]]</f>
        <v>231725</v>
      </c>
      <c r="AB162" s="1">
        <f>Table4[[#This Row],[Gross Salary]]-Table4[[#This Row],[WHT]]</f>
        <v>220138.75</v>
      </c>
    </row>
    <row r="163" spans="1:28" x14ac:dyDescent="0.3">
      <c r="A163" t="s">
        <v>463</v>
      </c>
      <c r="B163" t="s">
        <v>139</v>
      </c>
      <c r="C163" t="s">
        <v>464</v>
      </c>
      <c r="D163" t="s">
        <v>863</v>
      </c>
      <c r="E163" t="s">
        <v>888</v>
      </c>
      <c r="F163" s="1">
        <v>8100</v>
      </c>
      <c r="G163">
        <v>53</v>
      </c>
      <c r="H163" t="s">
        <v>7</v>
      </c>
      <c r="I163">
        <v>22</v>
      </c>
      <c r="J163">
        <v>0</v>
      </c>
      <c r="K163">
        <v>24</v>
      </c>
      <c r="L163">
        <v>0</v>
      </c>
      <c r="M163">
        <v>0</v>
      </c>
      <c r="N163" s="1">
        <f>Table4[[#This Row],[Total Weekday]]*Table4[[#This Row],[Daily Rate]]</f>
        <v>178200</v>
      </c>
      <c r="O163" s="8">
        <f>Table4[[#This Row],[Daily Rate]]/8*1.5*Table4[[#This Row],[Weekday OVT]]</f>
        <v>0</v>
      </c>
      <c r="P163" s="1">
        <f>Table4[[#This Row],[Daily Rate]]/8*(1.5*Table4[[#This Row],[Total Saturday]])</f>
        <v>36450</v>
      </c>
      <c r="Q163" s="1">
        <f>Table4[[#This Row],[Daily Rate]]/8*(2*Table4[[#This Row],[Total Sunday]])</f>
        <v>0</v>
      </c>
      <c r="R163" s="1">
        <f>2500*Table4[[#This Row],[Night Worked]]</f>
        <v>0</v>
      </c>
      <c r="S163" s="1">
        <f>500*Table4[[#This Row],[Total Weekday]]</f>
        <v>11000</v>
      </c>
      <c r="Y163" s="1">
        <f>SUM(Table4[[#This Row],[Wkd Earning]:[Arrears]])</f>
        <v>225650</v>
      </c>
      <c r="Z163" s="1">
        <f>0.05*Table4[[#This Row],[Total Earnings]]</f>
        <v>11282.5</v>
      </c>
      <c r="AA163" s="1">
        <f>Table4[[#This Row],[Total Earnings]]</f>
        <v>225650</v>
      </c>
      <c r="AB163" s="1">
        <f>Table4[[#This Row],[Gross Salary]]-Table4[[#This Row],[WHT]]</f>
        <v>214367.5</v>
      </c>
    </row>
    <row r="164" spans="1:28" x14ac:dyDescent="0.3">
      <c r="A164" t="s">
        <v>211</v>
      </c>
      <c r="B164" t="s">
        <v>212</v>
      </c>
      <c r="C164" t="s">
        <v>384</v>
      </c>
      <c r="D164" t="s">
        <v>50</v>
      </c>
      <c r="E164" t="s">
        <v>888</v>
      </c>
      <c r="F164" s="1">
        <v>13550</v>
      </c>
      <c r="G164">
        <v>55</v>
      </c>
      <c r="H164" t="s">
        <v>7</v>
      </c>
      <c r="I164">
        <v>22</v>
      </c>
      <c r="J164">
        <v>6</v>
      </c>
      <c r="K164">
        <v>24</v>
      </c>
      <c r="L164">
        <v>0</v>
      </c>
      <c r="M164">
        <v>4</v>
      </c>
      <c r="N164" s="1">
        <f>Table4[[#This Row],[Total Weekday]]*Table4[[#This Row],[Daily Rate]]</f>
        <v>298100</v>
      </c>
      <c r="O164" s="8">
        <f>Table4[[#This Row],[Daily Rate]]/8*1.5*Table4[[#This Row],[Weekday OVT]]</f>
        <v>15243.75</v>
      </c>
      <c r="P164" s="1">
        <f>Table4[[#This Row],[Daily Rate]]/8*(1.5*Table4[[#This Row],[Total Saturday]])</f>
        <v>60975</v>
      </c>
      <c r="Q164" s="1">
        <f>Table4[[#This Row],[Daily Rate]]/8*(2*Table4[[#This Row],[Total Sunday]])</f>
        <v>0</v>
      </c>
      <c r="R164" s="1">
        <f>2500*Table4[[#This Row],[Night Worked]]</f>
        <v>10000</v>
      </c>
      <c r="S164" s="1">
        <f>500*Table4[[#This Row],[Total Weekday]]</f>
        <v>11000</v>
      </c>
      <c r="Y164" s="1">
        <f>SUM(Table4[[#This Row],[Wkd Earning]:[Arrears]])</f>
        <v>395318.75</v>
      </c>
      <c r="Z164" s="1">
        <f>0.05*Table4[[#This Row],[Total Earnings]]</f>
        <v>19765.9375</v>
      </c>
      <c r="AA164" s="1">
        <f>Table4[[#This Row],[Total Earnings]]</f>
        <v>395318.75</v>
      </c>
      <c r="AB164" s="1">
        <f>Table4[[#This Row],[Gross Salary]]-Table4[[#This Row],[WHT]]</f>
        <v>375552.8125</v>
      </c>
    </row>
    <row r="165" spans="1:28" x14ac:dyDescent="0.3">
      <c r="A165" t="s">
        <v>204</v>
      </c>
      <c r="B165" t="s">
        <v>865</v>
      </c>
      <c r="C165" t="s">
        <v>866</v>
      </c>
      <c r="D165" t="s">
        <v>50</v>
      </c>
      <c r="E165" t="s">
        <v>888</v>
      </c>
      <c r="F165" s="1">
        <v>13550</v>
      </c>
      <c r="G165">
        <v>55</v>
      </c>
      <c r="H165" t="s">
        <v>7</v>
      </c>
      <c r="I165">
        <v>12</v>
      </c>
      <c r="J165">
        <v>0</v>
      </c>
      <c r="K165">
        <v>18</v>
      </c>
      <c r="L165">
        <v>0</v>
      </c>
      <c r="M165">
        <v>15</v>
      </c>
      <c r="N165" s="1">
        <f>Table4[[#This Row],[Total Weekday]]*Table4[[#This Row],[Daily Rate]]</f>
        <v>162600</v>
      </c>
      <c r="O165" s="8">
        <f>Table4[[#This Row],[Daily Rate]]/8*1.5*Table4[[#This Row],[Weekday OVT]]</f>
        <v>0</v>
      </c>
      <c r="P165" s="1">
        <f>Table4[[#This Row],[Daily Rate]]/8*(1.5*Table4[[#This Row],[Total Saturday]])</f>
        <v>45731.25</v>
      </c>
      <c r="Q165" s="1">
        <f>Table4[[#This Row],[Daily Rate]]/8*(2*Table4[[#This Row],[Total Sunday]])</f>
        <v>0</v>
      </c>
      <c r="R165" s="1">
        <f>2500*Table4[[#This Row],[Night Worked]]</f>
        <v>37500</v>
      </c>
      <c r="S165" s="1">
        <f>500*Table4[[#This Row],[Total Weekday]]</f>
        <v>6000</v>
      </c>
      <c r="Y165" s="1">
        <f>SUM(Table4[[#This Row],[Wkd Earning]:[Arrears]])</f>
        <v>251831.25</v>
      </c>
      <c r="Z165" s="1">
        <f>0.05*Table4[[#This Row],[Total Earnings]]</f>
        <v>12591.5625</v>
      </c>
      <c r="AA165" s="1">
        <f>Table4[[#This Row],[Total Earnings]]</f>
        <v>251831.25</v>
      </c>
      <c r="AB165" s="1">
        <f>Table4[[#This Row],[Gross Salary]]-Table4[[#This Row],[WHT]]</f>
        <v>239239.6875</v>
      </c>
    </row>
    <row r="166" spans="1:28" x14ac:dyDescent="0.3">
      <c r="A166" t="s">
        <v>331</v>
      </c>
      <c r="B166" t="s">
        <v>326</v>
      </c>
      <c r="C166" t="s">
        <v>332</v>
      </c>
      <c r="D166" t="s">
        <v>146</v>
      </c>
      <c r="E166" t="s">
        <v>888</v>
      </c>
      <c r="F166" s="1">
        <v>13550</v>
      </c>
      <c r="G166">
        <v>47</v>
      </c>
      <c r="H166" t="s">
        <v>7</v>
      </c>
      <c r="I166">
        <v>12</v>
      </c>
      <c r="J166">
        <v>0</v>
      </c>
      <c r="K166">
        <v>18</v>
      </c>
      <c r="L166">
        <v>0</v>
      </c>
      <c r="M166">
        <v>15</v>
      </c>
      <c r="N166" s="1">
        <f>Table4[[#This Row],[Total Weekday]]*Table4[[#This Row],[Daily Rate]]</f>
        <v>162600</v>
      </c>
      <c r="O166" s="8">
        <f>Table4[[#This Row],[Daily Rate]]/8*1.5*Table4[[#This Row],[Weekday OVT]]</f>
        <v>0</v>
      </c>
      <c r="P166" s="1">
        <f>Table4[[#This Row],[Daily Rate]]/8*(1.5*Table4[[#This Row],[Total Saturday]])</f>
        <v>45731.25</v>
      </c>
      <c r="Q166" s="1">
        <f>Table4[[#This Row],[Daily Rate]]/8*(2*Table4[[#This Row],[Total Sunday]])</f>
        <v>0</v>
      </c>
      <c r="R166" s="1">
        <f>2500*Table4[[#This Row],[Night Worked]]</f>
        <v>37500</v>
      </c>
      <c r="S166" s="1">
        <f>500*Table4[[#This Row],[Total Weekday]]</f>
        <v>6000</v>
      </c>
      <c r="Y166" s="1">
        <f>SUM(Table4[[#This Row],[Wkd Earning]:[Arrears]])</f>
        <v>251831.25</v>
      </c>
      <c r="Z166" s="1">
        <f>0.05*Table4[[#This Row],[Total Earnings]]</f>
        <v>12591.5625</v>
      </c>
      <c r="AA166" s="1">
        <f>Table4[[#This Row],[Total Earnings]]</f>
        <v>251831.25</v>
      </c>
      <c r="AB166" s="1">
        <f>Table4[[#This Row],[Gross Salary]]-Table4[[#This Row],[WHT]]</f>
        <v>239239.6875</v>
      </c>
    </row>
    <row r="167" spans="1:28" x14ac:dyDescent="0.3">
      <c r="A167" t="s">
        <v>487</v>
      </c>
      <c r="B167" t="s">
        <v>488</v>
      </c>
      <c r="C167" t="s">
        <v>867</v>
      </c>
      <c r="D167" t="s">
        <v>868</v>
      </c>
      <c r="E167" t="s">
        <v>888</v>
      </c>
      <c r="F167" s="1">
        <v>20100</v>
      </c>
      <c r="G167">
        <v>46</v>
      </c>
      <c r="H167" t="s">
        <v>7</v>
      </c>
      <c r="I167">
        <v>11</v>
      </c>
      <c r="J167">
        <v>0</v>
      </c>
      <c r="K167">
        <v>18</v>
      </c>
      <c r="L167">
        <v>0</v>
      </c>
      <c r="M167">
        <v>14</v>
      </c>
      <c r="N167" s="1">
        <f>Table4[[#This Row],[Total Weekday]]*Table4[[#This Row],[Daily Rate]]</f>
        <v>221100</v>
      </c>
      <c r="O167" s="8">
        <f>Table4[[#This Row],[Daily Rate]]/8*1.5*Table4[[#This Row],[Weekday OVT]]</f>
        <v>0</v>
      </c>
      <c r="P167" s="1">
        <f>Table4[[#This Row],[Daily Rate]]/8*(1.5*Table4[[#This Row],[Total Saturday]])</f>
        <v>67837.5</v>
      </c>
      <c r="Q167" s="1">
        <f>Table4[[#This Row],[Daily Rate]]/8*(2*Table4[[#This Row],[Total Sunday]])</f>
        <v>0</v>
      </c>
      <c r="R167" s="1">
        <f>2500*Table4[[#This Row],[Night Worked]]</f>
        <v>35000</v>
      </c>
      <c r="S167" s="1">
        <f>500*Table4[[#This Row],[Total Weekday]]</f>
        <v>5500</v>
      </c>
      <c r="Y167" s="1">
        <f>SUM(Table4[[#This Row],[Wkd Earning]:[Arrears]])</f>
        <v>329437.5</v>
      </c>
      <c r="Z167" s="1">
        <f>0.05*Table4[[#This Row],[Total Earnings]]</f>
        <v>16471.875</v>
      </c>
      <c r="AA167" s="1">
        <f>Table4[[#This Row],[Total Earnings]]</f>
        <v>329437.5</v>
      </c>
      <c r="AB167" s="1">
        <f>Table4[[#This Row],[Gross Salary]]-Table4[[#This Row],[WHT]]</f>
        <v>312965.625</v>
      </c>
    </row>
    <row r="168" spans="1:28" x14ac:dyDescent="0.3">
      <c r="A168" t="s">
        <v>484</v>
      </c>
      <c r="B168" t="s">
        <v>486</v>
      </c>
      <c r="C168" t="s">
        <v>485</v>
      </c>
      <c r="D168" t="s">
        <v>154</v>
      </c>
      <c r="E168" t="s">
        <v>888</v>
      </c>
      <c r="F168" s="1">
        <v>14050</v>
      </c>
      <c r="G168">
        <v>51</v>
      </c>
      <c r="H168" t="s">
        <v>7</v>
      </c>
      <c r="I168">
        <v>21</v>
      </c>
      <c r="J168">
        <v>0</v>
      </c>
      <c r="K168">
        <v>12</v>
      </c>
      <c r="L168">
        <v>0</v>
      </c>
      <c r="M168">
        <v>0</v>
      </c>
      <c r="N168" s="1">
        <f>Table4[[#This Row],[Total Weekday]]*Table4[[#This Row],[Daily Rate]]</f>
        <v>295050</v>
      </c>
      <c r="O168" s="8">
        <f>Table4[[#This Row],[Daily Rate]]/8*1.5*Table4[[#This Row],[Weekday OVT]]</f>
        <v>0</v>
      </c>
      <c r="P168" s="1">
        <f>Table4[[#This Row],[Daily Rate]]/8*(1.5*Table4[[#This Row],[Total Saturday]])</f>
        <v>31612.5</v>
      </c>
      <c r="Q168" s="1">
        <f>Table4[[#This Row],[Daily Rate]]/8*(2*Table4[[#This Row],[Total Sunday]])</f>
        <v>0</v>
      </c>
      <c r="R168" s="1">
        <f>2500*Table4[[#This Row],[Night Worked]]</f>
        <v>0</v>
      </c>
      <c r="S168" s="1">
        <f>500*Table4[[#This Row],[Total Weekday]]</f>
        <v>10500</v>
      </c>
      <c r="Y168" s="1">
        <f>SUM(Table4[[#This Row],[Wkd Earning]:[Arrears]])</f>
        <v>337162.5</v>
      </c>
      <c r="Z168" s="1">
        <f>0.05*Table4[[#This Row],[Total Earnings]]</f>
        <v>16858.125</v>
      </c>
      <c r="AA168" s="1">
        <f>Table4[[#This Row],[Total Earnings]]</f>
        <v>337162.5</v>
      </c>
      <c r="AB168" s="1">
        <f>Table4[[#This Row],[Gross Salary]]-Table4[[#This Row],[WHT]]</f>
        <v>320304.375</v>
      </c>
    </row>
    <row r="169" spans="1:28" x14ac:dyDescent="0.3">
      <c r="A169" t="s">
        <v>144</v>
      </c>
      <c r="B169" t="s">
        <v>869</v>
      </c>
      <c r="C169" t="s">
        <v>145</v>
      </c>
      <c r="D169" t="s">
        <v>146</v>
      </c>
      <c r="E169" t="s">
        <v>888</v>
      </c>
      <c r="F169" s="1">
        <v>13550</v>
      </c>
      <c r="G169">
        <v>55</v>
      </c>
      <c r="H169" t="s">
        <v>7</v>
      </c>
      <c r="I169">
        <v>12</v>
      </c>
      <c r="J169">
        <v>0</v>
      </c>
      <c r="K169">
        <v>18</v>
      </c>
      <c r="L169">
        <v>0</v>
      </c>
      <c r="M169">
        <v>15</v>
      </c>
      <c r="N169" s="1">
        <f>Table4[[#This Row],[Total Weekday]]*Table4[[#This Row],[Daily Rate]]</f>
        <v>162600</v>
      </c>
      <c r="O169" s="8">
        <f>Table4[[#This Row],[Daily Rate]]/8*1.5*Table4[[#This Row],[Weekday OVT]]</f>
        <v>0</v>
      </c>
      <c r="P169" s="1">
        <f>Table4[[#This Row],[Daily Rate]]/8*(1.5*Table4[[#This Row],[Total Saturday]])</f>
        <v>45731.25</v>
      </c>
      <c r="Q169" s="1">
        <f>Table4[[#This Row],[Daily Rate]]/8*(2*Table4[[#This Row],[Total Sunday]])</f>
        <v>0</v>
      </c>
      <c r="R169" s="1">
        <f>2500*Table4[[#This Row],[Night Worked]]</f>
        <v>37500</v>
      </c>
      <c r="S169" s="1">
        <f>500*Table4[[#This Row],[Total Weekday]]</f>
        <v>6000</v>
      </c>
      <c r="Y169" s="1">
        <f>SUM(Table4[[#This Row],[Wkd Earning]:[Arrears]])</f>
        <v>251831.25</v>
      </c>
      <c r="Z169" s="1">
        <f>0.05*Table4[[#This Row],[Total Earnings]]</f>
        <v>12591.5625</v>
      </c>
      <c r="AA169" s="1">
        <f>Table4[[#This Row],[Total Earnings]]</f>
        <v>251831.25</v>
      </c>
      <c r="AB169" s="1">
        <f>Table4[[#This Row],[Gross Salary]]-Table4[[#This Row],[WHT]]</f>
        <v>239239.6875</v>
      </c>
    </row>
    <row r="170" spans="1:28" x14ac:dyDescent="0.3">
      <c r="A170" t="s">
        <v>249</v>
      </c>
      <c r="B170" t="s">
        <v>250</v>
      </c>
      <c r="C170" t="s">
        <v>871</v>
      </c>
      <c r="D170" t="s">
        <v>146</v>
      </c>
      <c r="E170" t="s">
        <v>888</v>
      </c>
      <c r="F170" s="1">
        <v>13550</v>
      </c>
      <c r="G170">
        <v>55</v>
      </c>
      <c r="H170" t="s">
        <v>7</v>
      </c>
      <c r="I170">
        <v>12</v>
      </c>
      <c r="J170">
        <v>0</v>
      </c>
      <c r="K170">
        <v>12</v>
      </c>
      <c r="L170">
        <v>0</v>
      </c>
      <c r="M170">
        <v>14</v>
      </c>
      <c r="N170" s="1">
        <f>Table4[[#This Row],[Total Weekday]]*Table4[[#This Row],[Daily Rate]]</f>
        <v>162600</v>
      </c>
      <c r="O170" s="8">
        <f>Table4[[#This Row],[Daily Rate]]/8*1.5*Table4[[#This Row],[Weekday OVT]]</f>
        <v>0</v>
      </c>
      <c r="P170" s="1">
        <f>Table4[[#This Row],[Daily Rate]]/8*(1.5*Table4[[#This Row],[Total Saturday]])</f>
        <v>30487.5</v>
      </c>
      <c r="Q170" s="1">
        <f>Table4[[#This Row],[Daily Rate]]/8*(2*Table4[[#This Row],[Total Sunday]])</f>
        <v>0</v>
      </c>
      <c r="R170" s="1">
        <f>2500*Table4[[#This Row],[Night Worked]]</f>
        <v>35000</v>
      </c>
      <c r="S170" s="1">
        <f>500*Table4[[#This Row],[Total Weekday]]</f>
        <v>6000</v>
      </c>
      <c r="Y170" s="1">
        <f>SUM(Table4[[#This Row],[Wkd Earning]:[Arrears]])</f>
        <v>234087.5</v>
      </c>
      <c r="Z170" s="1">
        <f>0.05*Table4[[#This Row],[Total Earnings]]</f>
        <v>11704.375</v>
      </c>
      <c r="AA170" s="1">
        <f>Table4[[#This Row],[Total Earnings]]</f>
        <v>234087.5</v>
      </c>
      <c r="AB170" s="1">
        <f>Table4[[#This Row],[Gross Salary]]-Table4[[#This Row],[WHT]]</f>
        <v>222383.125</v>
      </c>
    </row>
    <row r="171" spans="1:28" x14ac:dyDescent="0.3">
      <c r="A171" t="s">
        <v>196</v>
      </c>
      <c r="B171" t="s">
        <v>197</v>
      </c>
      <c r="C171" t="s">
        <v>153</v>
      </c>
      <c r="D171" t="s">
        <v>870</v>
      </c>
      <c r="E171" t="s">
        <v>888</v>
      </c>
      <c r="F171" s="1">
        <v>11575</v>
      </c>
      <c r="G171">
        <v>55</v>
      </c>
      <c r="H171" t="s">
        <v>7</v>
      </c>
      <c r="I171">
        <v>12</v>
      </c>
      <c r="J171">
        <v>0</v>
      </c>
      <c r="K171">
        <v>18</v>
      </c>
      <c r="L171">
        <v>0</v>
      </c>
      <c r="M171">
        <v>15</v>
      </c>
      <c r="N171" s="1">
        <f>Table4[[#This Row],[Total Weekday]]*Table4[[#This Row],[Daily Rate]]</f>
        <v>138900</v>
      </c>
      <c r="O171" s="8">
        <f>Table4[[#This Row],[Daily Rate]]/8*1.5*Table4[[#This Row],[Weekday OVT]]</f>
        <v>0</v>
      </c>
      <c r="P171" s="1">
        <f>Table4[[#This Row],[Daily Rate]]/8*(1.5*Table4[[#This Row],[Total Saturday]])</f>
        <v>39065.625</v>
      </c>
      <c r="Q171" s="1">
        <f>Table4[[#This Row],[Daily Rate]]/8*(2*Table4[[#This Row],[Total Sunday]])</f>
        <v>0</v>
      </c>
      <c r="R171" s="1">
        <f>2500*Table4[[#This Row],[Night Worked]]</f>
        <v>37500</v>
      </c>
      <c r="S171" s="1">
        <f>500*Table4[[#This Row],[Total Weekday]]</f>
        <v>6000</v>
      </c>
      <c r="Y171" s="1">
        <f>SUM(Table4[[#This Row],[Wkd Earning]:[Arrears]])</f>
        <v>221465.625</v>
      </c>
      <c r="Z171" s="1">
        <f>0.05*Table4[[#This Row],[Total Earnings]]</f>
        <v>11073.28125</v>
      </c>
      <c r="AA171" s="1">
        <f>Table4[[#This Row],[Total Earnings]]</f>
        <v>221465.625</v>
      </c>
      <c r="AB171" s="1">
        <f>Table4[[#This Row],[Gross Salary]]-Table4[[#This Row],[WHT]]</f>
        <v>210392.34375</v>
      </c>
    </row>
    <row r="172" spans="1:28" x14ac:dyDescent="0.3">
      <c r="A172" t="s">
        <v>416</v>
      </c>
      <c r="B172" t="s">
        <v>872</v>
      </c>
      <c r="C172" t="s">
        <v>417</v>
      </c>
      <c r="D172" t="s">
        <v>873</v>
      </c>
      <c r="E172" t="s">
        <v>888</v>
      </c>
      <c r="F172" s="1">
        <v>20100</v>
      </c>
      <c r="G172">
        <v>44</v>
      </c>
      <c r="H172" t="s">
        <v>7</v>
      </c>
      <c r="I172">
        <v>21</v>
      </c>
      <c r="J172">
        <v>0</v>
      </c>
      <c r="K172">
        <v>18</v>
      </c>
      <c r="L172">
        <v>0</v>
      </c>
      <c r="M172">
        <v>0</v>
      </c>
      <c r="N172" s="1">
        <f>Table4[[#This Row],[Total Weekday]]*Table4[[#This Row],[Daily Rate]]</f>
        <v>422100</v>
      </c>
      <c r="O172" s="8">
        <f>Table4[[#This Row],[Daily Rate]]/8*1.5*Table4[[#This Row],[Weekday OVT]]</f>
        <v>0</v>
      </c>
      <c r="P172" s="1">
        <f>Table4[[#This Row],[Daily Rate]]/8*(1.5*Table4[[#This Row],[Total Saturday]])</f>
        <v>67837.5</v>
      </c>
      <c r="Q172" s="1">
        <f>Table4[[#This Row],[Daily Rate]]/8*(2*Table4[[#This Row],[Total Sunday]])</f>
        <v>0</v>
      </c>
      <c r="R172" s="1">
        <f>2500*Table4[[#This Row],[Night Worked]]</f>
        <v>0</v>
      </c>
      <c r="S172" s="1">
        <f>500*Table4[[#This Row],[Total Weekday]]</f>
        <v>10500</v>
      </c>
      <c r="Y172" s="1">
        <f>SUM(Table4[[#This Row],[Wkd Earning]:[Arrears]])</f>
        <v>500437.5</v>
      </c>
      <c r="Z172" s="1">
        <f>0.05*Table4[[#This Row],[Total Earnings]]</f>
        <v>25021.875</v>
      </c>
      <c r="AA172" s="1">
        <f>Table4[[#This Row],[Total Earnings]]</f>
        <v>500437.5</v>
      </c>
      <c r="AB172" s="1">
        <f>Table4[[#This Row],[Gross Salary]]-Table4[[#This Row],[WHT]]</f>
        <v>475415.625</v>
      </c>
    </row>
    <row r="173" spans="1:28" x14ac:dyDescent="0.3">
      <c r="A173" t="s">
        <v>482</v>
      </c>
      <c r="B173" t="s">
        <v>224</v>
      </c>
      <c r="C173" t="s">
        <v>483</v>
      </c>
      <c r="D173" t="s">
        <v>146</v>
      </c>
      <c r="E173" t="s">
        <v>888</v>
      </c>
      <c r="F173" s="1">
        <v>13550</v>
      </c>
      <c r="G173">
        <v>43</v>
      </c>
      <c r="H173" t="s">
        <v>7</v>
      </c>
      <c r="I173">
        <v>12</v>
      </c>
      <c r="J173">
        <v>0</v>
      </c>
      <c r="K173">
        <v>12</v>
      </c>
      <c r="L173">
        <v>0</v>
      </c>
      <c r="M173">
        <v>8</v>
      </c>
      <c r="N173" s="1">
        <f>Table4[[#This Row],[Total Weekday]]*Table4[[#This Row],[Daily Rate]]</f>
        <v>162600</v>
      </c>
      <c r="O173" s="8">
        <f>Table4[[#This Row],[Daily Rate]]/8*1.5*Table4[[#This Row],[Weekday OVT]]</f>
        <v>0</v>
      </c>
      <c r="P173" s="1">
        <f>Table4[[#This Row],[Daily Rate]]/8*(1.5*Table4[[#This Row],[Total Saturday]])</f>
        <v>30487.5</v>
      </c>
      <c r="Q173" s="1">
        <f>Table4[[#This Row],[Daily Rate]]/8*(2*Table4[[#This Row],[Total Sunday]])</f>
        <v>0</v>
      </c>
      <c r="R173" s="1">
        <f>2500*Table4[[#This Row],[Night Worked]]</f>
        <v>20000</v>
      </c>
      <c r="S173" s="1">
        <f>500*Table4[[#This Row],[Total Weekday]]</f>
        <v>6000</v>
      </c>
      <c r="Y173" s="1">
        <f>SUM(Table4[[#This Row],[Wkd Earning]:[Arrears]])</f>
        <v>219087.5</v>
      </c>
      <c r="Z173" s="1">
        <f>0.05*Table4[[#This Row],[Total Earnings]]</f>
        <v>10954.375</v>
      </c>
      <c r="AA173" s="1">
        <f>Table4[[#This Row],[Total Earnings]]</f>
        <v>219087.5</v>
      </c>
      <c r="AB173" s="1">
        <f>Table4[[#This Row],[Gross Salary]]-Table4[[#This Row],[WHT]]</f>
        <v>208133.125</v>
      </c>
    </row>
    <row r="174" spans="1:28" x14ac:dyDescent="0.3">
      <c r="A174" t="s">
        <v>475</v>
      </c>
      <c r="B174" t="s">
        <v>269</v>
      </c>
      <c r="C174" t="s">
        <v>476</v>
      </c>
      <c r="D174" t="s">
        <v>146</v>
      </c>
      <c r="E174" t="s">
        <v>888</v>
      </c>
      <c r="F174" s="1">
        <v>13550</v>
      </c>
      <c r="G174">
        <v>54</v>
      </c>
      <c r="H174" t="s">
        <v>7</v>
      </c>
      <c r="I174">
        <v>21</v>
      </c>
      <c r="J174">
        <v>4</v>
      </c>
      <c r="K174">
        <v>24</v>
      </c>
      <c r="L174">
        <v>0</v>
      </c>
      <c r="M174">
        <v>0</v>
      </c>
      <c r="N174" s="1">
        <f>Table4[[#This Row],[Total Weekday]]*Table4[[#This Row],[Daily Rate]]</f>
        <v>284550</v>
      </c>
      <c r="O174" s="8">
        <f>Table4[[#This Row],[Daily Rate]]/8*1.5*Table4[[#This Row],[Weekday OVT]]</f>
        <v>10162.5</v>
      </c>
      <c r="P174" s="1">
        <f>Table4[[#This Row],[Daily Rate]]/8*(1.5*Table4[[#This Row],[Total Saturday]])</f>
        <v>60975</v>
      </c>
      <c r="Q174" s="1">
        <f>Table4[[#This Row],[Daily Rate]]/8*(2*Table4[[#This Row],[Total Sunday]])</f>
        <v>0</v>
      </c>
      <c r="R174" s="1">
        <f>2500*Table4[[#This Row],[Night Worked]]</f>
        <v>0</v>
      </c>
      <c r="S174" s="1">
        <f>500*Table4[[#This Row],[Total Weekday]]</f>
        <v>10500</v>
      </c>
      <c r="Y174" s="1">
        <f>SUM(Table4[[#This Row],[Wkd Earning]:[Arrears]])</f>
        <v>366187.5</v>
      </c>
      <c r="Z174" s="1">
        <f>0.05*Table4[[#This Row],[Total Earnings]]</f>
        <v>18309.375</v>
      </c>
      <c r="AA174" s="1">
        <f>Table4[[#This Row],[Total Earnings]]</f>
        <v>366187.5</v>
      </c>
      <c r="AB174" s="1">
        <f>Table4[[#This Row],[Gross Salary]]-Table4[[#This Row],[WHT]]</f>
        <v>347878.125</v>
      </c>
    </row>
    <row r="175" spans="1:28" x14ac:dyDescent="0.3">
      <c r="A175" t="s">
        <v>47</v>
      </c>
      <c r="B175" t="s">
        <v>49</v>
      </c>
      <c r="C175" t="s">
        <v>48</v>
      </c>
      <c r="D175" t="s">
        <v>870</v>
      </c>
      <c r="E175" t="s">
        <v>888</v>
      </c>
      <c r="F175" s="1">
        <v>11575</v>
      </c>
      <c r="G175">
        <v>55</v>
      </c>
      <c r="H175" t="s">
        <v>7</v>
      </c>
      <c r="I175">
        <v>22</v>
      </c>
      <c r="J175">
        <v>2</v>
      </c>
      <c r="K175">
        <v>18</v>
      </c>
      <c r="L175">
        <v>0</v>
      </c>
      <c r="M175">
        <v>0</v>
      </c>
      <c r="N175" s="1">
        <f>Table4[[#This Row],[Total Weekday]]*Table4[[#This Row],[Daily Rate]]</f>
        <v>254650</v>
      </c>
      <c r="O175" s="8">
        <f>Table4[[#This Row],[Daily Rate]]/8*1.5*Table4[[#This Row],[Weekday OVT]]</f>
        <v>4340.625</v>
      </c>
      <c r="P175" s="1">
        <f>Table4[[#This Row],[Daily Rate]]/8*(1.5*Table4[[#This Row],[Total Saturday]])</f>
        <v>39065.625</v>
      </c>
      <c r="Q175" s="1">
        <f>Table4[[#This Row],[Daily Rate]]/8*(2*Table4[[#This Row],[Total Sunday]])</f>
        <v>0</v>
      </c>
      <c r="R175" s="1">
        <f>2500*Table4[[#This Row],[Night Worked]]</f>
        <v>0</v>
      </c>
      <c r="S175" s="1">
        <f>500*Table4[[#This Row],[Total Weekday]]</f>
        <v>11000</v>
      </c>
      <c r="Y175" s="1">
        <f>SUM(Table4[[#This Row],[Wkd Earning]:[Arrears]])</f>
        <v>309056.25</v>
      </c>
      <c r="Z175" s="1">
        <f>0.05*Table4[[#This Row],[Total Earnings]]</f>
        <v>15452.8125</v>
      </c>
      <c r="AA175" s="1">
        <f>Table4[[#This Row],[Total Earnings]]</f>
        <v>309056.25</v>
      </c>
      <c r="AB175" s="1">
        <f>Table4[[#This Row],[Gross Salary]]-Table4[[#This Row],[WHT]]</f>
        <v>293603.4375</v>
      </c>
    </row>
    <row r="176" spans="1:28" x14ac:dyDescent="0.3">
      <c r="A176" t="s">
        <v>473</v>
      </c>
      <c r="B176" t="s">
        <v>82</v>
      </c>
      <c r="C176" t="s">
        <v>474</v>
      </c>
      <c r="D176" t="s">
        <v>199</v>
      </c>
      <c r="E176" t="s">
        <v>888</v>
      </c>
      <c r="F176" s="1">
        <v>8100</v>
      </c>
      <c r="G176">
        <v>26</v>
      </c>
      <c r="H176" t="s">
        <v>7</v>
      </c>
      <c r="I176">
        <v>22</v>
      </c>
      <c r="J176">
        <v>0</v>
      </c>
      <c r="K176">
        <v>18</v>
      </c>
      <c r="L176">
        <v>0</v>
      </c>
      <c r="M176">
        <v>0</v>
      </c>
      <c r="N176" s="1">
        <f>Table4[[#This Row],[Total Weekday]]*Table4[[#This Row],[Daily Rate]]</f>
        <v>178200</v>
      </c>
      <c r="O176" s="8">
        <f>Table4[[#This Row],[Daily Rate]]/8*1.5*Table4[[#This Row],[Weekday OVT]]</f>
        <v>0</v>
      </c>
      <c r="P176" s="1">
        <f>Table4[[#This Row],[Daily Rate]]/8*(1.5*Table4[[#This Row],[Total Saturday]])</f>
        <v>27337.5</v>
      </c>
      <c r="Q176" s="1">
        <f>Table4[[#This Row],[Daily Rate]]/8*(2*Table4[[#This Row],[Total Sunday]])</f>
        <v>0</v>
      </c>
      <c r="R176" s="1">
        <f>2500*Table4[[#This Row],[Night Worked]]</f>
        <v>0</v>
      </c>
      <c r="S176" s="1">
        <f>500*Table4[[#This Row],[Total Weekday]]</f>
        <v>11000</v>
      </c>
      <c r="Y176" s="1">
        <f>SUM(Table4[[#This Row],[Wkd Earning]:[Arrears]])</f>
        <v>216537.5</v>
      </c>
      <c r="Z176" s="1">
        <f>0.05*Table4[[#This Row],[Total Earnings]]</f>
        <v>10826.875</v>
      </c>
      <c r="AA176" s="1">
        <f>Table4[[#This Row],[Total Earnings]]</f>
        <v>216537.5</v>
      </c>
      <c r="AB176" s="1">
        <f>Table4[[#This Row],[Gross Salary]]-Table4[[#This Row],[WHT]]</f>
        <v>205710.625</v>
      </c>
    </row>
    <row r="177" spans="1:28" x14ac:dyDescent="0.3">
      <c r="A177" t="s">
        <v>470</v>
      </c>
      <c r="B177" t="s">
        <v>472</v>
      </c>
      <c r="C177" t="s">
        <v>471</v>
      </c>
      <c r="D177" t="s">
        <v>199</v>
      </c>
      <c r="E177" t="s">
        <v>888</v>
      </c>
      <c r="F177" s="1">
        <v>8100</v>
      </c>
      <c r="G177">
        <v>21</v>
      </c>
      <c r="H177" t="s">
        <v>7</v>
      </c>
      <c r="I177">
        <v>22</v>
      </c>
      <c r="J177">
        <v>0</v>
      </c>
      <c r="K177">
        <v>18</v>
      </c>
      <c r="L177">
        <v>0</v>
      </c>
      <c r="M177">
        <v>0</v>
      </c>
      <c r="N177" s="1">
        <f>Table4[[#This Row],[Total Weekday]]*Table4[[#This Row],[Daily Rate]]</f>
        <v>178200</v>
      </c>
      <c r="O177" s="8">
        <f>Table4[[#This Row],[Daily Rate]]/8*1.5*Table4[[#This Row],[Weekday OVT]]</f>
        <v>0</v>
      </c>
      <c r="P177" s="1">
        <f>Table4[[#This Row],[Daily Rate]]/8*(1.5*Table4[[#This Row],[Total Saturday]])</f>
        <v>27337.5</v>
      </c>
      <c r="Q177" s="1">
        <f>Table4[[#This Row],[Daily Rate]]/8*(2*Table4[[#This Row],[Total Sunday]])</f>
        <v>0</v>
      </c>
      <c r="R177" s="1">
        <f>2500*Table4[[#This Row],[Night Worked]]</f>
        <v>0</v>
      </c>
      <c r="S177" s="1">
        <f>500*Table4[[#This Row],[Total Weekday]]</f>
        <v>11000</v>
      </c>
      <c r="Y177" s="1">
        <f>SUM(Table4[[#This Row],[Wkd Earning]:[Arrears]])</f>
        <v>216537.5</v>
      </c>
      <c r="Z177" s="1">
        <f>0.05*Table4[[#This Row],[Total Earnings]]</f>
        <v>10826.875</v>
      </c>
      <c r="AA177" s="1">
        <f>Table4[[#This Row],[Total Earnings]]</f>
        <v>216537.5</v>
      </c>
      <c r="AB177" s="1">
        <f>Table4[[#This Row],[Gross Salary]]-Table4[[#This Row],[WHT]]</f>
        <v>205710.625</v>
      </c>
    </row>
    <row r="178" spans="1:28" x14ac:dyDescent="0.3">
      <c r="A178" t="s">
        <v>477</v>
      </c>
      <c r="B178" t="s">
        <v>810</v>
      </c>
      <c r="C178" t="s">
        <v>478</v>
      </c>
      <c r="D178" t="s">
        <v>870</v>
      </c>
      <c r="E178" t="s">
        <v>888</v>
      </c>
      <c r="F178" s="1">
        <v>11575</v>
      </c>
      <c r="G178">
        <v>35</v>
      </c>
      <c r="H178" t="s">
        <v>282</v>
      </c>
      <c r="I178">
        <v>22</v>
      </c>
      <c r="J178">
        <v>0</v>
      </c>
      <c r="K178">
        <v>24</v>
      </c>
      <c r="L178">
        <v>0</v>
      </c>
      <c r="M178">
        <v>0</v>
      </c>
      <c r="N178" s="1">
        <f>Table4[[#This Row],[Total Weekday]]*Table4[[#This Row],[Daily Rate]]</f>
        <v>254650</v>
      </c>
      <c r="O178" s="8">
        <f>Table4[[#This Row],[Daily Rate]]/8*1.5*Table4[[#This Row],[Weekday OVT]]</f>
        <v>0</v>
      </c>
      <c r="P178" s="1">
        <f>Table4[[#This Row],[Daily Rate]]/8*(1.5*Table4[[#This Row],[Total Saturday]])</f>
        <v>52087.5</v>
      </c>
      <c r="Q178" s="1">
        <f>Table4[[#This Row],[Daily Rate]]/8*(2*Table4[[#This Row],[Total Sunday]])</f>
        <v>0</v>
      </c>
      <c r="R178" s="1">
        <f>2500*Table4[[#This Row],[Night Worked]]</f>
        <v>0</v>
      </c>
      <c r="S178" s="1">
        <f>500*Table4[[#This Row],[Total Weekday]]</f>
        <v>11000</v>
      </c>
      <c r="Y178" s="1">
        <f>SUM(Table4[[#This Row],[Wkd Earning]:[Arrears]])</f>
        <v>317737.5</v>
      </c>
      <c r="Z178" s="1">
        <f>0.05*Table4[[#This Row],[Total Earnings]]</f>
        <v>15886.875</v>
      </c>
      <c r="AA178" s="1">
        <f>Table4[[#This Row],[Total Earnings]]</f>
        <v>317737.5</v>
      </c>
      <c r="AB178" s="1">
        <f>Table4[[#This Row],[Gross Salary]]-Table4[[#This Row],[WHT]]</f>
        <v>301850.625</v>
      </c>
    </row>
    <row r="179" spans="1:28" x14ac:dyDescent="0.3">
      <c r="A179" t="s">
        <v>445</v>
      </c>
      <c r="B179" t="s">
        <v>446</v>
      </c>
      <c r="C179" t="s">
        <v>874</v>
      </c>
      <c r="D179" t="s">
        <v>154</v>
      </c>
      <c r="E179" t="s">
        <v>888</v>
      </c>
      <c r="F179" s="1">
        <v>14050</v>
      </c>
      <c r="G179">
        <v>56</v>
      </c>
      <c r="H179" t="s">
        <v>7</v>
      </c>
      <c r="I179">
        <v>22</v>
      </c>
      <c r="J179">
        <v>4</v>
      </c>
      <c r="K179">
        <v>6</v>
      </c>
      <c r="L179">
        <v>0</v>
      </c>
      <c r="M179">
        <v>0</v>
      </c>
      <c r="N179" s="1">
        <f>Table4[[#This Row],[Total Weekday]]*Table4[[#This Row],[Daily Rate]]</f>
        <v>309100</v>
      </c>
      <c r="O179" s="8">
        <f>Table4[[#This Row],[Daily Rate]]/8*1.5*Table4[[#This Row],[Weekday OVT]]</f>
        <v>10537.5</v>
      </c>
      <c r="P179" s="1">
        <f>Table4[[#This Row],[Daily Rate]]/8*(1.5*Table4[[#This Row],[Total Saturday]])</f>
        <v>15806.25</v>
      </c>
      <c r="Q179" s="1">
        <f>Table4[[#This Row],[Daily Rate]]/8*(2*Table4[[#This Row],[Total Sunday]])</f>
        <v>0</v>
      </c>
      <c r="R179" s="1">
        <f>2500*Table4[[#This Row],[Night Worked]]</f>
        <v>0</v>
      </c>
      <c r="S179" s="1">
        <f>500*Table4[[#This Row],[Total Weekday]]</f>
        <v>11000</v>
      </c>
      <c r="Y179" s="1">
        <f>SUM(Table4[[#This Row],[Wkd Earning]:[Arrears]])</f>
        <v>346443.75</v>
      </c>
      <c r="Z179" s="1">
        <f>0.05*Table4[[#This Row],[Total Earnings]]</f>
        <v>17322.1875</v>
      </c>
      <c r="AA179" s="1">
        <f>Table4[[#This Row],[Total Earnings]]</f>
        <v>346443.75</v>
      </c>
      <c r="AB179" s="1">
        <f>Table4[[#This Row],[Gross Salary]]-Table4[[#This Row],[WHT]]</f>
        <v>329121.5625</v>
      </c>
    </row>
    <row r="180" spans="1:28" x14ac:dyDescent="0.3">
      <c r="A180" t="s">
        <v>167</v>
      </c>
      <c r="B180" t="s">
        <v>168</v>
      </c>
      <c r="C180" t="s">
        <v>169</v>
      </c>
      <c r="D180" t="s">
        <v>154</v>
      </c>
      <c r="E180" t="s">
        <v>888</v>
      </c>
      <c r="F180" s="1">
        <v>14050</v>
      </c>
      <c r="G180">
        <v>44</v>
      </c>
      <c r="H180" t="s">
        <v>7</v>
      </c>
      <c r="I180">
        <v>22</v>
      </c>
      <c r="J180">
        <v>0</v>
      </c>
      <c r="K180">
        <v>12</v>
      </c>
      <c r="L180">
        <v>0</v>
      </c>
      <c r="M180">
        <v>0</v>
      </c>
      <c r="N180" s="1">
        <f>Table4[[#This Row],[Total Weekday]]*Table4[[#This Row],[Daily Rate]]</f>
        <v>309100</v>
      </c>
      <c r="O180" s="8">
        <f>Table4[[#This Row],[Daily Rate]]/8*1.5*Table4[[#This Row],[Weekday OVT]]</f>
        <v>0</v>
      </c>
      <c r="P180" s="1">
        <f>Table4[[#This Row],[Daily Rate]]/8*(1.5*Table4[[#This Row],[Total Saturday]])</f>
        <v>31612.5</v>
      </c>
      <c r="Q180" s="1">
        <f>Table4[[#This Row],[Daily Rate]]/8*(2*Table4[[#This Row],[Total Sunday]])</f>
        <v>0</v>
      </c>
      <c r="R180" s="1">
        <f>2500*Table4[[#This Row],[Night Worked]]</f>
        <v>0</v>
      </c>
      <c r="S180" s="1">
        <f>500*Table4[[#This Row],[Total Weekday]]</f>
        <v>11000</v>
      </c>
      <c r="Y180" s="1">
        <f>SUM(Table4[[#This Row],[Wkd Earning]:[Arrears]])</f>
        <v>351712.5</v>
      </c>
      <c r="Z180" s="1">
        <f>0.05*Table4[[#This Row],[Total Earnings]]</f>
        <v>17585.625</v>
      </c>
      <c r="AA180" s="1">
        <f>Table4[[#This Row],[Total Earnings]]</f>
        <v>351712.5</v>
      </c>
      <c r="AB180" s="1">
        <f>Table4[[#This Row],[Gross Salary]]-Table4[[#This Row],[WHT]]</f>
        <v>334126.875</v>
      </c>
    </row>
    <row r="181" spans="1:28" x14ac:dyDescent="0.3">
      <c r="A181" t="s">
        <v>489</v>
      </c>
      <c r="B181" t="s">
        <v>490</v>
      </c>
      <c r="C181" t="s">
        <v>32</v>
      </c>
      <c r="D181" t="s">
        <v>273</v>
      </c>
      <c r="E181" t="s">
        <v>888</v>
      </c>
      <c r="F181" s="1">
        <v>11575</v>
      </c>
      <c r="G181">
        <v>38</v>
      </c>
      <c r="H181" t="s">
        <v>7</v>
      </c>
      <c r="I181">
        <v>10</v>
      </c>
      <c r="J181">
        <v>0</v>
      </c>
      <c r="K181">
        <v>12</v>
      </c>
      <c r="L181">
        <v>6</v>
      </c>
      <c r="M181">
        <v>0</v>
      </c>
      <c r="N181" s="1">
        <f>Table4[[#This Row],[Total Weekday]]*Table4[[#This Row],[Daily Rate]]</f>
        <v>115750</v>
      </c>
      <c r="O181" s="8">
        <f>Table4[[#This Row],[Daily Rate]]/8*1.5*Table4[[#This Row],[Weekday OVT]]</f>
        <v>0</v>
      </c>
      <c r="P181" s="1">
        <f>Table4[[#This Row],[Daily Rate]]/8*(1.5*Table4[[#This Row],[Total Saturday]])</f>
        <v>26043.75</v>
      </c>
      <c r="Q181" s="1">
        <f>Table4[[#This Row],[Daily Rate]]/8*(2*Table4[[#This Row],[Total Sunday]])</f>
        <v>17362.5</v>
      </c>
      <c r="R181" s="1">
        <f>2500*Table4[[#This Row],[Night Worked]]</f>
        <v>0</v>
      </c>
      <c r="S181" s="1">
        <f>500*Table4[[#This Row],[Total Weekday]]</f>
        <v>5000</v>
      </c>
      <c r="Y181" s="1">
        <f>SUM(Table4[[#This Row],[Wkd Earning]:[Arrears]])</f>
        <v>164156.25</v>
      </c>
      <c r="Z181" s="1">
        <f>0.05*Table4[[#This Row],[Total Earnings]]</f>
        <v>8207.8125</v>
      </c>
      <c r="AA181" s="1">
        <f>Table4[[#This Row],[Total Earnings]]</f>
        <v>164156.25</v>
      </c>
      <c r="AB181" s="1">
        <f>Table4[[#This Row],[Gross Salary]]-Table4[[#This Row],[WHT]]</f>
        <v>155948.4375</v>
      </c>
    </row>
    <row r="182" spans="1:28" x14ac:dyDescent="0.3">
      <c r="A182" t="s">
        <v>877</v>
      </c>
      <c r="B182" t="s">
        <v>878</v>
      </c>
      <c r="C182" t="s">
        <v>879</v>
      </c>
      <c r="D182" t="s">
        <v>146</v>
      </c>
      <c r="E182" t="s">
        <v>888</v>
      </c>
      <c r="F182" s="1">
        <v>13550</v>
      </c>
      <c r="H182" t="s">
        <v>7</v>
      </c>
      <c r="I182">
        <v>10</v>
      </c>
      <c r="J182">
        <v>0</v>
      </c>
      <c r="K182">
        <v>12</v>
      </c>
      <c r="L182">
        <v>0</v>
      </c>
      <c r="M182">
        <v>10</v>
      </c>
      <c r="N182" s="1">
        <f>Table4[[#This Row],[Total Weekday]]*Table4[[#This Row],[Daily Rate]]</f>
        <v>135500</v>
      </c>
      <c r="O182" s="8">
        <f>Table4[[#This Row],[Daily Rate]]/8*1.5*Table4[[#This Row],[Weekday OVT]]</f>
        <v>0</v>
      </c>
      <c r="P182" s="1">
        <f>Table4[[#This Row],[Daily Rate]]/8*(1.5*Table4[[#This Row],[Total Saturday]])</f>
        <v>30487.5</v>
      </c>
      <c r="Q182" s="1">
        <f>Table4[[#This Row],[Daily Rate]]/8*(2*Table4[[#This Row],[Total Sunday]])</f>
        <v>0</v>
      </c>
      <c r="R182" s="1">
        <f>2500*Table4[[#This Row],[Night Worked]]</f>
        <v>25000</v>
      </c>
      <c r="S182" s="1">
        <f>500*Table4[[#This Row],[Total Weekday]]</f>
        <v>5000</v>
      </c>
      <c r="Y182" s="1">
        <f>SUM(Table4[[#This Row],[Wkd Earning]:[Arrears]])</f>
        <v>195987.5</v>
      </c>
      <c r="Z182" s="1">
        <f>0.05*Table4[[#This Row],[Total Earnings]]</f>
        <v>9799.375</v>
      </c>
      <c r="AA182" s="1">
        <f>Table4[[#This Row],[Total Earnings]]</f>
        <v>195987.5</v>
      </c>
      <c r="AB182" s="1">
        <f>Table4[[#This Row],[Gross Salary]]-Table4[[#This Row],[WHT]]</f>
        <v>186188.125</v>
      </c>
    </row>
    <row r="183" spans="1:28" x14ac:dyDescent="0.3">
      <c r="A183">
        <f>SUBTOTAL(103,Table4[Emp. Code])</f>
        <v>181</v>
      </c>
      <c r="I183">
        <f>SUBTOTAL(109,Table4[Total Weekday])</f>
        <v>3924</v>
      </c>
      <c r="J183">
        <f>SUBTOTAL(109,Table4[Weekday OVT])</f>
        <v>1885</v>
      </c>
      <c r="K183">
        <f>SUBTOTAL(109,Table4[Total Saturday])</f>
        <v>2738</v>
      </c>
      <c r="L183">
        <f>SUBTOTAL(109,Table4[Total Sunday])</f>
        <v>684</v>
      </c>
      <c r="M183">
        <f>SUBTOTAL(109,Table4[Night Worked])</f>
        <v>212</v>
      </c>
      <c r="N183" s="1">
        <f>SUBTOTAL(109,Table4[Wkd Earning])</f>
        <v>52089226</v>
      </c>
      <c r="O183" s="1">
        <f>SUBTOTAL(109,Table4[Wkd Ovt Amt])</f>
        <v>4506465.5625</v>
      </c>
      <c r="P183" s="1">
        <f>SUBTOTAL(109,Table4[Sat Ovt Amt])</f>
        <v>6538328.4375</v>
      </c>
      <c r="Q183" s="1">
        <f>SUBTOTAL(109,Table4[Sun Ovt Amt])</f>
        <v>2124500</v>
      </c>
      <c r="R183" s="1">
        <f>SUBTOTAL(109,Table4[Night Amt])</f>
        <v>530000</v>
      </c>
      <c r="S183" s="1">
        <f>SUBTOTAL(109,Table4[Meal Allowance])</f>
        <v>1951000</v>
      </c>
      <c r="T183" s="1">
        <f>SUBTOTAL(109,Table4[Transport])</f>
        <v>182000</v>
      </c>
      <c r="U183" s="1">
        <f>SUBTOTAL(109,Table4[Site Allowance])</f>
        <v>150000</v>
      </c>
      <c r="V183" s="1">
        <f>SUBTOTAL(109,Table4[TCM Meal])</f>
        <v>150000</v>
      </c>
      <c r="W183" s="1">
        <f>SUBTOTAL(109,Table4[TCM TRANSPORT])</f>
        <v>150000</v>
      </c>
      <c r="X183" s="1"/>
      <c r="Y183" s="1">
        <f>SUBTOTAL(109,Table4[Total Earnings])</f>
        <v>68406170</v>
      </c>
      <c r="Z183" s="1">
        <f>SUBTOTAL(109,Table4[WHT])</f>
        <v>3420308.5</v>
      </c>
      <c r="AA183" s="1">
        <f>SUBTOTAL(109,Table4[Gross Salary])</f>
        <v>68406170</v>
      </c>
      <c r="AB183" s="1">
        <f>SUBTOTAL(109,Table4[Net Pay])</f>
        <v>64985861.5</v>
      </c>
    </row>
    <row r="184" spans="1:28" x14ac:dyDescent="0.3"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</sheetData>
  <phoneticPr fontId="8" type="noConversion"/>
  <conditionalFormatting sqref="A1:A1048576">
    <cfRule type="duplicateValues" dxfId="0" priority="1"/>
  </conditionalFormatting>
  <pageMargins left="0.7" right="0.7" top="0.75" bottom="0.75" header="0.3" footer="0.3"/>
  <ignoredErrors>
    <ignoredError sqref="S8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D79F-9980-4695-8AFE-774F3A8F07E9}">
  <dimension ref="A1:Y9"/>
  <sheetViews>
    <sheetView topLeftCell="L1" zoomScale="79" zoomScaleNormal="79" workbookViewId="0">
      <selection activeCell="A2" sqref="A2:A8"/>
    </sheetView>
  </sheetViews>
  <sheetFormatPr defaultRowHeight="14.4" x14ac:dyDescent="0.3"/>
  <cols>
    <col min="1" max="1" width="12.33203125" bestFit="1" customWidth="1"/>
    <col min="2" max="2" width="14.77734375" bestFit="1" customWidth="1"/>
    <col min="3" max="3" width="18.21875" bestFit="1" customWidth="1"/>
    <col min="4" max="4" width="29.5546875" bestFit="1" customWidth="1"/>
    <col min="5" max="5" width="12.44140625" bestFit="1" customWidth="1"/>
    <col min="6" max="7" width="10.44140625" customWidth="1"/>
    <col min="8" max="8" width="17.109375" bestFit="1" customWidth="1"/>
    <col min="9" max="9" width="16" bestFit="1" customWidth="1"/>
    <col min="10" max="10" width="16.77734375" bestFit="1" customWidth="1"/>
    <col min="11" max="11" width="15.33203125" bestFit="1" customWidth="1"/>
    <col min="12" max="13" width="16" bestFit="1" customWidth="1"/>
    <col min="14" max="14" width="15" bestFit="1" customWidth="1"/>
    <col min="15" max="15" width="15.44140625" bestFit="1" customWidth="1"/>
    <col min="16" max="16" width="14" bestFit="1" customWidth="1"/>
    <col min="17" max="17" width="14.5546875" bestFit="1" customWidth="1"/>
    <col min="18" max="18" width="10.21875" bestFit="1" customWidth="1"/>
    <col min="19" max="19" width="12.6640625" bestFit="1" customWidth="1"/>
    <col min="20" max="20" width="18" bestFit="1" customWidth="1"/>
    <col min="21" max="21" width="12.109375" bestFit="1" customWidth="1"/>
    <col min="22" max="22" width="16" bestFit="1" customWidth="1"/>
    <col min="23" max="23" width="12" bestFit="1" customWidth="1"/>
    <col min="24" max="24" width="14.33203125" bestFit="1" customWidth="1"/>
    <col min="25" max="25" width="13.21875" bestFit="1" customWidth="1"/>
  </cols>
  <sheetData>
    <row r="1" spans="1:25" x14ac:dyDescent="0.3">
      <c r="A1" t="s">
        <v>798</v>
      </c>
      <c r="B1" t="s">
        <v>799</v>
      </c>
      <c r="C1" t="s">
        <v>800</v>
      </c>
      <c r="D1" t="s">
        <v>801</v>
      </c>
      <c r="E1" t="s">
        <v>821</v>
      </c>
      <c r="F1" t="s">
        <v>1</v>
      </c>
      <c r="G1" t="s">
        <v>2</v>
      </c>
      <c r="H1" t="s">
        <v>823</v>
      </c>
      <c r="I1" t="s">
        <v>827</v>
      </c>
      <c r="J1" t="s">
        <v>824</v>
      </c>
      <c r="K1" t="s">
        <v>825</v>
      </c>
      <c r="L1" t="s">
        <v>826</v>
      </c>
      <c r="M1" t="s">
        <v>828</v>
      </c>
      <c r="N1" t="s">
        <v>829</v>
      </c>
      <c r="O1" t="s">
        <v>830</v>
      </c>
      <c r="P1" t="s">
        <v>831</v>
      </c>
      <c r="Q1" t="s">
        <v>832</v>
      </c>
      <c r="R1" t="s">
        <v>833</v>
      </c>
      <c r="S1" t="s">
        <v>834</v>
      </c>
      <c r="T1" t="s">
        <v>835</v>
      </c>
      <c r="U1" t="s">
        <v>836</v>
      </c>
      <c r="V1" t="s">
        <v>837</v>
      </c>
      <c r="W1" t="s">
        <v>838</v>
      </c>
      <c r="X1" t="s">
        <v>839</v>
      </c>
      <c r="Y1" t="s">
        <v>3</v>
      </c>
    </row>
    <row r="2" spans="1:25" x14ac:dyDescent="0.3">
      <c r="A2" t="s">
        <v>239</v>
      </c>
      <c r="B2" t="s">
        <v>241</v>
      </c>
      <c r="C2" t="s">
        <v>240</v>
      </c>
      <c r="D2" t="s">
        <v>242</v>
      </c>
      <c r="E2" s="1">
        <v>10000</v>
      </c>
      <c r="F2">
        <v>48</v>
      </c>
      <c r="G2" t="s">
        <v>7</v>
      </c>
      <c r="H2">
        <v>22</v>
      </c>
      <c r="I2">
        <v>4</v>
      </c>
      <c r="J2">
        <v>0</v>
      </c>
      <c r="K2">
        <v>0</v>
      </c>
      <c r="M2">
        <v>0</v>
      </c>
      <c r="N2" s="1">
        <f>Table52[[#This Row],[Total Weekday]]*Table52[[#This Row],[Daily Rate]]</f>
        <v>220000</v>
      </c>
      <c r="O2" s="1">
        <f>Table52[[#This Row],[Daily Rate]]/8*(1.5*Table52[[#This Row],[Weekday OVT]])</f>
        <v>7500</v>
      </c>
      <c r="P2" s="1">
        <f>Table52[[#This Row],[Daily Rate]]/8*(1.5*Table52[[#This Row],[Total Saturday]])</f>
        <v>0</v>
      </c>
      <c r="Q2" s="1">
        <f>Table52[[#This Row],[Daily Rate]]/8*(2*Table52[[#This Row],[Total Sunday]])</f>
        <v>0</v>
      </c>
      <c r="R2">
        <f>Table52[[#This Row],[Daily Rate]]/8*(2*Table52[[#This Row],[Public Holiday]])</f>
        <v>0</v>
      </c>
      <c r="S2" s="1">
        <f>1100*Table52[[#This Row],[Night Worked]]</f>
        <v>0</v>
      </c>
      <c r="T2" s="1">
        <f>500*Table52[[#This Row],[Total Weekday]]</f>
        <v>11000</v>
      </c>
      <c r="U2" s="1">
        <v>0</v>
      </c>
      <c r="V2" s="1">
        <f>SUM(Table52[[#This Row],[Wkd Earning]:[Transport]])</f>
        <v>238500</v>
      </c>
      <c r="W2" s="1">
        <f>0.05*Table52[[#This Row],[Total Earnings]]</f>
        <v>11925</v>
      </c>
      <c r="X2" s="1">
        <f>Table52[[#This Row],[Total Earnings]]</f>
        <v>238500</v>
      </c>
      <c r="Y2" s="1">
        <f>Table52[[#This Row],[Gross Salary]]-Table52[[#This Row],[WHT]]</f>
        <v>226575</v>
      </c>
    </row>
    <row r="3" spans="1:25" x14ac:dyDescent="0.3">
      <c r="A3" t="s">
        <v>262</v>
      </c>
      <c r="B3" t="s">
        <v>264</v>
      </c>
      <c r="C3" t="s">
        <v>263</v>
      </c>
      <c r="D3" t="s">
        <v>228</v>
      </c>
      <c r="E3" s="1">
        <v>9500</v>
      </c>
      <c r="F3">
        <v>37</v>
      </c>
      <c r="G3" t="s">
        <v>7</v>
      </c>
      <c r="H3">
        <v>21</v>
      </c>
      <c r="I3">
        <v>0</v>
      </c>
      <c r="J3">
        <v>6</v>
      </c>
      <c r="K3">
        <v>0</v>
      </c>
      <c r="M3">
        <v>0</v>
      </c>
      <c r="N3" s="1">
        <f>Table52[[#This Row],[Total Weekday]]*Table52[[#This Row],[Daily Rate]]</f>
        <v>199500</v>
      </c>
      <c r="O3" s="1">
        <f>Table52[[#This Row],[Daily Rate]]/8*(1.5*Table52[[#This Row],[Weekday OVT]])</f>
        <v>0</v>
      </c>
      <c r="P3" s="1">
        <f>Table52[[#This Row],[Daily Rate]]/8*(1.5*Table52[[#This Row],[Total Saturday]])</f>
        <v>10687.5</v>
      </c>
      <c r="Q3" s="1">
        <f>Table52[[#This Row],[Daily Rate]]/8*(2*Table52[[#This Row],[Total Sunday]])</f>
        <v>0</v>
      </c>
      <c r="R3">
        <f>Table52[[#This Row],[Daily Rate]]/8*(2*Table52[[#This Row],[Public Holiday]])</f>
        <v>0</v>
      </c>
      <c r="S3" s="1">
        <f>1100*Table52[[#This Row],[Night Worked]]</f>
        <v>0</v>
      </c>
      <c r="T3" s="1">
        <f>500*Table52[[#This Row],[Total Weekday]]</f>
        <v>10500</v>
      </c>
      <c r="U3" s="1">
        <v>0</v>
      </c>
      <c r="V3" s="1">
        <f>SUM(Table52[[#This Row],[Wkd Earning]:[Transport]])</f>
        <v>220687.5</v>
      </c>
      <c r="W3" s="1">
        <f>0.05*Table52[[#This Row],[Total Earnings]]</f>
        <v>11034.375</v>
      </c>
      <c r="X3" s="1">
        <f>Table52[[#This Row],[Total Earnings]]</f>
        <v>220687.5</v>
      </c>
      <c r="Y3" s="1">
        <f>Table52[[#This Row],[Gross Salary]]-Table52[[#This Row],[WHT]]</f>
        <v>209653.125</v>
      </c>
    </row>
    <row r="4" spans="1:25" x14ac:dyDescent="0.3">
      <c r="A4" t="s">
        <v>300</v>
      </c>
      <c r="B4" t="s">
        <v>845</v>
      </c>
      <c r="C4" t="s">
        <v>301</v>
      </c>
      <c r="D4" t="s">
        <v>228</v>
      </c>
      <c r="E4" s="1">
        <v>9500</v>
      </c>
      <c r="F4">
        <v>29</v>
      </c>
      <c r="G4" t="s">
        <v>7</v>
      </c>
      <c r="H4">
        <v>22</v>
      </c>
      <c r="I4">
        <v>2</v>
      </c>
      <c r="J4">
        <v>0</v>
      </c>
      <c r="K4">
        <v>0</v>
      </c>
      <c r="M4">
        <v>0</v>
      </c>
      <c r="N4" s="1">
        <f>Table52[[#This Row],[Total Weekday]]*Table52[[#This Row],[Daily Rate]]</f>
        <v>209000</v>
      </c>
      <c r="O4" s="1">
        <f>Table52[[#This Row],[Daily Rate]]/8*(1.5*Table52[[#This Row],[Weekday OVT]])</f>
        <v>3562.5</v>
      </c>
      <c r="P4" s="1">
        <f>Table52[[#This Row],[Daily Rate]]/8*(1.5*Table52[[#This Row],[Total Saturday]])</f>
        <v>0</v>
      </c>
      <c r="Q4" s="1">
        <f>Table52[[#This Row],[Daily Rate]]/8*(2*Table52[[#This Row],[Total Sunday]])</f>
        <v>0</v>
      </c>
      <c r="R4">
        <f>Table52[[#This Row],[Daily Rate]]/8*(2*Table52[[#This Row],[Public Holiday]])</f>
        <v>0</v>
      </c>
      <c r="S4" s="1">
        <f>1100*Table52[[#This Row],[Night Worked]]</f>
        <v>0</v>
      </c>
      <c r="T4" s="1">
        <f>500*Table52[[#This Row],[Total Weekday]]</f>
        <v>11000</v>
      </c>
      <c r="U4" s="1">
        <v>0</v>
      </c>
      <c r="V4" s="1">
        <f>SUM(Table52[[#This Row],[Wkd Earning]:[Transport]])</f>
        <v>223562.5</v>
      </c>
      <c r="W4" s="1">
        <f>0.05*Table52[[#This Row],[Total Earnings]]</f>
        <v>11178.125</v>
      </c>
      <c r="X4" s="1">
        <f>Table52[[#This Row],[Total Earnings]]</f>
        <v>223562.5</v>
      </c>
      <c r="Y4" s="1">
        <f>Table52[[#This Row],[Gross Salary]]-Table52[[#This Row],[WHT]]</f>
        <v>212384.375</v>
      </c>
    </row>
    <row r="5" spans="1:25" x14ac:dyDescent="0.3">
      <c r="A5" t="s">
        <v>305</v>
      </c>
      <c r="B5" t="s">
        <v>94</v>
      </c>
      <c r="C5" t="s">
        <v>306</v>
      </c>
      <c r="D5" t="s">
        <v>307</v>
      </c>
      <c r="E5" s="1">
        <v>8600</v>
      </c>
      <c r="F5">
        <v>25</v>
      </c>
      <c r="G5" t="s">
        <v>7</v>
      </c>
      <c r="H5">
        <v>22</v>
      </c>
      <c r="I5">
        <v>28</v>
      </c>
      <c r="J5">
        <v>14</v>
      </c>
      <c r="K5">
        <v>0</v>
      </c>
      <c r="M5">
        <v>0</v>
      </c>
      <c r="N5" s="1">
        <f>Table52[[#This Row],[Total Weekday]]*Table52[[#This Row],[Daily Rate]]</f>
        <v>189200</v>
      </c>
      <c r="O5" s="1">
        <f>Table52[[#This Row],[Daily Rate]]/8*(1.5*Table52[[#This Row],[Weekday OVT]])</f>
        <v>45150</v>
      </c>
      <c r="P5" s="1">
        <f>Table52[[#This Row],[Daily Rate]]/8*(1.5*Table52[[#This Row],[Total Saturday]])</f>
        <v>22575</v>
      </c>
      <c r="Q5" s="1">
        <f>Table52[[#This Row],[Daily Rate]]/8*(2*Table52[[#This Row],[Total Sunday]])</f>
        <v>0</v>
      </c>
      <c r="R5">
        <f>Table52[[#This Row],[Daily Rate]]/8*(2*Table52[[#This Row],[Public Holiday]])</f>
        <v>0</v>
      </c>
      <c r="S5" s="1">
        <f>1100*Table52[[#This Row],[Night Worked]]</f>
        <v>0</v>
      </c>
      <c r="T5" s="1">
        <f>500*Table52[[#This Row],[Total Weekday]]</f>
        <v>11000</v>
      </c>
      <c r="U5" s="1">
        <v>0</v>
      </c>
      <c r="V5" s="1">
        <f>SUM(Table52[[#This Row],[Wkd Earning]:[Transport]])</f>
        <v>267925</v>
      </c>
      <c r="W5" s="1">
        <f>0.05*Table52[[#This Row],[Total Earnings]]</f>
        <v>13396.25</v>
      </c>
      <c r="X5" s="1">
        <f>Table52[[#This Row],[Total Earnings]]</f>
        <v>267925</v>
      </c>
      <c r="Y5" s="1">
        <f>Table52[[#This Row],[Gross Salary]]-Table52[[#This Row],[WHT]]</f>
        <v>254528.75</v>
      </c>
    </row>
    <row r="6" spans="1:25" x14ac:dyDescent="0.3">
      <c r="A6" t="s">
        <v>232</v>
      </c>
      <c r="B6" t="s">
        <v>234</v>
      </c>
      <c r="C6" t="s">
        <v>233</v>
      </c>
      <c r="D6" t="s">
        <v>228</v>
      </c>
      <c r="E6" s="1">
        <v>9500</v>
      </c>
      <c r="F6">
        <v>37</v>
      </c>
      <c r="G6" t="s">
        <v>7</v>
      </c>
      <c r="H6">
        <v>22</v>
      </c>
      <c r="I6">
        <v>2</v>
      </c>
      <c r="J6">
        <v>0</v>
      </c>
      <c r="K6">
        <v>0</v>
      </c>
      <c r="M6">
        <v>0</v>
      </c>
      <c r="N6" s="1">
        <f>Table52[[#This Row],[Total Weekday]]*Table52[[#This Row],[Daily Rate]]</f>
        <v>209000</v>
      </c>
      <c r="O6" s="1">
        <f>Table52[[#This Row],[Daily Rate]]/8*(1.5*Table52[[#This Row],[Weekday OVT]])</f>
        <v>3562.5</v>
      </c>
      <c r="P6" s="1">
        <f>Table52[[#This Row],[Daily Rate]]/8*(1.5*Table52[[#This Row],[Total Saturday]])</f>
        <v>0</v>
      </c>
      <c r="Q6" s="1">
        <f>Table52[[#This Row],[Daily Rate]]/8*(2*Table52[[#This Row],[Total Sunday]])</f>
        <v>0</v>
      </c>
      <c r="R6">
        <f>Table52[[#This Row],[Daily Rate]]/8*(2*Table52[[#This Row],[Public Holiday]])</f>
        <v>0</v>
      </c>
      <c r="S6" s="1">
        <f>1100*Table52[[#This Row],[Night Worked]]</f>
        <v>0</v>
      </c>
      <c r="T6" s="1">
        <f>500*Table52[[#This Row],[Total Weekday]]</f>
        <v>11000</v>
      </c>
      <c r="U6" s="1">
        <v>0</v>
      </c>
      <c r="V6" s="1">
        <f>SUM(Table52[[#This Row],[Wkd Earning]:[Transport]])</f>
        <v>223562.5</v>
      </c>
      <c r="W6" s="1">
        <f>0.05*Table52[[#This Row],[Total Earnings]]</f>
        <v>11178.125</v>
      </c>
      <c r="X6" s="1">
        <f>Table52[[#This Row],[Total Earnings]]</f>
        <v>223562.5</v>
      </c>
      <c r="Y6" s="1">
        <f>Table52[[#This Row],[Gross Salary]]-Table52[[#This Row],[WHT]]</f>
        <v>212384.375</v>
      </c>
    </row>
    <row r="7" spans="1:25" x14ac:dyDescent="0.3">
      <c r="A7" t="s">
        <v>226</v>
      </c>
      <c r="B7" t="s">
        <v>852</v>
      </c>
      <c r="C7" t="s">
        <v>227</v>
      </c>
      <c r="D7" t="s">
        <v>228</v>
      </c>
      <c r="E7" s="1">
        <v>9500</v>
      </c>
      <c r="F7">
        <v>34</v>
      </c>
      <c r="G7" t="s">
        <v>7</v>
      </c>
      <c r="H7">
        <v>22</v>
      </c>
      <c r="I7">
        <v>6</v>
      </c>
      <c r="J7">
        <v>6</v>
      </c>
      <c r="K7">
        <v>0</v>
      </c>
      <c r="M7">
        <v>0</v>
      </c>
      <c r="N7" s="1">
        <f>Table52[[#This Row],[Total Weekday]]*Table52[[#This Row],[Daily Rate]]</f>
        <v>209000</v>
      </c>
      <c r="O7" s="1">
        <f>Table52[[#This Row],[Daily Rate]]/8*(1.5*Table52[[#This Row],[Weekday OVT]])</f>
        <v>10687.5</v>
      </c>
      <c r="P7" s="1">
        <f>Table52[[#This Row],[Daily Rate]]/8*(1.5*Table52[[#This Row],[Total Saturday]])</f>
        <v>10687.5</v>
      </c>
      <c r="Q7" s="1">
        <f>Table52[[#This Row],[Daily Rate]]/8*(2*Table52[[#This Row],[Total Sunday]])</f>
        <v>0</v>
      </c>
      <c r="R7">
        <f>Table52[[#This Row],[Daily Rate]]/8*(2*Table52[[#This Row],[Public Holiday]])</f>
        <v>0</v>
      </c>
      <c r="S7" s="1">
        <f>1100*Table52[[#This Row],[Night Worked]]</f>
        <v>0</v>
      </c>
      <c r="T7" s="1">
        <f>500*Table52[[#This Row],[Total Weekday]]</f>
        <v>11000</v>
      </c>
      <c r="U7" s="1">
        <v>0</v>
      </c>
      <c r="V7" s="1">
        <f>SUM(Table52[[#This Row],[Wkd Earning]:[Transport]])</f>
        <v>241375</v>
      </c>
      <c r="W7" s="1">
        <f>0.05*Table52[[#This Row],[Total Earnings]]</f>
        <v>12068.75</v>
      </c>
      <c r="X7" s="1">
        <f>Table52[[#This Row],[Total Earnings]]</f>
        <v>241375</v>
      </c>
      <c r="Y7" s="1">
        <f>Table52[[#This Row],[Gross Salary]]-Table52[[#This Row],[WHT]]</f>
        <v>229306.25</v>
      </c>
    </row>
    <row r="8" spans="1:25" x14ac:dyDescent="0.3">
      <c r="A8" t="s">
        <v>316</v>
      </c>
      <c r="B8" t="s">
        <v>317</v>
      </c>
      <c r="C8" t="s">
        <v>278</v>
      </c>
      <c r="D8" t="s">
        <v>228</v>
      </c>
      <c r="E8" s="1">
        <v>9500</v>
      </c>
      <c r="F8">
        <v>42</v>
      </c>
      <c r="G8" t="s">
        <v>7</v>
      </c>
      <c r="H8">
        <v>22</v>
      </c>
      <c r="I8">
        <v>6</v>
      </c>
      <c r="J8">
        <v>6</v>
      </c>
      <c r="K8">
        <v>0</v>
      </c>
      <c r="M8">
        <v>0</v>
      </c>
      <c r="N8" s="1">
        <f>Table52[[#This Row],[Total Weekday]]*Table52[[#This Row],[Daily Rate]]</f>
        <v>209000</v>
      </c>
      <c r="O8" s="1">
        <f>Table52[[#This Row],[Daily Rate]]/8*(1.5*Table52[[#This Row],[Weekday OVT]])</f>
        <v>10687.5</v>
      </c>
      <c r="P8" s="1">
        <f>Table52[[#This Row],[Daily Rate]]/8*(1.5*Table52[[#This Row],[Total Saturday]])</f>
        <v>10687.5</v>
      </c>
      <c r="Q8" s="1">
        <f>Table52[[#This Row],[Daily Rate]]/8*(2*Table52[[#This Row],[Total Sunday]])</f>
        <v>0</v>
      </c>
      <c r="R8">
        <f>Table52[[#This Row],[Daily Rate]]/8*(2*Table52[[#This Row],[Public Holiday]])</f>
        <v>0</v>
      </c>
      <c r="S8" s="1">
        <f>1100*Table52[[#This Row],[Night Worked]]</f>
        <v>0</v>
      </c>
      <c r="T8" s="1">
        <f>500*Table52[[#This Row],[Total Weekday]]</f>
        <v>11000</v>
      </c>
      <c r="U8" s="1">
        <v>0</v>
      </c>
      <c r="V8" s="1">
        <f>SUM(Table52[[#This Row],[Wkd Earning]:[Transport]])</f>
        <v>241375</v>
      </c>
      <c r="W8" s="1">
        <f>0.05*Table52[[#This Row],[Total Earnings]]</f>
        <v>12068.75</v>
      </c>
      <c r="X8" s="1">
        <f>Table52[[#This Row],[Total Earnings]]</f>
        <v>241375</v>
      </c>
      <c r="Y8" s="1">
        <f>Table52[[#This Row],[Gross Salary]]-Table52[[#This Row],[WHT]]</f>
        <v>229306.25</v>
      </c>
    </row>
    <row r="9" spans="1:25" x14ac:dyDescent="0.3">
      <c r="A9">
        <f>SUBTOTAL(103,Table52[Emp. Code])</f>
        <v>7</v>
      </c>
      <c r="E9" s="1">
        <f>SUBTOTAL(109,Table52[Daily Rate])</f>
        <v>66100</v>
      </c>
      <c r="H9">
        <f>SUBTOTAL(109,Table52[Total Weekday])</f>
        <v>153</v>
      </c>
      <c r="I9">
        <f>SUBTOTAL(109,Table52[Weekday OVT])</f>
        <v>48</v>
      </c>
      <c r="J9">
        <f>SUBTOTAL(109,Table52[Total Saturday])</f>
        <v>32</v>
      </c>
      <c r="N9" s="1">
        <f>SUBTOTAL(109,Table52[Wkd Earning])</f>
        <v>1444700</v>
      </c>
      <c r="O9" s="1">
        <f>SUBTOTAL(109,Table52[Wkd Ovt Amt])</f>
        <v>81150</v>
      </c>
      <c r="P9" s="1">
        <f>SUBTOTAL(109,Table52[Sat Ovt Amt])</f>
        <v>54637.5</v>
      </c>
      <c r="Q9" s="1">
        <f>SUBTOTAL(109,Table52[Sun Ovt Amt])</f>
        <v>0</v>
      </c>
      <c r="R9" s="1">
        <f>SUBTOTAL(109,Table52[PH Amt])</f>
        <v>0</v>
      </c>
      <c r="S9" s="1">
        <f>SUBTOTAL(109,Table52[Night Amt])</f>
        <v>0</v>
      </c>
      <c r="T9" s="1">
        <f>SUBTOTAL(109,Table52[Meal Allowance])</f>
        <v>76500</v>
      </c>
      <c r="U9" s="1">
        <f>SUBTOTAL(109,Table52[Transport])</f>
        <v>0</v>
      </c>
      <c r="V9" s="1">
        <f>SUBTOTAL(109,Table52[Total Earnings])</f>
        <v>1656987.5</v>
      </c>
      <c r="W9" s="1">
        <f>SUBTOTAL(109,Table52[WHT])</f>
        <v>82849.375</v>
      </c>
      <c r="X9" s="1">
        <f>SUBTOTAL(109,Table52[Gross Salary])</f>
        <v>1656987.5</v>
      </c>
      <c r="Y9" s="1">
        <f>SUBTOTAL(109,Table52[Net Pay])</f>
        <v>1574138.125</v>
      </c>
    </row>
  </sheetData>
  <conditionalFormatting sqref="A1:A1048576">
    <cfRule type="duplicateValues" dxfId="2" priority="1"/>
  </conditionalFormatting>
  <conditionalFormatting sqref="A117:A1048576 A1:A12">
    <cfRule type="duplicateValues" dxfId="1" priority="2"/>
  </conditionalFormatting>
  <pageMargins left="0.7" right="0.7" top="0.75" bottom="0.75" header="0.3" footer="0.3"/>
  <ignoredErrors>
    <ignoredError sqref="V2:V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5286-4C3E-4451-97D5-ECDD7DEB763C}">
  <sheetPr>
    <outlinePr summaryBelow="0"/>
  </sheetPr>
  <dimension ref="A1:F185"/>
  <sheetViews>
    <sheetView showGridLines="0" topLeftCell="A173" workbookViewId="0">
      <selection activeCell="B186" sqref="B186"/>
    </sheetView>
  </sheetViews>
  <sheetFormatPr defaultRowHeight="14.4" x14ac:dyDescent="0.3"/>
  <cols>
    <col min="1" max="1" width="14" customWidth="1"/>
    <col min="2" max="2" width="31.109375" customWidth="1"/>
    <col min="3" max="3" width="29.88671875" bestFit="1" customWidth="1"/>
    <col min="4" max="6" width="15.5546875" customWidth="1"/>
  </cols>
  <sheetData>
    <row r="1" spans="1:6" ht="31.5" customHeight="1" x14ac:dyDescent="0.3">
      <c r="A1" s="10" t="s">
        <v>491</v>
      </c>
      <c r="B1" s="10"/>
      <c r="C1" s="10"/>
      <c r="D1" s="10"/>
      <c r="E1" s="10"/>
      <c r="F1" s="10"/>
    </row>
    <row r="2" spans="1:6" ht="21" customHeight="1" x14ac:dyDescent="0.3">
      <c r="A2" s="2" t="s">
        <v>0</v>
      </c>
      <c r="B2" s="2" t="s">
        <v>492</v>
      </c>
      <c r="C2" s="2" t="s">
        <v>493</v>
      </c>
      <c r="D2" s="2" t="s">
        <v>494</v>
      </c>
      <c r="E2" s="2" t="s">
        <v>495</v>
      </c>
      <c r="F2" s="3" t="s">
        <v>496</v>
      </c>
    </row>
    <row r="3" spans="1:6" ht="13.5" customHeight="1" x14ac:dyDescent="0.3">
      <c r="A3" s="18" t="s">
        <v>4</v>
      </c>
      <c r="B3" s="18" t="s">
        <v>498</v>
      </c>
      <c r="C3" s="18" t="s">
        <v>499</v>
      </c>
      <c r="D3" s="18" t="s">
        <v>500</v>
      </c>
      <c r="E3" s="18" t="s">
        <v>501</v>
      </c>
      <c r="F3" s="19">
        <f>_xlfn.XLOOKUP(Table13[[#This Row],[Employee Code]],DLE!A:A,DLE!AB:AB)</f>
        <v>311089.375</v>
      </c>
    </row>
    <row r="4" spans="1:6" ht="12.75" customHeight="1" x14ac:dyDescent="0.3">
      <c r="A4" s="18" t="s">
        <v>9</v>
      </c>
      <c r="B4" s="18" t="s">
        <v>502</v>
      </c>
      <c r="C4" s="18" t="s">
        <v>503</v>
      </c>
      <c r="D4" s="18" t="s">
        <v>504</v>
      </c>
      <c r="E4" s="18" t="s">
        <v>505</v>
      </c>
      <c r="F4" s="19">
        <f>_xlfn.XLOOKUP(Table13[[#This Row],[Employee Code]],DLE!A:A,DLE!AB:AB)</f>
        <v>461492.1875</v>
      </c>
    </row>
    <row r="5" spans="1:6" ht="12.75" customHeight="1" x14ac:dyDescent="0.3">
      <c r="A5" s="18" t="s">
        <v>13</v>
      </c>
      <c r="B5" s="18" t="s">
        <v>506</v>
      </c>
      <c r="C5" s="18" t="s">
        <v>507</v>
      </c>
      <c r="D5" s="18" t="s">
        <v>508</v>
      </c>
      <c r="E5" s="18" t="s">
        <v>509</v>
      </c>
      <c r="F5" s="19">
        <f>_xlfn.XLOOKUP(Table13[[#This Row],[Employee Code]],DLE!A:A,DLE!AB:AB)</f>
        <v>349030</v>
      </c>
    </row>
    <row r="6" spans="1:6" ht="13.5" customHeight="1" x14ac:dyDescent="0.3">
      <c r="A6" s="18" t="s">
        <v>17</v>
      </c>
      <c r="B6" s="18" t="s">
        <v>510</v>
      </c>
      <c r="C6" s="18" t="s">
        <v>511</v>
      </c>
      <c r="D6" s="18" t="s">
        <v>512</v>
      </c>
      <c r="E6" s="18" t="s">
        <v>513</v>
      </c>
      <c r="F6" s="19">
        <f>_xlfn.XLOOKUP(Table13[[#This Row],[Employee Code]],DLE!A:A,DLE!AB:AB)</f>
        <v>383515</v>
      </c>
    </row>
    <row r="7" spans="1:6" ht="12.75" customHeight="1" x14ac:dyDescent="0.3">
      <c r="A7" s="18" t="s">
        <v>26</v>
      </c>
      <c r="B7" s="18" t="s">
        <v>514</v>
      </c>
      <c r="C7" s="18" t="s">
        <v>503</v>
      </c>
      <c r="D7" s="18" t="s">
        <v>515</v>
      </c>
      <c r="E7" s="18" t="s">
        <v>505</v>
      </c>
      <c r="F7" s="19">
        <f>_xlfn.XLOOKUP(Table13[[#This Row],[Employee Code]],DLE!A:A,DLE!AB:AB)</f>
        <v>308708.4375</v>
      </c>
    </row>
    <row r="8" spans="1:6" ht="12.75" customHeight="1" x14ac:dyDescent="0.3">
      <c r="A8" s="18" t="s">
        <v>30</v>
      </c>
      <c r="B8" s="18" t="s">
        <v>516</v>
      </c>
      <c r="C8" s="18" t="s">
        <v>499</v>
      </c>
      <c r="D8" s="18" t="s">
        <v>517</v>
      </c>
      <c r="E8" s="18" t="s">
        <v>501</v>
      </c>
      <c r="F8" s="19">
        <f>_xlfn.XLOOKUP(Table13[[#This Row],[Employee Code]],DLE!A:A,DLE!AB:AB)</f>
        <v>336629.53125</v>
      </c>
    </row>
    <row r="9" spans="1:6" ht="12.75" customHeight="1" x14ac:dyDescent="0.3">
      <c r="A9" s="18" t="s">
        <v>41</v>
      </c>
      <c r="B9" s="18" t="s">
        <v>518</v>
      </c>
      <c r="C9" s="18" t="s">
        <v>499</v>
      </c>
      <c r="D9" s="18" t="s">
        <v>519</v>
      </c>
      <c r="E9" s="18" t="s">
        <v>501</v>
      </c>
      <c r="F9" s="19">
        <f>_xlfn.XLOOKUP(Table13[[#This Row],[Employee Code]],DLE!A:A,DLE!AB:AB)</f>
        <v>298472.1875</v>
      </c>
    </row>
    <row r="10" spans="1:6" ht="13.5" customHeight="1" x14ac:dyDescent="0.3">
      <c r="A10" s="18" t="s">
        <v>43</v>
      </c>
      <c r="B10" s="18" t="s">
        <v>520</v>
      </c>
      <c r="C10" s="18" t="s">
        <v>521</v>
      </c>
      <c r="D10" s="18" t="s">
        <v>522</v>
      </c>
      <c r="E10" s="18" t="s">
        <v>523</v>
      </c>
      <c r="F10" s="19">
        <f>_xlfn.XLOOKUP(Table13[[#This Row],[Employee Code]],DLE!A:A,DLE!AB:AB)</f>
        <v>669304.6875</v>
      </c>
    </row>
    <row r="11" spans="1:6" ht="12.75" customHeight="1" x14ac:dyDescent="0.3">
      <c r="A11" s="18" t="s">
        <v>51</v>
      </c>
      <c r="B11" s="18" t="s">
        <v>524</v>
      </c>
      <c r="C11" s="18" t="s">
        <v>499</v>
      </c>
      <c r="D11" s="18" t="s">
        <v>525</v>
      </c>
      <c r="E11" s="18" t="s">
        <v>501</v>
      </c>
      <c r="F11" s="19">
        <f>_xlfn.XLOOKUP(Table13[[#This Row],[Employee Code]],DLE!A:A,DLE!AB:AB)</f>
        <v>242932.8125</v>
      </c>
    </row>
    <row r="12" spans="1:6" ht="13.5" customHeight="1" x14ac:dyDescent="0.3">
      <c r="A12" s="18" t="s">
        <v>54</v>
      </c>
      <c r="B12" s="18" t="s">
        <v>526</v>
      </c>
      <c r="C12" s="18" t="s">
        <v>527</v>
      </c>
      <c r="D12" s="18" t="s">
        <v>528</v>
      </c>
      <c r="E12" s="18" t="s">
        <v>529</v>
      </c>
      <c r="F12" s="19">
        <f>_xlfn.XLOOKUP(Table13[[#This Row],[Employee Code]],DLE!A:A,DLE!AB:AB)</f>
        <v>344850</v>
      </c>
    </row>
    <row r="13" spans="1:6" ht="12.75" customHeight="1" x14ac:dyDescent="0.3">
      <c r="A13" s="18" t="s">
        <v>57</v>
      </c>
      <c r="B13" s="18" t="s">
        <v>530</v>
      </c>
      <c r="C13" s="18" t="s">
        <v>499</v>
      </c>
      <c r="D13" s="18" t="s">
        <v>531</v>
      </c>
      <c r="E13" s="18" t="s">
        <v>501</v>
      </c>
      <c r="F13" s="19">
        <f>_xlfn.XLOOKUP(Table13[[#This Row],[Employee Code]],DLE!A:A,DLE!AB:AB)</f>
        <v>471675</v>
      </c>
    </row>
    <row r="14" spans="1:6" ht="13.5" customHeight="1" x14ac:dyDescent="0.3">
      <c r="A14" s="18" t="s">
        <v>61</v>
      </c>
      <c r="B14" s="18" t="s">
        <v>532</v>
      </c>
      <c r="C14" s="18" t="s">
        <v>503</v>
      </c>
      <c r="D14" s="18" t="s">
        <v>533</v>
      </c>
      <c r="E14" s="18" t="s">
        <v>505</v>
      </c>
      <c r="F14" s="19">
        <f>_xlfn.XLOOKUP(Table13[[#This Row],[Employee Code]],DLE!A:A,DLE!AB:AB)</f>
        <v>454396.875</v>
      </c>
    </row>
    <row r="15" spans="1:6" ht="12.75" customHeight="1" x14ac:dyDescent="0.3">
      <c r="A15" s="18" t="s">
        <v>67</v>
      </c>
      <c r="B15" s="18" t="s">
        <v>534</v>
      </c>
      <c r="C15" s="18" t="s">
        <v>503</v>
      </c>
      <c r="D15" s="18" t="s">
        <v>535</v>
      </c>
      <c r="E15" s="18" t="s">
        <v>505</v>
      </c>
      <c r="F15" s="19">
        <f>_xlfn.XLOOKUP(Table13[[#This Row],[Employee Code]],DLE!A:A,DLE!AB:AB)</f>
        <v>657904.6875</v>
      </c>
    </row>
    <row r="16" spans="1:6" ht="12.75" customHeight="1" x14ac:dyDescent="0.3">
      <c r="A16" s="18" t="s">
        <v>70</v>
      </c>
      <c r="B16" s="18" t="s">
        <v>536</v>
      </c>
      <c r="C16" s="18" t="s">
        <v>537</v>
      </c>
      <c r="D16" s="18" t="s">
        <v>538</v>
      </c>
      <c r="E16" s="18" t="s">
        <v>523</v>
      </c>
      <c r="F16" s="19">
        <f>_xlfn.XLOOKUP(Table13[[#This Row],[Employee Code]],DLE!A:A,DLE!AB:AB)</f>
        <v>389226.875</v>
      </c>
    </row>
    <row r="17" spans="1:6" ht="13.5" customHeight="1" x14ac:dyDescent="0.3">
      <c r="A17" s="18" t="s">
        <v>75</v>
      </c>
      <c r="B17" s="18" t="s">
        <v>539</v>
      </c>
      <c r="C17" s="18" t="s">
        <v>499</v>
      </c>
      <c r="D17" s="18" t="s">
        <v>540</v>
      </c>
      <c r="E17" s="18" t="s">
        <v>501</v>
      </c>
      <c r="F17" s="19">
        <f>_xlfn.XLOOKUP(Table13[[#This Row],[Employee Code]],DLE!A:A,DLE!AB:AB)</f>
        <v>618360.9375</v>
      </c>
    </row>
    <row r="18" spans="1:6" ht="12.75" customHeight="1" x14ac:dyDescent="0.3">
      <c r="A18" s="18" t="s">
        <v>81</v>
      </c>
      <c r="B18" s="18" t="s">
        <v>541</v>
      </c>
      <c r="C18" s="18" t="s">
        <v>521</v>
      </c>
      <c r="D18" s="18" t="s">
        <v>542</v>
      </c>
      <c r="E18" s="18" t="s">
        <v>523</v>
      </c>
      <c r="F18" s="19">
        <f>_xlfn.XLOOKUP(Table13[[#This Row],[Employee Code]],DLE!A:A,DLE!AB:AB)</f>
        <v>319110.9375</v>
      </c>
    </row>
    <row r="19" spans="1:6" ht="12.75" customHeight="1" x14ac:dyDescent="0.3">
      <c r="A19" s="18" t="s">
        <v>84</v>
      </c>
      <c r="B19" s="18" t="s">
        <v>543</v>
      </c>
      <c r="C19" s="18" t="s">
        <v>499</v>
      </c>
      <c r="D19" s="18" t="s">
        <v>544</v>
      </c>
      <c r="E19" s="18" t="s">
        <v>501</v>
      </c>
      <c r="F19" s="19">
        <f>_xlfn.XLOOKUP(Table13[[#This Row],[Employee Code]],DLE!A:A,DLE!AB:AB)</f>
        <v>712966.09375</v>
      </c>
    </row>
    <row r="20" spans="1:6" ht="12.75" customHeight="1" x14ac:dyDescent="0.3">
      <c r="A20" s="18" t="s">
        <v>92</v>
      </c>
      <c r="B20" s="18" t="s">
        <v>545</v>
      </c>
      <c r="C20" s="18" t="s">
        <v>503</v>
      </c>
      <c r="D20" s="18" t="s">
        <v>546</v>
      </c>
      <c r="E20" s="18" t="s">
        <v>505</v>
      </c>
      <c r="F20" s="19">
        <f>_xlfn.XLOOKUP(Table13[[#This Row],[Employee Code]],DLE!A:A,DLE!AB:AB)</f>
        <v>336629.53125</v>
      </c>
    </row>
    <row r="21" spans="1:6" ht="13.5" customHeight="1" x14ac:dyDescent="0.3">
      <c r="A21" s="18" t="s">
        <v>95</v>
      </c>
      <c r="B21" s="18" t="s">
        <v>547</v>
      </c>
      <c r="C21" s="18" t="s">
        <v>499</v>
      </c>
      <c r="D21" s="18" t="s">
        <v>548</v>
      </c>
      <c r="E21" s="18" t="s">
        <v>501</v>
      </c>
      <c r="F21" s="19">
        <f>_xlfn.XLOOKUP(Table13[[#This Row],[Employee Code]],DLE!A:A,DLE!AB:AB)</f>
        <v>252061.71875</v>
      </c>
    </row>
    <row r="22" spans="1:6" ht="12.75" customHeight="1" x14ac:dyDescent="0.3">
      <c r="A22" s="18" t="s">
        <v>98</v>
      </c>
      <c r="B22" s="18" t="s">
        <v>549</v>
      </c>
      <c r="C22" s="18" t="s">
        <v>499</v>
      </c>
      <c r="D22" s="18" t="s">
        <v>550</v>
      </c>
      <c r="E22" s="18" t="s">
        <v>501</v>
      </c>
      <c r="F22" s="19">
        <f>_xlfn.XLOOKUP(Table13[[#This Row],[Employee Code]],DLE!A:A,DLE!AB:AB)</f>
        <v>314105.625</v>
      </c>
    </row>
    <row r="23" spans="1:6" ht="12.75" customHeight="1" x14ac:dyDescent="0.3">
      <c r="A23" s="18" t="s">
        <v>101</v>
      </c>
      <c r="B23" s="18" t="s">
        <v>551</v>
      </c>
      <c r="C23" s="18" t="s">
        <v>499</v>
      </c>
      <c r="D23" s="18" t="s">
        <v>552</v>
      </c>
      <c r="E23" s="18" t="s">
        <v>501</v>
      </c>
      <c r="F23" s="19">
        <f>_xlfn.XLOOKUP(Table13[[#This Row],[Employee Code]],DLE!A:A,DLE!AB:AB)</f>
        <v>248410.15625</v>
      </c>
    </row>
    <row r="24" spans="1:6" ht="13.5" customHeight="1" x14ac:dyDescent="0.3">
      <c r="A24" s="18" t="s">
        <v>104</v>
      </c>
      <c r="B24" s="18" t="s">
        <v>553</v>
      </c>
      <c r="C24" s="18" t="s">
        <v>499</v>
      </c>
      <c r="D24" s="18" t="s">
        <v>554</v>
      </c>
      <c r="E24" s="18" t="s">
        <v>501</v>
      </c>
      <c r="F24" s="19">
        <f>_xlfn.XLOOKUP(Table13[[#This Row],[Employee Code]],DLE!A:A,DLE!AB:AB)</f>
        <v>190190</v>
      </c>
    </row>
    <row r="25" spans="1:6" ht="12.75" customHeight="1" x14ac:dyDescent="0.3">
      <c r="A25" s="18" t="s">
        <v>108</v>
      </c>
      <c r="B25" s="18" t="s">
        <v>555</v>
      </c>
      <c r="C25" s="18" t="s">
        <v>556</v>
      </c>
      <c r="D25" s="18" t="s">
        <v>557</v>
      </c>
      <c r="E25" s="18" t="s">
        <v>558</v>
      </c>
      <c r="F25" s="19">
        <f>_xlfn.XLOOKUP(Table13[[#This Row],[Employee Code]],DLE!A:A,DLE!AB:AB)</f>
        <v>901814.21875</v>
      </c>
    </row>
    <row r="26" spans="1:6" ht="12.75" customHeight="1" x14ac:dyDescent="0.3">
      <c r="A26" s="18" t="s">
        <v>111</v>
      </c>
      <c r="B26" s="18" t="s">
        <v>559</v>
      </c>
      <c r="C26" s="18" t="s">
        <v>511</v>
      </c>
      <c r="D26" s="18" t="s">
        <v>560</v>
      </c>
      <c r="E26" s="18" t="s">
        <v>513</v>
      </c>
      <c r="F26" s="19">
        <f>_xlfn.XLOOKUP(Table13[[#This Row],[Employee Code]],DLE!A:A,DLE!AB:AB)</f>
        <v>389226.875</v>
      </c>
    </row>
    <row r="27" spans="1:6" ht="12.75" customHeight="1" x14ac:dyDescent="0.3">
      <c r="A27" s="18" t="s">
        <v>114</v>
      </c>
      <c r="B27" s="18" t="s">
        <v>561</v>
      </c>
      <c r="C27" s="18" t="s">
        <v>503</v>
      </c>
      <c r="D27" s="18" t="s">
        <v>562</v>
      </c>
      <c r="E27" s="18" t="s">
        <v>505</v>
      </c>
      <c r="F27" s="19">
        <f>_xlfn.XLOOKUP(Table13[[#This Row],[Employee Code]],DLE!A:A,DLE!AB:AB)</f>
        <v>276925</v>
      </c>
    </row>
    <row r="28" spans="1:6" ht="18.75" customHeight="1" x14ac:dyDescent="0.3">
      <c r="A28" s="18" t="s">
        <v>118</v>
      </c>
      <c r="B28" s="18" t="s">
        <v>563</v>
      </c>
      <c r="C28" s="18" t="s">
        <v>503</v>
      </c>
      <c r="D28" s="18" t="s">
        <v>564</v>
      </c>
      <c r="E28" s="18" t="s">
        <v>505</v>
      </c>
      <c r="F28" s="19">
        <f>_xlfn.XLOOKUP(Table13[[#This Row],[Employee Code]],DLE!A:A,DLE!AB:AB)</f>
        <v>668515</v>
      </c>
    </row>
    <row r="29" spans="1:6" ht="12.75" customHeight="1" x14ac:dyDescent="0.3">
      <c r="A29" s="18" t="s">
        <v>124</v>
      </c>
      <c r="B29" s="18" t="s">
        <v>565</v>
      </c>
      <c r="C29" s="18" t="s">
        <v>499</v>
      </c>
      <c r="D29" s="18" t="s">
        <v>566</v>
      </c>
      <c r="E29" s="18" t="s">
        <v>501</v>
      </c>
      <c r="F29" s="19">
        <f>_xlfn.XLOOKUP(Table13[[#This Row],[Employee Code]],DLE!A:A,DLE!AB:AB)</f>
        <v>466343.125</v>
      </c>
    </row>
    <row r="30" spans="1:6" ht="12.75" customHeight="1" x14ac:dyDescent="0.3">
      <c r="A30" s="18" t="s">
        <v>127</v>
      </c>
      <c r="B30" s="18" t="s">
        <v>567</v>
      </c>
      <c r="C30" s="18" t="s">
        <v>503</v>
      </c>
      <c r="D30" s="18" t="s">
        <v>568</v>
      </c>
      <c r="E30" s="18" t="s">
        <v>505</v>
      </c>
      <c r="F30" s="19">
        <f>_xlfn.XLOOKUP(Table13[[#This Row],[Employee Code]],DLE!A:A,DLE!AB:AB)</f>
        <v>340414.6875</v>
      </c>
    </row>
    <row r="31" spans="1:6" ht="12.75" customHeight="1" x14ac:dyDescent="0.3">
      <c r="A31" s="18" t="s">
        <v>129</v>
      </c>
      <c r="B31" s="18" t="s">
        <v>569</v>
      </c>
      <c r="C31" s="18" t="s">
        <v>511</v>
      </c>
      <c r="D31" s="18" t="s">
        <v>570</v>
      </c>
      <c r="E31" s="18" t="s">
        <v>513</v>
      </c>
      <c r="F31" s="19">
        <f>_xlfn.XLOOKUP(Table13[[#This Row],[Employee Code]],DLE!A:A,DLE!AB:AB)</f>
        <v>308708.4375</v>
      </c>
    </row>
    <row r="32" spans="1:6" ht="13.5" customHeight="1" x14ac:dyDescent="0.3">
      <c r="A32" s="18" t="s">
        <v>135</v>
      </c>
      <c r="B32" s="18" t="s">
        <v>571</v>
      </c>
      <c r="C32" s="18" t="s">
        <v>499</v>
      </c>
      <c r="D32" s="18" t="s">
        <v>572</v>
      </c>
      <c r="E32" s="18" t="s">
        <v>501</v>
      </c>
      <c r="F32" s="19">
        <f>_xlfn.XLOOKUP(Table13[[#This Row],[Employee Code]],DLE!A:A,DLE!AB:AB)</f>
        <v>519991.40625</v>
      </c>
    </row>
    <row r="33" spans="1:6" ht="12.75" customHeight="1" x14ac:dyDescent="0.3">
      <c r="A33" s="18" t="s">
        <v>137</v>
      </c>
      <c r="B33" s="18" t="s">
        <v>573</v>
      </c>
      <c r="C33" s="18" t="s">
        <v>503</v>
      </c>
      <c r="D33" s="18" t="s">
        <v>574</v>
      </c>
      <c r="E33" s="18" t="s">
        <v>505</v>
      </c>
      <c r="F33" s="19">
        <f>_xlfn.XLOOKUP(Table13[[#This Row],[Employee Code]],DLE!A:A,DLE!AB:AB)</f>
        <v>276925</v>
      </c>
    </row>
    <row r="34" spans="1:6" ht="12.75" customHeight="1" x14ac:dyDescent="0.3">
      <c r="A34" s="18" t="s">
        <v>140</v>
      </c>
      <c r="B34" s="18" t="s">
        <v>575</v>
      </c>
      <c r="C34" s="18" t="s">
        <v>576</v>
      </c>
      <c r="D34" s="18" t="s">
        <v>577</v>
      </c>
      <c r="E34" s="18" t="s">
        <v>578</v>
      </c>
      <c r="F34" s="19">
        <f>_xlfn.XLOOKUP(Table13[[#This Row],[Employee Code]],DLE!A:A,DLE!AB:AB)</f>
        <v>276925</v>
      </c>
    </row>
    <row r="35" spans="1:6" ht="13.5" customHeight="1" x14ac:dyDescent="0.3">
      <c r="A35" s="18" t="s">
        <v>147</v>
      </c>
      <c r="B35" s="18" t="s">
        <v>579</v>
      </c>
      <c r="C35" s="18" t="s">
        <v>556</v>
      </c>
      <c r="D35" s="18" t="s">
        <v>580</v>
      </c>
      <c r="E35" s="18" t="s">
        <v>558</v>
      </c>
      <c r="F35" s="19">
        <f>_xlfn.XLOOKUP(Table13[[#This Row],[Employee Code]],DLE!A:A,DLE!AB:AB)</f>
        <v>401125.625</v>
      </c>
    </row>
    <row r="36" spans="1:6" ht="13.5" customHeight="1" x14ac:dyDescent="0.3">
      <c r="A36" s="18" t="s">
        <v>158</v>
      </c>
      <c r="B36" s="18" t="s">
        <v>581</v>
      </c>
      <c r="C36" s="18" t="s">
        <v>499</v>
      </c>
      <c r="D36" s="18" t="s">
        <v>582</v>
      </c>
      <c r="E36" s="18" t="s">
        <v>501</v>
      </c>
      <c r="F36" s="19">
        <f>_xlfn.XLOOKUP(Table13[[#This Row],[Employee Code]],DLE!A:A,DLE!AB:AB)</f>
        <v>338155.46875</v>
      </c>
    </row>
    <row r="37" spans="1:6" ht="12.75" customHeight="1" x14ac:dyDescent="0.3">
      <c r="A37" s="18" t="s">
        <v>162</v>
      </c>
      <c r="B37" s="18" t="s">
        <v>583</v>
      </c>
      <c r="C37" s="18" t="s">
        <v>556</v>
      </c>
      <c r="D37" s="18" t="s">
        <v>584</v>
      </c>
      <c r="E37" s="18" t="s">
        <v>558</v>
      </c>
      <c r="F37" s="19">
        <f>_xlfn.XLOOKUP(Table13[[#This Row],[Employee Code]],DLE!A:A,DLE!AB:AB)</f>
        <v>329121.5625</v>
      </c>
    </row>
    <row r="38" spans="1:6" ht="13.5" customHeight="1" x14ac:dyDescent="0.3">
      <c r="A38" s="18" t="s">
        <v>374</v>
      </c>
      <c r="B38" s="18" t="s">
        <v>585</v>
      </c>
      <c r="C38" s="18" t="s">
        <v>537</v>
      </c>
      <c r="D38" s="18" t="s">
        <v>586</v>
      </c>
      <c r="E38" s="18" t="s">
        <v>523</v>
      </c>
      <c r="F38" s="19">
        <f>_xlfn.XLOOKUP(Table13[[#This Row],[Employee Code]],DLE!A:A,DLE!AB:AB)</f>
        <v>281686.875</v>
      </c>
    </row>
    <row r="39" spans="1:6" ht="12.75" customHeight="1" x14ac:dyDescent="0.3">
      <c r="A39" s="18" t="s">
        <v>177</v>
      </c>
      <c r="B39" s="18" t="s">
        <v>587</v>
      </c>
      <c r="C39" s="18" t="s">
        <v>556</v>
      </c>
      <c r="D39" s="18" t="s">
        <v>588</v>
      </c>
      <c r="E39" s="18" t="s">
        <v>558</v>
      </c>
      <c r="F39" s="19">
        <f>_xlfn.XLOOKUP(Table13[[#This Row],[Employee Code]],DLE!A:A,DLE!AB:AB)</f>
        <v>586506.25</v>
      </c>
    </row>
    <row r="40" spans="1:6" ht="13.5" customHeight="1" x14ac:dyDescent="0.3">
      <c r="A40" s="18" t="s">
        <v>180</v>
      </c>
      <c r="B40" s="18" t="s">
        <v>589</v>
      </c>
      <c r="C40" s="18" t="s">
        <v>590</v>
      </c>
      <c r="D40" s="18" t="s">
        <v>591</v>
      </c>
      <c r="E40" s="18" t="s">
        <v>592</v>
      </c>
      <c r="F40" s="19">
        <f>_xlfn.XLOOKUP(Table13[[#This Row],[Employee Code]],DLE!A:A,DLE!AB:AB)</f>
        <v>327260.15625</v>
      </c>
    </row>
    <row r="41" spans="1:6" ht="12.75" customHeight="1" x14ac:dyDescent="0.3">
      <c r="A41" s="18" t="s">
        <v>183</v>
      </c>
      <c r="B41" s="18" t="s">
        <v>593</v>
      </c>
      <c r="C41" s="18" t="s">
        <v>511</v>
      </c>
      <c r="D41" s="18" t="s">
        <v>594</v>
      </c>
      <c r="E41" s="18" t="s">
        <v>513</v>
      </c>
      <c r="F41" s="19">
        <f>_xlfn.XLOOKUP(Table13[[#This Row],[Employee Code]],DLE!A:A,DLE!AB:AB)</f>
        <v>276925</v>
      </c>
    </row>
    <row r="42" spans="1:6" ht="12.75" customHeight="1" x14ac:dyDescent="0.3">
      <c r="A42" s="18" t="s">
        <v>189</v>
      </c>
      <c r="B42" s="18" t="s">
        <v>595</v>
      </c>
      <c r="C42" s="18" t="s">
        <v>511</v>
      </c>
      <c r="D42" s="18" t="s">
        <v>596</v>
      </c>
      <c r="E42" s="18" t="s">
        <v>513</v>
      </c>
      <c r="F42" s="19">
        <f>_xlfn.XLOOKUP(Table13[[#This Row],[Employee Code]],DLE!A:A,DLE!AB:AB)</f>
        <v>405626.25</v>
      </c>
    </row>
    <row r="43" spans="1:6" ht="13.5" customHeight="1" x14ac:dyDescent="0.3">
      <c r="A43" s="18" t="s">
        <v>194</v>
      </c>
      <c r="B43" s="18" t="s">
        <v>597</v>
      </c>
      <c r="C43" s="18" t="s">
        <v>499</v>
      </c>
      <c r="D43" s="18" t="s">
        <v>598</v>
      </c>
      <c r="E43" s="18" t="s">
        <v>501</v>
      </c>
      <c r="F43" s="19">
        <f>_xlfn.XLOOKUP(Table13[[#This Row],[Employee Code]],DLE!A:A,DLE!AB:AB)</f>
        <v>304095</v>
      </c>
    </row>
    <row r="44" spans="1:6" ht="12.75" customHeight="1" x14ac:dyDescent="0.3">
      <c r="A44" s="18" t="s">
        <v>202</v>
      </c>
      <c r="B44" s="18" t="s">
        <v>599</v>
      </c>
      <c r="C44" s="18" t="s">
        <v>507</v>
      </c>
      <c r="D44" s="18" t="s">
        <v>600</v>
      </c>
      <c r="E44" s="18" t="s">
        <v>509</v>
      </c>
      <c r="F44" s="19">
        <f>_xlfn.XLOOKUP(Table13[[#This Row],[Employee Code]],DLE!A:A,DLE!AB:AB)</f>
        <v>307791.09375</v>
      </c>
    </row>
    <row r="45" spans="1:6" ht="12.75" customHeight="1" x14ac:dyDescent="0.3">
      <c r="A45" s="18" t="s">
        <v>205</v>
      </c>
      <c r="B45" s="18" t="s">
        <v>601</v>
      </c>
      <c r="C45" s="18" t="s">
        <v>499</v>
      </c>
      <c r="D45" s="18" t="s">
        <v>602</v>
      </c>
      <c r="E45" s="18" t="s">
        <v>501</v>
      </c>
      <c r="F45" s="19">
        <f>_xlfn.XLOOKUP(Table13[[#This Row],[Employee Code]],DLE!A:A,DLE!AB:AB)</f>
        <v>304095</v>
      </c>
    </row>
    <row r="46" spans="1:6" ht="12.75" customHeight="1" x14ac:dyDescent="0.3">
      <c r="A46" s="18" t="s">
        <v>223</v>
      </c>
      <c r="B46" s="18" t="s">
        <v>603</v>
      </c>
      <c r="C46" s="18" t="s">
        <v>521</v>
      </c>
      <c r="D46" s="18" t="s">
        <v>604</v>
      </c>
      <c r="E46" s="18" t="s">
        <v>523</v>
      </c>
      <c r="F46" s="19">
        <f>_xlfn.XLOOKUP(Table13[[#This Row],[Employee Code]],DLE!A:A,DLE!AB:AB)</f>
        <v>346504.42499999999</v>
      </c>
    </row>
    <row r="47" spans="1:6" ht="13.5" customHeight="1" x14ac:dyDescent="0.3">
      <c r="A47" s="18" t="s">
        <v>236</v>
      </c>
      <c r="B47" s="18" t="s">
        <v>607</v>
      </c>
      <c r="C47" s="18" t="s">
        <v>511</v>
      </c>
      <c r="D47" s="18" t="s">
        <v>608</v>
      </c>
      <c r="E47" s="18" t="s">
        <v>513</v>
      </c>
      <c r="F47" s="19">
        <f>_xlfn.XLOOKUP(Table13[[#This Row],[Employee Code]],DLE!A:A,DLE!AB:AB)</f>
        <v>308616.40625</v>
      </c>
    </row>
    <row r="48" spans="1:6" ht="13.5" customHeight="1" x14ac:dyDescent="0.3">
      <c r="A48" s="18" t="s">
        <v>243</v>
      </c>
      <c r="B48" s="18" t="s">
        <v>609</v>
      </c>
      <c r="C48" s="18" t="s">
        <v>511</v>
      </c>
      <c r="D48" s="18" t="s">
        <v>610</v>
      </c>
      <c r="E48" s="18" t="s">
        <v>513</v>
      </c>
      <c r="F48" s="19">
        <f>_xlfn.XLOOKUP(Table13[[#This Row],[Employee Code]],DLE!A:A,DLE!AB:AB)</f>
        <v>293645</v>
      </c>
    </row>
    <row r="49" spans="1:6" ht="12.75" customHeight="1" x14ac:dyDescent="0.3">
      <c r="A49" s="18" t="s">
        <v>251</v>
      </c>
      <c r="B49" s="18" t="s">
        <v>611</v>
      </c>
      <c r="C49" s="18" t="s">
        <v>605</v>
      </c>
      <c r="D49" s="18" t="s">
        <v>612</v>
      </c>
      <c r="E49" s="18" t="s">
        <v>606</v>
      </c>
      <c r="F49" s="19">
        <f>_xlfn.XLOOKUP(Table13[[#This Row],[Employee Code]],DLE!A:A,DLE!AB:AB)</f>
        <v>673490.625</v>
      </c>
    </row>
    <row r="50" spans="1:6" ht="12.75" customHeight="1" x14ac:dyDescent="0.3">
      <c r="A50" s="18" t="s">
        <v>253</v>
      </c>
      <c r="B50" s="18" t="s">
        <v>613</v>
      </c>
      <c r="C50" s="18" t="s">
        <v>527</v>
      </c>
      <c r="D50" s="18" t="s">
        <v>614</v>
      </c>
      <c r="E50" s="18" t="s">
        <v>529</v>
      </c>
      <c r="F50" s="19">
        <f>_xlfn.XLOOKUP(Table13[[#This Row],[Employee Code]],DLE!A:A,DLE!AB:AB)</f>
        <v>443433.28125</v>
      </c>
    </row>
    <row r="51" spans="1:6" ht="12.75" customHeight="1" x14ac:dyDescent="0.3">
      <c r="A51" s="18" t="s">
        <v>255</v>
      </c>
      <c r="B51" s="18" t="s">
        <v>615</v>
      </c>
      <c r="C51" s="18" t="s">
        <v>499</v>
      </c>
      <c r="D51" s="18" t="s">
        <v>616</v>
      </c>
      <c r="E51" s="18" t="s">
        <v>501</v>
      </c>
      <c r="F51" s="19">
        <f>_xlfn.XLOOKUP(Table13[[#This Row],[Employee Code]],DLE!A:A,DLE!AB:AB)</f>
        <v>235991.875</v>
      </c>
    </row>
    <row r="52" spans="1:6" ht="12.75" customHeight="1" x14ac:dyDescent="0.3">
      <c r="A52" s="18" t="s">
        <v>260</v>
      </c>
      <c r="B52" s="18" t="s">
        <v>617</v>
      </c>
      <c r="C52" s="18" t="s">
        <v>511</v>
      </c>
      <c r="D52" s="18" t="s">
        <v>618</v>
      </c>
      <c r="E52" s="18" t="s">
        <v>513</v>
      </c>
      <c r="F52" s="19">
        <f>_xlfn.XLOOKUP(Table13[[#This Row],[Employee Code]],DLE!A:A,DLE!AB:AB)</f>
        <v>189839.6875</v>
      </c>
    </row>
    <row r="53" spans="1:6" ht="12.75" customHeight="1" x14ac:dyDescent="0.3">
      <c r="A53" s="18" t="s">
        <v>265</v>
      </c>
      <c r="B53" s="18" t="s">
        <v>619</v>
      </c>
      <c r="C53" s="18" t="s">
        <v>503</v>
      </c>
      <c r="D53" s="18" t="s">
        <v>620</v>
      </c>
      <c r="E53" s="18" t="s">
        <v>505</v>
      </c>
      <c r="F53" s="19">
        <f>_xlfn.XLOOKUP(Table13[[#This Row],[Employee Code]],DLE!A:A,DLE!AB:AB)</f>
        <v>329848.90625</v>
      </c>
    </row>
    <row r="54" spans="1:6" ht="12.75" customHeight="1" x14ac:dyDescent="0.3">
      <c r="A54" s="18" t="s">
        <v>267</v>
      </c>
      <c r="B54" s="18" t="s">
        <v>621</v>
      </c>
      <c r="C54" s="18" t="s">
        <v>503</v>
      </c>
      <c r="D54" s="18" t="s">
        <v>622</v>
      </c>
      <c r="E54" s="18" t="s">
        <v>505</v>
      </c>
      <c r="F54" s="19">
        <f>_xlfn.XLOOKUP(Table13[[#This Row],[Employee Code]],DLE!A:A,DLE!AB:AB)</f>
        <v>509710.625</v>
      </c>
    </row>
    <row r="55" spans="1:6" ht="13.5" customHeight="1" x14ac:dyDescent="0.3">
      <c r="A55" s="18" t="s">
        <v>270</v>
      </c>
      <c r="B55" s="18" t="s">
        <v>623</v>
      </c>
      <c r="C55" s="18" t="s">
        <v>507</v>
      </c>
      <c r="D55" s="18" t="s">
        <v>624</v>
      </c>
      <c r="E55" s="18" t="s">
        <v>509</v>
      </c>
      <c r="F55" s="19">
        <f>_xlfn.XLOOKUP(Table13[[#This Row],[Employee Code]],DLE!A:A,DLE!AB:AB)</f>
        <v>589966.328125</v>
      </c>
    </row>
    <row r="56" spans="1:6" ht="12.75" customHeight="1" x14ac:dyDescent="0.3">
      <c r="A56" s="18" t="s">
        <v>277</v>
      </c>
      <c r="B56" s="18" t="s">
        <v>625</v>
      </c>
      <c r="C56" s="18" t="s">
        <v>605</v>
      </c>
      <c r="D56" s="18" t="s">
        <v>626</v>
      </c>
      <c r="E56" s="18" t="s">
        <v>606</v>
      </c>
      <c r="F56" s="19">
        <f>_xlfn.XLOOKUP(Table13[[#This Row],[Employee Code]],DLE!A:A,DLE!AB:AB)</f>
        <v>441280.9375</v>
      </c>
    </row>
    <row r="57" spans="1:6" ht="13.5" customHeight="1" x14ac:dyDescent="0.3">
      <c r="A57" s="18" t="s">
        <v>280</v>
      </c>
      <c r="B57" s="18" t="s">
        <v>627</v>
      </c>
      <c r="C57" s="18" t="s">
        <v>605</v>
      </c>
      <c r="D57" s="18" t="s">
        <v>628</v>
      </c>
      <c r="E57" s="18" t="s">
        <v>606</v>
      </c>
      <c r="F57" s="19">
        <f>_xlfn.XLOOKUP(Table13[[#This Row],[Employee Code]],DLE!A:A,DLE!AB:AB)</f>
        <v>424427.34375</v>
      </c>
    </row>
    <row r="58" spans="1:6" ht="12.75" customHeight="1" x14ac:dyDescent="0.3">
      <c r="A58" s="18" t="s">
        <v>283</v>
      </c>
      <c r="B58" s="18" t="s">
        <v>629</v>
      </c>
      <c r="C58" s="18" t="s">
        <v>556</v>
      </c>
      <c r="D58" s="18" t="s">
        <v>630</v>
      </c>
      <c r="E58" s="18" t="s">
        <v>558</v>
      </c>
      <c r="F58" s="19">
        <f>_xlfn.XLOOKUP(Table13[[#This Row],[Employee Code]],DLE!A:A,DLE!AB:AB)</f>
        <v>389226.875</v>
      </c>
    </row>
    <row r="59" spans="1:6" ht="13.5" customHeight="1" x14ac:dyDescent="0.3">
      <c r="A59" s="18" t="s">
        <v>286</v>
      </c>
      <c r="B59" s="18" t="s">
        <v>631</v>
      </c>
      <c r="C59" s="18" t="s">
        <v>503</v>
      </c>
      <c r="D59" s="18" t="s">
        <v>632</v>
      </c>
      <c r="E59" s="18" t="s">
        <v>505</v>
      </c>
      <c r="F59" s="19">
        <f>_xlfn.XLOOKUP(Table13[[#This Row],[Employee Code]],DLE!A:A,DLE!AB:AB)</f>
        <v>242932.8125</v>
      </c>
    </row>
    <row r="60" spans="1:6" ht="12.75" customHeight="1" x14ac:dyDescent="0.3">
      <c r="A60" s="18" t="s">
        <v>288</v>
      </c>
      <c r="B60" s="18" t="s">
        <v>633</v>
      </c>
      <c r="C60" s="18" t="s">
        <v>527</v>
      </c>
      <c r="D60" s="18" t="s">
        <v>634</v>
      </c>
      <c r="E60" s="18" t="s">
        <v>529</v>
      </c>
      <c r="F60" s="19">
        <f>_xlfn.XLOOKUP(Table13[[#This Row],[Employee Code]],DLE!A:A,DLE!AB:AB)</f>
        <v>303896.09375</v>
      </c>
    </row>
    <row r="61" spans="1:6" ht="13.5" customHeight="1" x14ac:dyDescent="0.3">
      <c r="A61" s="18" t="s">
        <v>405</v>
      </c>
      <c r="B61" s="18" t="s">
        <v>635</v>
      </c>
      <c r="C61" s="18" t="s">
        <v>511</v>
      </c>
      <c r="D61" s="18" t="s">
        <v>636</v>
      </c>
      <c r="E61" s="18" t="s">
        <v>513</v>
      </c>
      <c r="F61" s="19">
        <f>_xlfn.XLOOKUP(Table13[[#This Row],[Employee Code]],DLE!A:A,DLE!AB:AB)</f>
        <v>320194.53125</v>
      </c>
    </row>
    <row r="62" spans="1:6" ht="13.5" customHeight="1" x14ac:dyDescent="0.3">
      <c r="A62" s="18" t="s">
        <v>298</v>
      </c>
      <c r="B62" s="18" t="s">
        <v>637</v>
      </c>
      <c r="C62" s="18" t="s">
        <v>605</v>
      </c>
      <c r="D62" s="18" t="s">
        <v>638</v>
      </c>
      <c r="E62" s="18" t="s">
        <v>606</v>
      </c>
      <c r="F62" s="19">
        <f>_xlfn.XLOOKUP(Table13[[#This Row],[Employee Code]],DLE!A:A,DLE!AB:AB)</f>
        <v>461477.34375</v>
      </c>
    </row>
    <row r="63" spans="1:6" ht="13.5" customHeight="1" x14ac:dyDescent="0.3">
      <c r="A63" s="18" t="s">
        <v>302</v>
      </c>
      <c r="B63" s="18" t="s">
        <v>639</v>
      </c>
      <c r="C63" s="18" t="s">
        <v>511</v>
      </c>
      <c r="D63" s="18" t="s">
        <v>640</v>
      </c>
      <c r="E63" s="18" t="s">
        <v>513</v>
      </c>
      <c r="F63" s="19">
        <f>_xlfn.XLOOKUP(Table13[[#This Row],[Employee Code]],DLE!A:A,DLE!AB:AB)</f>
        <v>372204.0625</v>
      </c>
    </row>
    <row r="64" spans="1:6" ht="12.75" customHeight="1" x14ac:dyDescent="0.3">
      <c r="A64" s="18" t="s">
        <v>308</v>
      </c>
      <c r="B64" s="18" t="s">
        <v>641</v>
      </c>
      <c r="C64" s="18" t="s">
        <v>556</v>
      </c>
      <c r="D64" s="18" t="s">
        <v>642</v>
      </c>
      <c r="E64" s="18" t="s">
        <v>558</v>
      </c>
      <c r="F64" s="19">
        <f>_xlfn.XLOOKUP(Table13[[#This Row],[Employee Code]],DLE!A:A,DLE!AB:AB)</f>
        <v>339132.1875</v>
      </c>
    </row>
    <row r="65" spans="1:6" ht="12.75" customHeight="1" x14ac:dyDescent="0.3">
      <c r="A65" s="18" t="s">
        <v>311</v>
      </c>
      <c r="B65" s="18" t="s">
        <v>643</v>
      </c>
      <c r="C65" s="18" t="s">
        <v>511</v>
      </c>
      <c r="D65" s="18" t="s">
        <v>644</v>
      </c>
      <c r="E65" s="18" t="s">
        <v>513</v>
      </c>
      <c r="F65" s="19">
        <f>_xlfn.XLOOKUP(Table13[[#This Row],[Employee Code]],DLE!A:A,DLE!AB:AB)</f>
        <v>283294.453125</v>
      </c>
    </row>
    <row r="66" spans="1:6" ht="12.75" customHeight="1" x14ac:dyDescent="0.3">
      <c r="A66" s="18" t="s">
        <v>320</v>
      </c>
      <c r="B66" s="18" t="s">
        <v>645</v>
      </c>
      <c r="C66" s="18" t="s">
        <v>646</v>
      </c>
      <c r="D66" s="18" t="s">
        <v>647</v>
      </c>
      <c r="E66" s="18" t="s">
        <v>648</v>
      </c>
      <c r="F66" s="19">
        <f>_xlfn.XLOOKUP(Table13[[#This Row],[Employee Code]],DLE!A:A,DLE!AB:AB)</f>
        <v>336874.98749999999</v>
      </c>
    </row>
    <row r="67" spans="1:6" ht="12.75" customHeight="1" x14ac:dyDescent="0.3">
      <c r="A67" s="18" t="s">
        <v>325</v>
      </c>
      <c r="B67" s="18" t="s">
        <v>649</v>
      </c>
      <c r="C67" s="18" t="s">
        <v>503</v>
      </c>
      <c r="D67" s="18" t="s">
        <v>650</v>
      </c>
      <c r="E67" s="18" t="s">
        <v>505</v>
      </c>
      <c r="F67" s="19">
        <f>_xlfn.XLOOKUP(Table13[[#This Row],[Employee Code]],DLE!A:A,DLE!AB:AB)</f>
        <v>320658.96250000002</v>
      </c>
    </row>
    <row r="68" spans="1:6" ht="13.5" customHeight="1" x14ac:dyDescent="0.3">
      <c r="A68" s="18" t="s">
        <v>327</v>
      </c>
      <c r="B68" s="18" t="s">
        <v>651</v>
      </c>
      <c r="C68" s="18" t="s">
        <v>605</v>
      </c>
      <c r="D68" s="18" t="s">
        <v>652</v>
      </c>
      <c r="E68" s="18" t="s">
        <v>606</v>
      </c>
      <c r="F68" s="19">
        <f>_xlfn.XLOOKUP(Table13[[#This Row],[Employee Code]],DLE!A:A,DLE!AB:AB)</f>
        <v>537670.3125</v>
      </c>
    </row>
    <row r="69" spans="1:6" ht="12.75" customHeight="1" x14ac:dyDescent="0.3">
      <c r="A69" s="18" t="s">
        <v>333</v>
      </c>
      <c r="B69" s="18" t="s">
        <v>653</v>
      </c>
      <c r="C69" s="18" t="s">
        <v>499</v>
      </c>
      <c r="D69" s="18" t="s">
        <v>654</v>
      </c>
      <c r="E69" s="18" t="s">
        <v>501</v>
      </c>
      <c r="F69" s="19">
        <f>_xlfn.XLOOKUP(Table13[[#This Row],[Employee Code]],DLE!A:A,DLE!AB:AB)</f>
        <v>473503.75</v>
      </c>
    </row>
    <row r="70" spans="1:6" ht="13.5" customHeight="1" x14ac:dyDescent="0.3">
      <c r="A70" s="18" t="s">
        <v>336</v>
      </c>
      <c r="B70" s="18" t="s">
        <v>655</v>
      </c>
      <c r="C70" s="18" t="s">
        <v>605</v>
      </c>
      <c r="D70" s="18" t="s">
        <v>656</v>
      </c>
      <c r="E70" s="18" t="s">
        <v>606</v>
      </c>
      <c r="F70" s="19">
        <f>_xlfn.XLOOKUP(Table13[[#This Row],[Employee Code]],DLE!A:A,DLE!AB:AB)</f>
        <v>320387.5</v>
      </c>
    </row>
    <row r="71" spans="1:6" ht="12.75" customHeight="1" x14ac:dyDescent="0.3">
      <c r="A71" s="18" t="s">
        <v>339</v>
      </c>
      <c r="B71" s="18" t="s">
        <v>657</v>
      </c>
      <c r="C71" s="18" t="s">
        <v>605</v>
      </c>
      <c r="D71" s="18" t="s">
        <v>658</v>
      </c>
      <c r="E71" s="18" t="s">
        <v>606</v>
      </c>
      <c r="F71" s="19">
        <f>_xlfn.XLOOKUP(Table13[[#This Row],[Employee Code]],DLE!A:A,DLE!AB:AB)</f>
        <v>407532.1875</v>
      </c>
    </row>
    <row r="72" spans="1:6" ht="12.75" customHeight="1" x14ac:dyDescent="0.3">
      <c r="A72" s="18" t="s">
        <v>396</v>
      </c>
      <c r="B72" s="18" t="s">
        <v>659</v>
      </c>
      <c r="C72" s="18" t="s">
        <v>511</v>
      </c>
      <c r="D72" s="18" t="s">
        <v>660</v>
      </c>
      <c r="E72" s="18" t="s">
        <v>513</v>
      </c>
      <c r="F72" s="19">
        <f>_xlfn.XLOOKUP(Table13[[#This Row],[Employee Code]],DLE!A:A,DLE!AB:AB)</f>
        <v>321613.59375</v>
      </c>
    </row>
    <row r="73" spans="1:6" ht="12.75" customHeight="1" x14ac:dyDescent="0.3">
      <c r="A73" s="18" t="s">
        <v>401</v>
      </c>
      <c r="B73" s="18" t="s">
        <v>661</v>
      </c>
      <c r="C73" s="18" t="s">
        <v>511</v>
      </c>
      <c r="D73" s="18" t="s">
        <v>662</v>
      </c>
      <c r="E73" s="18" t="s">
        <v>513</v>
      </c>
      <c r="F73" s="19">
        <f>_xlfn.XLOOKUP(Table13[[#This Row],[Employee Code]],DLE!A:A,DLE!AB:AB)</f>
        <v>380302.8125</v>
      </c>
    </row>
    <row r="74" spans="1:6" ht="13.5" customHeight="1" x14ac:dyDescent="0.3">
      <c r="A74" s="18" t="s">
        <v>399</v>
      </c>
      <c r="B74" s="18" t="s">
        <v>663</v>
      </c>
      <c r="C74" s="18" t="s">
        <v>527</v>
      </c>
      <c r="D74" s="18" t="s">
        <v>664</v>
      </c>
      <c r="E74" s="18" t="s">
        <v>529</v>
      </c>
      <c r="F74" s="19">
        <f>_xlfn.XLOOKUP(Table13[[#This Row],[Employee Code]],DLE!A:A,DLE!AB:AB)</f>
        <v>252367.5</v>
      </c>
    </row>
    <row r="75" spans="1:6" ht="12.75" customHeight="1" x14ac:dyDescent="0.3">
      <c r="A75" s="18" t="s">
        <v>403</v>
      </c>
      <c r="B75" s="18" t="s">
        <v>665</v>
      </c>
      <c r="C75" s="18" t="s">
        <v>511</v>
      </c>
      <c r="D75" s="18" t="s">
        <v>666</v>
      </c>
      <c r="E75" s="18" t="s">
        <v>513</v>
      </c>
      <c r="F75" s="19">
        <f>_xlfn.XLOOKUP(Table13[[#This Row],[Employee Code]],DLE!A:A,DLE!AB:AB)</f>
        <v>315696.875</v>
      </c>
    </row>
    <row r="76" spans="1:6" ht="13.5" customHeight="1" x14ac:dyDescent="0.3">
      <c r="A76" s="18" t="s">
        <v>434</v>
      </c>
      <c r="B76" s="18" t="s">
        <v>669</v>
      </c>
      <c r="C76" s="18" t="s">
        <v>590</v>
      </c>
      <c r="D76" s="18" t="s">
        <v>670</v>
      </c>
      <c r="E76" s="18" t="s">
        <v>592</v>
      </c>
      <c r="F76" s="19">
        <f>_xlfn.XLOOKUP(Table13[[#This Row],[Employee Code]],DLE!A:A,DLE!AB:AB)</f>
        <v>303912.421875</v>
      </c>
    </row>
    <row r="77" spans="1:6" ht="12.75" customHeight="1" x14ac:dyDescent="0.3">
      <c r="A77" s="18" t="s">
        <v>438</v>
      </c>
      <c r="B77" s="18" t="s">
        <v>671</v>
      </c>
      <c r="C77" s="18" t="s">
        <v>503</v>
      </c>
      <c r="D77" s="18" t="s">
        <v>672</v>
      </c>
      <c r="E77" s="18" t="s">
        <v>505</v>
      </c>
      <c r="F77" s="19">
        <f>_xlfn.XLOOKUP(Table13[[#This Row],[Employee Code]],DLE!A:A,DLE!AB:AB)</f>
        <v>307136.484375</v>
      </c>
    </row>
    <row r="78" spans="1:6" ht="12.75" customHeight="1" x14ac:dyDescent="0.3">
      <c r="A78" s="18" t="s">
        <v>440</v>
      </c>
      <c r="B78" s="18" t="s">
        <v>673</v>
      </c>
      <c r="C78" s="18" t="s">
        <v>507</v>
      </c>
      <c r="D78" s="18" t="s">
        <v>674</v>
      </c>
      <c r="E78" s="18" t="s">
        <v>509</v>
      </c>
      <c r="F78" s="19">
        <f>_xlfn.XLOOKUP(Table13[[#This Row],[Employee Code]],DLE!A:A,DLE!AB:AB)</f>
        <v>203780.9375</v>
      </c>
    </row>
    <row r="79" spans="1:6" ht="12.75" customHeight="1" x14ac:dyDescent="0.3">
      <c r="A79" s="18" t="s">
        <v>449</v>
      </c>
      <c r="B79" s="18" t="s">
        <v>675</v>
      </c>
      <c r="C79" s="18" t="s">
        <v>576</v>
      </c>
      <c r="D79" s="18" t="s">
        <v>676</v>
      </c>
      <c r="E79" s="18" t="s">
        <v>578</v>
      </c>
      <c r="F79" s="19">
        <f>_xlfn.XLOOKUP(Table13[[#This Row],[Employee Code]],DLE!A:A,DLE!AB:AB)</f>
        <v>229425</v>
      </c>
    </row>
    <row r="80" spans="1:6" ht="12.75" customHeight="1" x14ac:dyDescent="0.3">
      <c r="A80" s="18" t="s">
        <v>457</v>
      </c>
      <c r="B80" s="18" t="s">
        <v>677</v>
      </c>
      <c r="C80" s="18" t="s">
        <v>556</v>
      </c>
      <c r="D80" s="18" t="s">
        <v>678</v>
      </c>
      <c r="E80" s="18" t="s">
        <v>558</v>
      </c>
      <c r="F80" s="19">
        <f>_xlfn.XLOOKUP(Table13[[#This Row],[Employee Code]],DLE!A:A,DLE!AB:AB)</f>
        <v>303896.09375</v>
      </c>
    </row>
    <row r="81" spans="1:6" ht="13.5" customHeight="1" x14ac:dyDescent="0.3">
      <c r="A81" s="18" t="s">
        <v>454</v>
      </c>
      <c r="B81" s="18" t="s">
        <v>679</v>
      </c>
      <c r="C81" s="18" t="s">
        <v>507</v>
      </c>
      <c r="D81" s="18" t="s">
        <v>680</v>
      </c>
      <c r="E81" s="18" t="s">
        <v>509</v>
      </c>
      <c r="F81" s="19">
        <f>_xlfn.XLOOKUP(Table13[[#This Row],[Employee Code]],DLE!A:A,DLE!AB:AB)</f>
        <v>527606.25</v>
      </c>
    </row>
    <row r="82" spans="1:6" ht="12.75" customHeight="1" x14ac:dyDescent="0.3">
      <c r="A82" s="18" t="s">
        <v>458</v>
      </c>
      <c r="B82" s="18" t="s">
        <v>681</v>
      </c>
      <c r="C82" s="18" t="s">
        <v>511</v>
      </c>
      <c r="D82" s="18" t="s">
        <v>682</v>
      </c>
      <c r="E82" s="18" t="s">
        <v>513</v>
      </c>
      <c r="F82" s="19">
        <f>_xlfn.XLOOKUP(Table13[[#This Row],[Employee Code]],DLE!A:A,DLE!AB:AB)</f>
        <v>430350</v>
      </c>
    </row>
    <row r="83" spans="1:6" ht="20.25" customHeight="1" x14ac:dyDescent="0.3">
      <c r="A83" s="18" t="s">
        <v>479</v>
      </c>
      <c r="B83" s="18" t="s">
        <v>683</v>
      </c>
      <c r="C83" s="18" t="s">
        <v>503</v>
      </c>
      <c r="D83" s="18" t="s">
        <v>684</v>
      </c>
      <c r="E83" s="18" t="s">
        <v>505</v>
      </c>
      <c r="F83" s="19">
        <f>_xlfn.XLOOKUP(Table13[[#This Row],[Employee Code]],DLE!A:A,DLE!AB:AB)</f>
        <v>179740</v>
      </c>
    </row>
    <row r="84" spans="1:6" x14ac:dyDescent="0.3">
      <c r="A84" s="16" t="s">
        <v>21</v>
      </c>
      <c r="B84" s="16" t="s">
        <v>889</v>
      </c>
      <c r="C84" s="17" t="s">
        <v>503</v>
      </c>
      <c r="D84" s="17" t="s">
        <v>686</v>
      </c>
      <c r="E84" s="17" t="s">
        <v>505</v>
      </c>
      <c r="F84" s="20">
        <f>_xlfn.XLOOKUP(Table13[[#This Row],[Employee Code]],DLE!A:A,DLE!AB:AB)</f>
        <v>692401.5625</v>
      </c>
    </row>
    <row r="85" spans="1:6" x14ac:dyDescent="0.3">
      <c r="A85" s="17" t="s">
        <v>34</v>
      </c>
      <c r="B85" s="17" t="s">
        <v>890</v>
      </c>
      <c r="C85" s="17" t="s">
        <v>499</v>
      </c>
      <c r="D85" s="17" t="s">
        <v>687</v>
      </c>
      <c r="E85" s="17" t="s">
        <v>501</v>
      </c>
      <c r="F85" s="20">
        <f>_xlfn.XLOOKUP(Table13[[#This Row],[Employee Code]],DLE!A:A,DLE!AB:AB)</f>
        <v>349600</v>
      </c>
    </row>
    <row r="86" spans="1:6" x14ac:dyDescent="0.3">
      <c r="A86" s="17" t="s">
        <v>64</v>
      </c>
      <c r="B86" s="17" t="s">
        <v>891</v>
      </c>
      <c r="C86" s="17" t="s">
        <v>499</v>
      </c>
      <c r="D86" s="17" t="s">
        <v>693</v>
      </c>
      <c r="E86" s="17" t="s">
        <v>501</v>
      </c>
      <c r="F86" s="20">
        <f>_xlfn.XLOOKUP(Table13[[#This Row],[Employee Code]],DLE!A:A,DLE!AB:AB)</f>
        <v>376672.03125</v>
      </c>
    </row>
    <row r="87" spans="1:6" x14ac:dyDescent="0.3">
      <c r="A87" s="17" t="s">
        <v>72</v>
      </c>
      <c r="B87" s="17" t="s">
        <v>892</v>
      </c>
      <c r="C87" s="17" t="s">
        <v>503</v>
      </c>
      <c r="D87" s="17" t="s">
        <v>696</v>
      </c>
      <c r="E87" s="17" t="s">
        <v>505</v>
      </c>
      <c r="F87" s="20">
        <f>_xlfn.XLOOKUP(Table13[[#This Row],[Employee Code]],DLE!A:A,DLE!AB:AB)</f>
        <v>268493.75</v>
      </c>
    </row>
    <row r="88" spans="1:6" x14ac:dyDescent="0.3">
      <c r="A88" s="17" t="s">
        <v>78</v>
      </c>
      <c r="B88" s="17" t="s">
        <v>893</v>
      </c>
      <c r="C88" s="17" t="s">
        <v>537</v>
      </c>
      <c r="D88" s="17" t="s">
        <v>697</v>
      </c>
      <c r="E88" s="17" t="s">
        <v>523</v>
      </c>
      <c r="F88" s="20">
        <f>_xlfn.XLOOKUP(Table13[[#This Row],[Employee Code]],DLE!A:A,DLE!AB:AB)</f>
        <v>379174.6875</v>
      </c>
    </row>
    <row r="89" spans="1:6" x14ac:dyDescent="0.3">
      <c r="A89" s="17" t="s">
        <v>87</v>
      </c>
      <c r="B89" s="17" t="s">
        <v>894</v>
      </c>
      <c r="C89" s="17" t="s">
        <v>605</v>
      </c>
      <c r="D89" s="17" t="s">
        <v>698</v>
      </c>
      <c r="E89" s="17" t="s">
        <v>606</v>
      </c>
      <c r="F89" s="20">
        <f>_xlfn.XLOOKUP(Table13[[#This Row],[Employee Code]],DLE!A:A,DLE!AB:AB)</f>
        <v>351571.25</v>
      </c>
    </row>
    <row r="90" spans="1:6" x14ac:dyDescent="0.3">
      <c r="A90" s="17" t="s">
        <v>90</v>
      </c>
      <c r="B90" s="17" t="s">
        <v>895</v>
      </c>
      <c r="C90" s="17" t="s">
        <v>499</v>
      </c>
      <c r="D90" s="17" t="s">
        <v>699</v>
      </c>
      <c r="E90" s="17" t="s">
        <v>501</v>
      </c>
      <c r="F90" s="20">
        <f>_xlfn.XLOOKUP(Table13[[#This Row],[Employee Code]],DLE!A:A,DLE!AB:AB)</f>
        <v>253887.5</v>
      </c>
    </row>
    <row r="91" spans="1:6" x14ac:dyDescent="0.3">
      <c r="A91" s="17" t="s">
        <v>121</v>
      </c>
      <c r="B91" s="17" t="s">
        <v>896</v>
      </c>
      <c r="C91" s="17" t="s">
        <v>556</v>
      </c>
      <c r="D91" s="17" t="s">
        <v>702</v>
      </c>
      <c r="E91" s="17" t="s">
        <v>558</v>
      </c>
      <c r="F91" s="20">
        <f>_xlfn.XLOOKUP(Table13[[#This Row],[Employee Code]],DLE!A:A,DLE!AB:AB)</f>
        <v>448414.84375</v>
      </c>
    </row>
    <row r="92" spans="1:6" x14ac:dyDescent="0.3">
      <c r="A92" s="17" t="s">
        <v>155</v>
      </c>
      <c r="B92" s="17" t="s">
        <v>897</v>
      </c>
      <c r="C92" s="17" t="s">
        <v>710</v>
      </c>
      <c r="D92" s="17" t="s">
        <v>711</v>
      </c>
      <c r="E92" s="17" t="s">
        <v>712</v>
      </c>
      <c r="F92" s="20">
        <f>_xlfn.XLOOKUP(Table13[[#This Row],[Employee Code]],DLE!A:A,DLE!AB:AB)</f>
        <v>244387.5</v>
      </c>
    </row>
    <row r="93" spans="1:6" x14ac:dyDescent="0.3">
      <c r="A93" s="17" t="s">
        <v>173</v>
      </c>
      <c r="B93" s="17" t="s">
        <v>898</v>
      </c>
      <c r="C93" s="17" t="s">
        <v>710</v>
      </c>
      <c r="D93" s="17" t="s">
        <v>717</v>
      </c>
      <c r="E93" s="17" t="s">
        <v>712</v>
      </c>
      <c r="F93" s="20">
        <f>_xlfn.XLOOKUP(Table13[[#This Row],[Employee Code]],DLE!A:A,DLE!AB:AB)</f>
        <v>448414.84375</v>
      </c>
    </row>
    <row r="94" spans="1:6" x14ac:dyDescent="0.3">
      <c r="A94" s="17" t="s">
        <v>175</v>
      </c>
      <c r="B94" s="17" t="s">
        <v>899</v>
      </c>
      <c r="C94" s="17" t="s">
        <v>499</v>
      </c>
      <c r="D94" s="17" t="s">
        <v>718</v>
      </c>
      <c r="E94" s="17" t="s">
        <v>501</v>
      </c>
      <c r="F94" s="20">
        <f>_xlfn.XLOOKUP(Table13[[#This Row],[Employee Code]],DLE!A:A,DLE!AB:AB)</f>
        <v>456341.40625</v>
      </c>
    </row>
    <row r="95" spans="1:6" x14ac:dyDescent="0.3">
      <c r="A95" s="17" t="s">
        <v>208</v>
      </c>
      <c r="B95" s="17" t="s">
        <v>900</v>
      </c>
      <c r="C95" s="17" t="s">
        <v>499</v>
      </c>
      <c r="D95" s="17" t="s">
        <v>733</v>
      </c>
      <c r="E95" s="17" t="s">
        <v>501</v>
      </c>
      <c r="F95" s="20">
        <f>_xlfn.XLOOKUP(Table13[[#This Row],[Employee Code]],DLE!A:A,DLE!AB:AB)</f>
        <v>334126.875</v>
      </c>
    </row>
    <row r="96" spans="1:6" x14ac:dyDescent="0.3">
      <c r="A96" s="17" t="s">
        <v>216</v>
      </c>
      <c r="B96" s="17" t="s">
        <v>901</v>
      </c>
      <c r="C96" s="17" t="s">
        <v>511</v>
      </c>
      <c r="D96" s="17" t="s">
        <v>735</v>
      </c>
      <c r="E96" s="17" t="s">
        <v>513</v>
      </c>
      <c r="F96" s="20">
        <f>_xlfn.XLOOKUP(Table13[[#This Row],[Employee Code]],DLE!A:A,DLE!AB:AB)</f>
        <v>301850.625</v>
      </c>
    </row>
    <row r="97" spans="1:6" x14ac:dyDescent="0.3">
      <c r="A97" s="17" t="s">
        <v>218</v>
      </c>
      <c r="B97" s="17" t="s">
        <v>902</v>
      </c>
      <c r="C97" s="17" t="s">
        <v>503</v>
      </c>
      <c r="D97" s="17" t="s">
        <v>736</v>
      </c>
      <c r="E97" s="17" t="s">
        <v>505</v>
      </c>
      <c r="F97" s="20">
        <f>_xlfn.XLOOKUP(Table13[[#This Row],[Employee Code]],DLE!A:A,DLE!AB:AB)</f>
        <v>349142.8125</v>
      </c>
    </row>
    <row r="98" spans="1:6" x14ac:dyDescent="0.3">
      <c r="A98" s="17" t="s">
        <v>229</v>
      </c>
      <c r="B98" s="17" t="s">
        <v>903</v>
      </c>
      <c r="C98" s="17" t="s">
        <v>499</v>
      </c>
      <c r="D98" s="17" t="s">
        <v>741</v>
      </c>
      <c r="E98" s="17" t="s">
        <v>501</v>
      </c>
      <c r="F98" s="20">
        <f>_xlfn.XLOOKUP(Table13[[#This Row],[Employee Code]],DLE!A:A,DLE!AB:AB)</f>
        <v>349142.8125</v>
      </c>
    </row>
    <row r="99" spans="1:6" x14ac:dyDescent="0.3">
      <c r="A99" s="17" t="s">
        <v>246</v>
      </c>
      <c r="B99" s="17" t="s">
        <v>904</v>
      </c>
      <c r="C99" s="17" t="s">
        <v>511</v>
      </c>
      <c r="D99" s="17" t="s">
        <v>746</v>
      </c>
      <c r="E99" s="17" t="s">
        <v>513</v>
      </c>
      <c r="F99" s="20">
        <f>_xlfn.XLOOKUP(Table13[[#This Row],[Employee Code]],DLE!A:A,DLE!AB:AB)</f>
        <v>334126.875</v>
      </c>
    </row>
    <row r="100" spans="1:6" x14ac:dyDescent="0.3">
      <c r="A100" s="17" t="s">
        <v>258</v>
      </c>
      <c r="B100" s="17" t="s">
        <v>905</v>
      </c>
      <c r="C100" s="17" t="s">
        <v>605</v>
      </c>
      <c r="D100" s="17" t="s">
        <v>747</v>
      </c>
      <c r="E100" s="17" t="s">
        <v>606</v>
      </c>
      <c r="F100" s="20">
        <f>_xlfn.XLOOKUP(Table13[[#This Row],[Employee Code]],DLE!A:A,DLE!AB:AB)</f>
        <v>531792.1875</v>
      </c>
    </row>
    <row r="101" spans="1:6" x14ac:dyDescent="0.3">
      <c r="A101" s="17" t="s">
        <v>274</v>
      </c>
      <c r="B101" s="17" t="s">
        <v>906</v>
      </c>
      <c r="C101" s="17" t="s">
        <v>511</v>
      </c>
      <c r="D101" s="17" t="s">
        <v>750</v>
      </c>
      <c r="E101" s="17" t="s">
        <v>513</v>
      </c>
      <c r="F101" s="20">
        <f>_xlfn.XLOOKUP(Table13[[#This Row],[Employee Code]],DLE!A:A,DLE!AB:AB)</f>
        <v>533840.625</v>
      </c>
    </row>
    <row r="102" spans="1:6" x14ac:dyDescent="0.3">
      <c r="A102" s="17" t="s">
        <v>293</v>
      </c>
      <c r="B102" s="17" t="s">
        <v>907</v>
      </c>
      <c r="C102" s="17" t="s">
        <v>499</v>
      </c>
      <c r="D102" s="17" t="s">
        <v>752</v>
      </c>
      <c r="E102" s="17" t="s">
        <v>501</v>
      </c>
      <c r="F102" s="20">
        <f>_xlfn.XLOOKUP(Table13[[#This Row],[Employee Code]],DLE!A:A,DLE!AB:AB)</f>
        <v>390853.75</v>
      </c>
    </row>
    <row r="103" spans="1:6" x14ac:dyDescent="0.3">
      <c r="A103" s="17" t="s">
        <v>296</v>
      </c>
      <c r="B103" s="17" t="s">
        <v>908</v>
      </c>
      <c r="C103" s="17" t="s">
        <v>556</v>
      </c>
      <c r="D103" s="17" t="s">
        <v>753</v>
      </c>
      <c r="E103" s="17" t="s">
        <v>558</v>
      </c>
      <c r="F103" s="20">
        <f>_xlfn.XLOOKUP(Table13[[#This Row],[Employee Code]],DLE!A:A,DLE!AB:AB)</f>
        <v>349142.8125</v>
      </c>
    </row>
    <row r="104" spans="1:6" x14ac:dyDescent="0.3">
      <c r="A104" s="17" t="s">
        <v>313</v>
      </c>
      <c r="B104" s="17" t="s">
        <v>909</v>
      </c>
      <c r="C104" s="17" t="s">
        <v>507</v>
      </c>
      <c r="D104" s="17" t="s">
        <v>758</v>
      </c>
      <c r="E104" s="17" t="s">
        <v>509</v>
      </c>
      <c r="F104" s="20">
        <f>_xlfn.XLOOKUP(Table13[[#This Row],[Employee Code]],DLE!A:A,DLE!AB:AB)</f>
        <v>301850.625</v>
      </c>
    </row>
    <row r="105" spans="1:6" x14ac:dyDescent="0.3">
      <c r="A105" s="17" t="s">
        <v>318</v>
      </c>
      <c r="B105" s="17" t="s">
        <v>910</v>
      </c>
      <c r="C105" s="17" t="s">
        <v>503</v>
      </c>
      <c r="D105" s="17" t="s">
        <v>761</v>
      </c>
      <c r="E105" s="17" t="s">
        <v>505</v>
      </c>
      <c r="F105" s="20">
        <f>_xlfn.XLOOKUP(Table13[[#This Row],[Employee Code]],DLE!A:A,DLE!AB:AB)</f>
        <v>495692.1875</v>
      </c>
    </row>
    <row r="106" spans="1:6" x14ac:dyDescent="0.3">
      <c r="A106" s="17" t="s">
        <v>323</v>
      </c>
      <c r="B106" s="17" t="s">
        <v>911</v>
      </c>
      <c r="C106" s="17" t="s">
        <v>511</v>
      </c>
      <c r="D106" s="17" t="s">
        <v>762</v>
      </c>
      <c r="E106" s="17" t="s">
        <v>513</v>
      </c>
      <c r="F106" s="20">
        <f>_xlfn.XLOOKUP(Table13[[#This Row],[Employee Code]],DLE!A:A,DLE!AB:AB)</f>
        <v>579452.5</v>
      </c>
    </row>
    <row r="107" spans="1:6" x14ac:dyDescent="0.3">
      <c r="A107" s="17" t="s">
        <v>341</v>
      </c>
      <c r="B107" s="17" t="s">
        <v>912</v>
      </c>
      <c r="C107" s="17" t="s">
        <v>503</v>
      </c>
      <c r="D107" s="17" t="s">
        <v>765</v>
      </c>
      <c r="E107" s="17" t="s">
        <v>505</v>
      </c>
      <c r="F107" s="20">
        <f>_xlfn.XLOOKUP(Table13[[#This Row],[Employee Code]],DLE!A:A,DLE!AB:AB)</f>
        <v>346185.9375</v>
      </c>
    </row>
    <row r="108" spans="1:6" x14ac:dyDescent="0.3">
      <c r="A108" s="17" t="s">
        <v>343</v>
      </c>
      <c r="B108" s="17" t="s">
        <v>913</v>
      </c>
      <c r="C108" s="17" t="s">
        <v>499</v>
      </c>
      <c r="D108" s="17" t="s">
        <v>685</v>
      </c>
      <c r="E108" s="17" t="s">
        <v>501</v>
      </c>
      <c r="F108" s="20">
        <f>_xlfn.XLOOKUP(Table13[[#This Row],[Employee Code]],DLE!A:A,DLE!AB:AB)</f>
        <v>530025.78125</v>
      </c>
    </row>
    <row r="109" spans="1:6" x14ac:dyDescent="0.3">
      <c r="A109" s="17" t="s">
        <v>360</v>
      </c>
      <c r="B109" s="17" t="s">
        <v>914</v>
      </c>
      <c r="C109" s="17" t="s">
        <v>507</v>
      </c>
      <c r="D109" s="17" t="s">
        <v>695</v>
      </c>
      <c r="E109" s="17" t="s">
        <v>509</v>
      </c>
      <c r="F109" s="20">
        <f>_xlfn.XLOOKUP(Table13[[#This Row],[Employee Code]],DLE!A:A,DLE!AB:AB)</f>
        <v>335560.78125</v>
      </c>
    </row>
    <row r="110" spans="1:6" x14ac:dyDescent="0.3">
      <c r="A110" s="17" t="s">
        <v>366</v>
      </c>
      <c r="B110" s="17" t="s">
        <v>915</v>
      </c>
      <c r="C110" s="17" t="s">
        <v>507</v>
      </c>
      <c r="D110" s="17" t="s">
        <v>704</v>
      </c>
      <c r="E110" s="17" t="s">
        <v>509</v>
      </c>
      <c r="F110" s="20">
        <f>_xlfn.XLOOKUP(Table13[[#This Row],[Employee Code]],DLE!A:A,DLE!AB:AB)</f>
        <v>538367.96875</v>
      </c>
    </row>
    <row r="111" spans="1:6" x14ac:dyDescent="0.3">
      <c r="A111" s="17" t="s">
        <v>369</v>
      </c>
      <c r="B111" s="17" t="s">
        <v>916</v>
      </c>
      <c r="C111" s="17" t="s">
        <v>527</v>
      </c>
      <c r="D111" s="17" t="s">
        <v>705</v>
      </c>
      <c r="E111" s="17" t="s">
        <v>529</v>
      </c>
      <c r="F111" s="20">
        <f>_xlfn.XLOOKUP(Table13[[#This Row],[Employee Code]],DLE!A:A,DLE!AB:AB)</f>
        <v>293603.4375</v>
      </c>
    </row>
    <row r="112" spans="1:6" x14ac:dyDescent="0.3">
      <c r="A112" s="17" t="s">
        <v>371</v>
      </c>
      <c r="B112" s="17" t="s">
        <v>917</v>
      </c>
      <c r="C112" s="17" t="s">
        <v>667</v>
      </c>
      <c r="D112" s="17" t="s">
        <v>707</v>
      </c>
      <c r="E112" s="17" t="s">
        <v>668</v>
      </c>
      <c r="F112" s="20">
        <f>_xlfn.XLOOKUP(Table13[[#This Row],[Employee Code]],DLE!A:A,DLE!AB:AB)</f>
        <v>353079.375</v>
      </c>
    </row>
    <row r="113" spans="1:6" x14ac:dyDescent="0.3">
      <c r="A113" s="17" t="s">
        <v>375</v>
      </c>
      <c r="B113" s="17" t="s">
        <v>918</v>
      </c>
      <c r="C113" s="17" t="s">
        <v>590</v>
      </c>
      <c r="D113" s="17" t="s">
        <v>713</v>
      </c>
      <c r="E113" s="17" t="s">
        <v>592</v>
      </c>
      <c r="F113" s="20">
        <f>_xlfn.XLOOKUP(Table13[[#This Row],[Employee Code]],DLE!A:A,DLE!AB:AB)</f>
        <v>363226.5625</v>
      </c>
    </row>
    <row r="114" spans="1:6" x14ac:dyDescent="0.3">
      <c r="A114" s="17" t="s">
        <v>378</v>
      </c>
      <c r="B114" s="17" t="s">
        <v>919</v>
      </c>
      <c r="C114" s="17" t="s">
        <v>556</v>
      </c>
      <c r="D114" s="17" t="s">
        <v>719</v>
      </c>
      <c r="E114" s="17" t="s">
        <v>558</v>
      </c>
      <c r="F114" s="20">
        <f>_xlfn.XLOOKUP(Table13[[#This Row],[Employee Code]],DLE!A:A,DLE!AB:AB)</f>
        <v>354148.125</v>
      </c>
    </row>
    <row r="115" spans="1:6" x14ac:dyDescent="0.3">
      <c r="A115" s="17" t="s">
        <v>380</v>
      </c>
      <c r="B115" s="17" t="s">
        <v>920</v>
      </c>
      <c r="C115" s="17" t="s">
        <v>556</v>
      </c>
      <c r="D115" s="17" t="s">
        <v>723</v>
      </c>
      <c r="E115" s="17" t="s">
        <v>558</v>
      </c>
      <c r="F115" s="20">
        <f>_xlfn.XLOOKUP(Table13[[#This Row],[Employee Code]],DLE!A:A,DLE!AB:AB)</f>
        <v>294455.46875</v>
      </c>
    </row>
    <row r="116" spans="1:6" x14ac:dyDescent="0.3">
      <c r="A116" s="17" t="s">
        <v>382</v>
      </c>
      <c r="B116" s="17" t="s">
        <v>921</v>
      </c>
      <c r="C116" s="17" t="s">
        <v>511</v>
      </c>
      <c r="D116" s="17" t="s">
        <v>724</v>
      </c>
      <c r="E116" s="17" t="s">
        <v>513</v>
      </c>
      <c r="F116" s="20">
        <f>_xlfn.XLOOKUP(Table13[[#This Row],[Employee Code]],DLE!A:A,DLE!AB:AB)</f>
        <v>306256.25</v>
      </c>
    </row>
    <row r="117" spans="1:6" x14ac:dyDescent="0.3">
      <c r="A117" s="17" t="s">
        <v>385</v>
      </c>
      <c r="B117" s="17" t="s">
        <v>922</v>
      </c>
      <c r="C117" s="17" t="s">
        <v>527</v>
      </c>
      <c r="D117" s="17" t="s">
        <v>725</v>
      </c>
      <c r="E117" s="17" t="s">
        <v>529</v>
      </c>
      <c r="F117" s="20">
        <f>_xlfn.XLOOKUP(Table13[[#This Row],[Employee Code]],DLE!A:A,DLE!AB:AB)</f>
        <v>256025</v>
      </c>
    </row>
    <row r="118" spans="1:6" x14ac:dyDescent="0.3">
      <c r="A118" s="17" t="s">
        <v>388</v>
      </c>
      <c r="B118" s="17" t="s">
        <v>923</v>
      </c>
      <c r="C118" s="17" t="s">
        <v>507</v>
      </c>
      <c r="D118" s="17" t="s">
        <v>726</v>
      </c>
      <c r="E118" s="17" t="s">
        <v>509</v>
      </c>
      <c r="F118" s="20">
        <f>_xlfn.XLOOKUP(Table13[[#This Row],[Employee Code]],DLE!A:A,DLE!AB:AB)</f>
        <v>256025</v>
      </c>
    </row>
    <row r="119" spans="1:6" x14ac:dyDescent="0.3">
      <c r="A119" s="17" t="s">
        <v>390</v>
      </c>
      <c r="B119" s="17" t="s">
        <v>924</v>
      </c>
      <c r="C119" s="17" t="s">
        <v>605</v>
      </c>
      <c r="D119" s="17" t="s">
        <v>727</v>
      </c>
      <c r="E119" s="17" t="s">
        <v>606</v>
      </c>
      <c r="F119" s="20">
        <f>_xlfn.XLOOKUP(Table13[[#This Row],[Employee Code]],DLE!A:A,DLE!AB:AB)</f>
        <v>256025</v>
      </c>
    </row>
    <row r="120" spans="1:6" x14ac:dyDescent="0.3">
      <c r="A120" s="17" t="s">
        <v>393</v>
      </c>
      <c r="B120" s="17" t="s">
        <v>925</v>
      </c>
      <c r="C120" s="17" t="s">
        <v>503</v>
      </c>
      <c r="D120" s="17" t="s">
        <v>728</v>
      </c>
      <c r="E120" s="17" t="s">
        <v>505</v>
      </c>
      <c r="F120" s="20">
        <f>_xlfn.XLOOKUP(Table13[[#This Row],[Employee Code]],DLE!A:A,DLE!AB:AB)</f>
        <v>268582.8125</v>
      </c>
    </row>
    <row r="121" spans="1:6" x14ac:dyDescent="0.3">
      <c r="A121" s="17" t="s">
        <v>406</v>
      </c>
      <c r="B121" s="17" t="s">
        <v>926</v>
      </c>
      <c r="C121" s="17" t="s">
        <v>503</v>
      </c>
      <c r="D121" s="17" t="s">
        <v>767</v>
      </c>
      <c r="E121" s="17" t="s">
        <v>505</v>
      </c>
      <c r="F121" s="20">
        <f>_xlfn.XLOOKUP(Table13[[#This Row],[Employee Code]],DLE!A:A,DLE!AB:AB)</f>
        <v>322302.34375</v>
      </c>
    </row>
    <row r="122" spans="1:6" x14ac:dyDescent="0.3">
      <c r="A122" s="17" t="s">
        <v>409</v>
      </c>
      <c r="B122" s="17" t="s">
        <v>927</v>
      </c>
      <c r="C122" s="17" t="s">
        <v>576</v>
      </c>
      <c r="D122" s="17" t="s">
        <v>768</v>
      </c>
      <c r="E122" s="17" t="s">
        <v>578</v>
      </c>
      <c r="F122" s="20">
        <f>_xlfn.XLOOKUP(Table13[[#This Row],[Employee Code]],DLE!A:A,DLE!AB:AB)</f>
        <v>256025</v>
      </c>
    </row>
    <row r="123" spans="1:6" x14ac:dyDescent="0.3">
      <c r="A123" s="17" t="s">
        <v>411</v>
      </c>
      <c r="B123" s="17" t="s">
        <v>928</v>
      </c>
      <c r="C123" s="17" t="s">
        <v>503</v>
      </c>
      <c r="D123" s="17" t="s">
        <v>701</v>
      </c>
      <c r="E123" s="17" t="s">
        <v>505</v>
      </c>
      <c r="F123" s="20">
        <f>_xlfn.XLOOKUP(Table13[[#This Row],[Employee Code]],DLE!A:A,DLE!AB:AB)</f>
        <v>338223.75</v>
      </c>
    </row>
    <row r="124" spans="1:6" x14ac:dyDescent="0.3">
      <c r="A124" s="17" t="s">
        <v>419</v>
      </c>
      <c r="B124" s="17" t="s">
        <v>929</v>
      </c>
      <c r="C124" s="17" t="s">
        <v>511</v>
      </c>
      <c r="D124" s="17" t="s">
        <v>771</v>
      </c>
      <c r="E124" s="17" t="s">
        <v>513</v>
      </c>
      <c r="F124" s="20">
        <f>_xlfn.XLOOKUP(Table13[[#This Row],[Employee Code]],DLE!A:A,DLE!AB:AB)</f>
        <v>635312.5</v>
      </c>
    </row>
    <row r="125" spans="1:6" x14ac:dyDescent="0.3">
      <c r="A125" s="17" t="s">
        <v>422</v>
      </c>
      <c r="B125" s="17" t="s">
        <v>930</v>
      </c>
      <c r="C125" s="17" t="s">
        <v>503</v>
      </c>
      <c r="D125" s="17" t="s">
        <v>772</v>
      </c>
      <c r="E125" s="17" t="s">
        <v>505</v>
      </c>
      <c r="F125" s="20">
        <f>_xlfn.XLOOKUP(Table13[[#This Row],[Employee Code]],DLE!A:A,DLE!AB:AB)</f>
        <v>364158.75</v>
      </c>
    </row>
    <row r="126" spans="1:6" x14ac:dyDescent="0.3">
      <c r="A126" s="17" t="s">
        <v>424</v>
      </c>
      <c r="B126" s="17" t="s">
        <v>931</v>
      </c>
      <c r="C126" s="17" t="s">
        <v>556</v>
      </c>
      <c r="D126" s="17" t="s">
        <v>773</v>
      </c>
      <c r="E126" s="17" t="s">
        <v>558</v>
      </c>
      <c r="F126" s="20">
        <f>_xlfn.XLOOKUP(Table13[[#This Row],[Employee Code]],DLE!A:A,DLE!AB:AB)</f>
        <v>349142.8125</v>
      </c>
    </row>
    <row r="127" spans="1:6" x14ac:dyDescent="0.3">
      <c r="A127" s="17" t="s">
        <v>447</v>
      </c>
      <c r="B127" s="17" t="s">
        <v>932</v>
      </c>
      <c r="C127" s="17" t="s">
        <v>710</v>
      </c>
      <c r="D127" s="17" t="s">
        <v>779</v>
      </c>
      <c r="E127" s="17" t="s">
        <v>712</v>
      </c>
      <c r="F127" s="20">
        <f>_xlfn.XLOOKUP(Table13[[#This Row],[Employee Code]],DLE!A:A,DLE!AB:AB)</f>
        <v>261190.625</v>
      </c>
    </row>
    <row r="128" spans="1:6" x14ac:dyDescent="0.3">
      <c r="A128" s="17" t="s">
        <v>355</v>
      </c>
      <c r="B128" s="17" t="s">
        <v>933</v>
      </c>
      <c r="C128" s="17" t="s">
        <v>511</v>
      </c>
      <c r="D128" s="17" t="s">
        <v>692</v>
      </c>
      <c r="E128" s="17" t="s">
        <v>513</v>
      </c>
      <c r="F128" s="20">
        <f>_xlfn.XLOOKUP(Table13[[#This Row],[Employee Code]],DLE!A:A,DLE!AB:AB)</f>
        <v>990113.75</v>
      </c>
    </row>
    <row r="129" spans="1:6" x14ac:dyDescent="0.3">
      <c r="A129" s="17" t="s">
        <v>346</v>
      </c>
      <c r="B129" s="17" t="s">
        <v>934</v>
      </c>
      <c r="C129" s="17" t="s">
        <v>503</v>
      </c>
      <c r="D129" s="17" t="s">
        <v>689</v>
      </c>
      <c r="E129" s="17" t="s">
        <v>505</v>
      </c>
      <c r="F129" s="20">
        <f>_xlfn.XLOOKUP(Table13[[#This Row],[Employee Code]],DLE!A:A,DLE!AB:AB)</f>
        <v>590229.0625</v>
      </c>
    </row>
    <row r="130" spans="1:6" x14ac:dyDescent="0.3">
      <c r="A130" s="17" t="s">
        <v>221</v>
      </c>
      <c r="B130" s="17" t="s">
        <v>935</v>
      </c>
      <c r="C130" s="17" t="s">
        <v>503</v>
      </c>
      <c r="D130" s="17" t="s">
        <v>738</v>
      </c>
      <c r="E130" s="17" t="s">
        <v>505</v>
      </c>
      <c r="F130" s="20">
        <f>_xlfn.XLOOKUP(Table13[[#This Row],[Employee Code]],DLE!A:A,DLE!AB:AB)</f>
        <v>336629.53125</v>
      </c>
    </row>
    <row r="131" spans="1:6" x14ac:dyDescent="0.3">
      <c r="A131" s="17" t="s">
        <v>352</v>
      </c>
      <c r="B131" s="17" t="s">
        <v>936</v>
      </c>
      <c r="C131" s="17" t="s">
        <v>511</v>
      </c>
      <c r="D131" s="17" t="s">
        <v>691</v>
      </c>
      <c r="E131" s="17" t="s">
        <v>513</v>
      </c>
      <c r="F131" s="20">
        <f>_xlfn.XLOOKUP(Table13[[#This Row],[Employee Code]],DLE!A:A,DLE!AB:AB)</f>
        <v>427351.5625</v>
      </c>
    </row>
    <row r="132" spans="1:6" x14ac:dyDescent="0.3">
      <c r="A132" s="17" t="s">
        <v>349</v>
      </c>
      <c r="B132" s="17" t="s">
        <v>937</v>
      </c>
      <c r="C132" s="17" t="s">
        <v>605</v>
      </c>
      <c r="D132" s="17" t="s">
        <v>690</v>
      </c>
      <c r="E132" s="17" t="s">
        <v>606</v>
      </c>
      <c r="F132" s="20">
        <f>_xlfn.XLOOKUP(Table13[[#This Row],[Employee Code]],DLE!A:A,DLE!AB:AB)</f>
        <v>679915</v>
      </c>
    </row>
    <row r="133" spans="1:6" x14ac:dyDescent="0.3">
      <c r="A133" s="17" t="s">
        <v>358</v>
      </c>
      <c r="B133" s="17" t="s">
        <v>938</v>
      </c>
      <c r="C133" s="17" t="s">
        <v>499</v>
      </c>
      <c r="D133" s="17" t="s">
        <v>694</v>
      </c>
      <c r="E133" s="17" t="s">
        <v>501</v>
      </c>
      <c r="F133" s="20">
        <f>_xlfn.XLOOKUP(Table13[[#This Row],[Employee Code]],DLE!A:A,DLE!AB:AB)</f>
        <v>371951.71875</v>
      </c>
    </row>
    <row r="134" spans="1:6" x14ac:dyDescent="0.3">
      <c r="A134" s="17" t="s">
        <v>363</v>
      </c>
      <c r="B134" s="17" t="s">
        <v>939</v>
      </c>
      <c r="C134" s="17" t="s">
        <v>503</v>
      </c>
      <c r="D134" s="17" t="s">
        <v>703</v>
      </c>
      <c r="E134" s="17" t="s">
        <v>505</v>
      </c>
      <c r="F134" s="20">
        <f>_xlfn.XLOOKUP(Table13[[#This Row],[Employee Code]],DLE!A:A,DLE!AB:AB)</f>
        <v>456341.40625</v>
      </c>
    </row>
    <row r="135" spans="1:6" x14ac:dyDescent="0.3">
      <c r="A135" s="17" t="s">
        <v>131</v>
      </c>
      <c r="B135" s="17" t="s">
        <v>940</v>
      </c>
      <c r="C135" s="17" t="s">
        <v>503</v>
      </c>
      <c r="D135" s="17" t="s">
        <v>706</v>
      </c>
      <c r="E135" s="17" t="s">
        <v>505</v>
      </c>
      <c r="F135" s="20">
        <f>_xlfn.XLOOKUP(Table13[[#This Row],[Employee Code]],DLE!A:A,DLE!AB:AB)</f>
        <v>279448.4375</v>
      </c>
    </row>
    <row r="136" spans="1:6" x14ac:dyDescent="0.3">
      <c r="A136" s="17" t="s">
        <v>290</v>
      </c>
      <c r="B136" s="17" t="s">
        <v>941</v>
      </c>
      <c r="C136" s="17" t="s">
        <v>511</v>
      </c>
      <c r="D136" s="17" t="s">
        <v>751</v>
      </c>
      <c r="E136" s="17" t="s">
        <v>513</v>
      </c>
      <c r="F136" s="20">
        <f>_xlfn.XLOOKUP(Table13[[#This Row],[Employee Code]],DLE!A:A,DLE!AB:AB)</f>
        <v>246584.375</v>
      </c>
    </row>
    <row r="137" spans="1:6" x14ac:dyDescent="0.3">
      <c r="A137" s="17" t="s">
        <v>186</v>
      </c>
      <c r="B137" s="17" t="s">
        <v>942</v>
      </c>
      <c r="C137" s="17" t="s">
        <v>499</v>
      </c>
      <c r="D137" s="17" t="s">
        <v>720</v>
      </c>
      <c r="E137" s="17" t="s">
        <v>501</v>
      </c>
      <c r="F137" s="20">
        <f>_xlfn.XLOOKUP(Table13[[#This Row],[Employee Code]],DLE!A:A,DLE!AB:AB)</f>
        <v>295271.875</v>
      </c>
    </row>
    <row r="138" spans="1:6" x14ac:dyDescent="0.3">
      <c r="A138" s="17" t="s">
        <v>214</v>
      </c>
      <c r="B138" s="17" t="s">
        <v>943</v>
      </c>
      <c r="C138" s="17" t="s">
        <v>556</v>
      </c>
      <c r="D138" s="17" t="s">
        <v>734</v>
      </c>
      <c r="E138" s="17" t="s">
        <v>558</v>
      </c>
      <c r="F138" s="20">
        <f>_xlfn.XLOOKUP(Table13[[#This Row],[Employee Code]],DLE!A:A,DLE!AB:AB)</f>
        <v>283100</v>
      </c>
    </row>
    <row r="139" spans="1:6" x14ac:dyDescent="0.3">
      <c r="A139" s="17" t="s">
        <v>38</v>
      </c>
      <c r="B139" s="17" t="s">
        <v>944</v>
      </c>
      <c r="C139" s="17" t="s">
        <v>503</v>
      </c>
      <c r="D139" s="17" t="s">
        <v>688</v>
      </c>
      <c r="E139" s="17" t="s">
        <v>505</v>
      </c>
      <c r="F139" s="20">
        <f>_xlfn.XLOOKUP(Table13[[#This Row],[Employee Code]],DLE!A:A,DLE!AB:AB)</f>
        <v>462160.15625</v>
      </c>
    </row>
    <row r="140" spans="1:6" x14ac:dyDescent="0.3">
      <c r="A140" s="17" t="s">
        <v>450</v>
      </c>
      <c r="B140" s="17" t="s">
        <v>945</v>
      </c>
      <c r="C140" s="17" t="s">
        <v>780</v>
      </c>
      <c r="D140" s="17" t="s">
        <v>781</v>
      </c>
      <c r="E140" s="17" t="s">
        <v>782</v>
      </c>
      <c r="F140" s="20">
        <f>_xlfn.XLOOKUP(Table13[[#This Row],[Employee Code]],DLE!A:A,DLE!AB:AB)</f>
        <v>456341.40625</v>
      </c>
    </row>
    <row r="141" spans="1:6" x14ac:dyDescent="0.3">
      <c r="A141" s="17" t="s">
        <v>379</v>
      </c>
      <c r="B141" s="17" t="s">
        <v>946</v>
      </c>
      <c r="C141" s="17" t="s">
        <v>503</v>
      </c>
      <c r="D141" s="17" t="s">
        <v>721</v>
      </c>
      <c r="E141" s="17" t="s">
        <v>505</v>
      </c>
      <c r="F141" s="20">
        <f>_xlfn.XLOOKUP(Table13[[#This Row],[Employee Code]],DLE!A:A,DLE!AB:AB)</f>
        <v>435263.28125</v>
      </c>
    </row>
    <row r="142" spans="1:6" x14ac:dyDescent="0.3">
      <c r="A142" s="17" t="s">
        <v>452</v>
      </c>
      <c r="B142" s="17" t="s">
        <v>947</v>
      </c>
      <c r="C142" s="17" t="s">
        <v>503</v>
      </c>
      <c r="D142" s="17" t="s">
        <v>783</v>
      </c>
      <c r="E142" s="17" t="s">
        <v>505</v>
      </c>
      <c r="F142" s="20">
        <f>_xlfn.XLOOKUP(Table13[[#This Row],[Employee Code]],DLE!A:A,DLE!AB:AB)</f>
        <v>294455.46875</v>
      </c>
    </row>
    <row r="143" spans="1:6" x14ac:dyDescent="0.3">
      <c r="A143" s="17" t="s">
        <v>361</v>
      </c>
      <c r="B143" s="17" t="s">
        <v>948</v>
      </c>
      <c r="C143" s="17" t="s">
        <v>503</v>
      </c>
      <c r="D143" s="17" t="s">
        <v>700</v>
      </c>
      <c r="E143" s="17" t="s">
        <v>505</v>
      </c>
      <c r="F143" s="20">
        <f>_xlfn.XLOOKUP(Table13[[#This Row],[Employee Code]],DLE!A:A,DLE!AB:AB)</f>
        <v>383657.5</v>
      </c>
    </row>
    <row r="144" spans="1:6" x14ac:dyDescent="0.3">
      <c r="A144" s="17" t="s">
        <v>414</v>
      </c>
      <c r="B144" s="17" t="s">
        <v>949</v>
      </c>
      <c r="C144" s="17" t="s">
        <v>511</v>
      </c>
      <c r="D144" s="17" t="s">
        <v>730</v>
      </c>
      <c r="E144" s="17" t="s">
        <v>513</v>
      </c>
      <c r="F144" s="20">
        <f>_xlfn.XLOOKUP(Table13[[#This Row],[Employee Code]],DLE!A:A,DLE!AB:AB)</f>
        <v>332117.03125</v>
      </c>
    </row>
    <row r="145" spans="1:6" x14ac:dyDescent="0.3">
      <c r="A145" s="17" t="s">
        <v>421</v>
      </c>
      <c r="B145" s="17" t="s">
        <v>950</v>
      </c>
      <c r="C145" s="17" t="s">
        <v>503</v>
      </c>
      <c r="D145" s="17" t="s">
        <v>770</v>
      </c>
      <c r="E145" s="17" t="s">
        <v>505</v>
      </c>
      <c r="F145" s="20">
        <f>_xlfn.XLOOKUP(Table13[[#This Row],[Employee Code]],DLE!A:A,DLE!AB:AB)</f>
        <v>363639.21875</v>
      </c>
    </row>
    <row r="146" spans="1:6" x14ac:dyDescent="0.3">
      <c r="A146" s="17" t="s">
        <v>329</v>
      </c>
      <c r="B146" s="17" t="s">
        <v>951</v>
      </c>
      <c r="C146" s="17" t="s">
        <v>499</v>
      </c>
      <c r="D146" s="17" t="s">
        <v>763</v>
      </c>
      <c r="E146" s="17" t="s">
        <v>501</v>
      </c>
      <c r="F146" s="20">
        <f>_xlfn.XLOOKUP(Table13[[#This Row],[Employee Code]],DLE!A:A,DLE!AB:AB)</f>
        <v>490764.0625</v>
      </c>
    </row>
    <row r="147" spans="1:6" x14ac:dyDescent="0.3">
      <c r="A147" s="17" t="s">
        <v>432</v>
      </c>
      <c r="B147" s="17" t="s">
        <v>952</v>
      </c>
      <c r="C147" s="17" t="s">
        <v>511</v>
      </c>
      <c r="D147" s="17" t="s">
        <v>776</v>
      </c>
      <c r="E147" s="17" t="s">
        <v>513</v>
      </c>
      <c r="F147" s="20">
        <f>_xlfn.XLOOKUP(Table13[[#This Row],[Employee Code]],DLE!A:A,DLE!AB:AB)</f>
        <v>260436.5625</v>
      </c>
    </row>
    <row r="148" spans="1:6" x14ac:dyDescent="0.3">
      <c r="A148" s="17" t="s">
        <v>170</v>
      </c>
      <c r="B148" s="17" t="s">
        <v>953</v>
      </c>
      <c r="C148" s="17" t="s">
        <v>511</v>
      </c>
      <c r="D148" s="17" t="s">
        <v>716</v>
      </c>
      <c r="E148" s="17" t="s">
        <v>513</v>
      </c>
      <c r="F148" s="20">
        <f>_xlfn.XLOOKUP(Table13[[#This Row],[Employee Code]],DLE!A:A,DLE!AB:AB)</f>
        <v>322762.5</v>
      </c>
    </row>
    <row r="149" spans="1:6" x14ac:dyDescent="0.3">
      <c r="A149" s="17" t="s">
        <v>465</v>
      </c>
      <c r="B149" s="17" t="s">
        <v>954</v>
      </c>
      <c r="C149" s="17" t="s">
        <v>556</v>
      </c>
      <c r="D149" s="17" t="s">
        <v>784</v>
      </c>
      <c r="E149" s="17" t="s">
        <v>558</v>
      </c>
      <c r="F149" s="20">
        <f>_xlfn.XLOOKUP(Table13[[#This Row],[Employee Code]],DLE!A:A,DLE!AB:AB)</f>
        <v>364158.75</v>
      </c>
    </row>
    <row r="150" spans="1:6" x14ac:dyDescent="0.3">
      <c r="A150" s="17" t="s">
        <v>151</v>
      </c>
      <c r="B150" s="17" t="s">
        <v>955</v>
      </c>
      <c r="C150" s="17" t="s">
        <v>556</v>
      </c>
      <c r="D150" s="17" t="s">
        <v>709</v>
      </c>
      <c r="E150" s="17" t="s">
        <v>558</v>
      </c>
      <c r="F150" s="20">
        <f>_xlfn.XLOOKUP(Table13[[#This Row],[Employee Code]],DLE!A:A,DLE!AB:AB)</f>
        <v>334126.875</v>
      </c>
    </row>
    <row r="151" spans="1:6" x14ac:dyDescent="0.3">
      <c r="A151" s="17" t="s">
        <v>460</v>
      </c>
      <c r="B151" s="17" t="s">
        <v>956</v>
      </c>
      <c r="C151" s="17" t="s">
        <v>511</v>
      </c>
      <c r="D151" s="17" t="s">
        <v>786</v>
      </c>
      <c r="E151" s="17" t="s">
        <v>513</v>
      </c>
      <c r="F151" s="20">
        <f>_xlfn.XLOOKUP(Table13[[#This Row],[Employee Code]],DLE!A:A,DLE!AB:AB)</f>
        <v>319110.9375</v>
      </c>
    </row>
    <row r="152" spans="1:6" x14ac:dyDescent="0.3">
      <c r="A152" s="17" t="s">
        <v>394</v>
      </c>
      <c r="B152" s="17" t="s">
        <v>957</v>
      </c>
      <c r="C152" s="17" t="s">
        <v>503</v>
      </c>
      <c r="D152" s="17" t="s">
        <v>766</v>
      </c>
      <c r="E152" s="17" t="s">
        <v>505</v>
      </c>
      <c r="F152" s="20">
        <f>_xlfn.XLOOKUP(Table13[[#This Row],[Employee Code]],DLE!A:A,DLE!AB:AB)</f>
        <v>346640.15625</v>
      </c>
    </row>
    <row r="153" spans="1:6" x14ac:dyDescent="0.3">
      <c r="A153" s="17" t="s">
        <v>426</v>
      </c>
      <c r="B153" s="17" t="s">
        <v>958</v>
      </c>
      <c r="C153" s="17" t="s">
        <v>556</v>
      </c>
      <c r="D153" s="17" t="s">
        <v>774</v>
      </c>
      <c r="E153" s="17" t="s">
        <v>558</v>
      </c>
      <c r="F153" s="20">
        <f>_xlfn.XLOOKUP(Table13[[#This Row],[Employee Code]],DLE!A:A,DLE!AB:AB)</f>
        <v>346640.15625</v>
      </c>
    </row>
    <row r="154" spans="1:6" x14ac:dyDescent="0.3">
      <c r="A154" s="17" t="s">
        <v>165</v>
      </c>
      <c r="B154" s="17" t="s">
        <v>959</v>
      </c>
      <c r="C154" s="17" t="s">
        <v>503</v>
      </c>
      <c r="D154" s="17" t="s">
        <v>714</v>
      </c>
      <c r="E154" s="17" t="s">
        <v>505</v>
      </c>
      <c r="F154" s="20">
        <f>_xlfn.XLOOKUP(Table13[[#This Row],[Employee Code]],DLE!A:A,DLE!AB:AB)</f>
        <v>341634.84375</v>
      </c>
    </row>
    <row r="155" spans="1:6" x14ac:dyDescent="0.3">
      <c r="A155" s="17" t="s">
        <v>429</v>
      </c>
      <c r="B155" s="17" t="s">
        <v>960</v>
      </c>
      <c r="C155" s="17" t="s">
        <v>503</v>
      </c>
      <c r="D155" s="17" t="s">
        <v>775</v>
      </c>
      <c r="E155" s="17" t="s">
        <v>505</v>
      </c>
      <c r="F155" s="20">
        <f>_xlfn.XLOOKUP(Table13[[#This Row],[Employee Code]],DLE!A:A,DLE!AB:AB)</f>
        <v>327812.34375</v>
      </c>
    </row>
    <row r="156" spans="1:6" x14ac:dyDescent="0.3">
      <c r="A156" s="17" t="s">
        <v>200</v>
      </c>
      <c r="B156" s="17" t="s">
        <v>961</v>
      </c>
      <c r="C156" s="17" t="s">
        <v>556</v>
      </c>
      <c r="D156" s="17" t="s">
        <v>731</v>
      </c>
      <c r="E156" s="17" t="s">
        <v>558</v>
      </c>
      <c r="F156" s="20">
        <f>_xlfn.XLOOKUP(Table13[[#This Row],[Employee Code]],DLE!A:A,DLE!AB:AB)</f>
        <v>349142.8125</v>
      </c>
    </row>
    <row r="157" spans="1:6" x14ac:dyDescent="0.3">
      <c r="A157" s="17" t="s">
        <v>192</v>
      </c>
      <c r="B157" s="17" t="s">
        <v>962</v>
      </c>
      <c r="C157" s="17" t="s">
        <v>556</v>
      </c>
      <c r="D157" s="17" t="s">
        <v>722</v>
      </c>
      <c r="E157" s="17" t="s">
        <v>558</v>
      </c>
      <c r="F157" s="20">
        <f>_xlfn.XLOOKUP(Table13[[#This Row],[Employee Code]],DLE!A:A,DLE!AB:AB)</f>
        <v>222353.4375</v>
      </c>
    </row>
    <row r="158" spans="1:6" x14ac:dyDescent="0.3">
      <c r="A158" s="17" t="s">
        <v>442</v>
      </c>
      <c r="B158" s="17" t="s">
        <v>963</v>
      </c>
      <c r="C158" s="17" t="s">
        <v>503</v>
      </c>
      <c r="D158" s="17" t="s">
        <v>777</v>
      </c>
      <c r="E158" s="17" t="s">
        <v>505</v>
      </c>
      <c r="F158" s="20">
        <f>_xlfn.XLOOKUP(Table13[[#This Row],[Employee Code]],DLE!A:A,DLE!AB:AB)</f>
        <v>234566.875</v>
      </c>
    </row>
    <row r="159" spans="1:6" x14ac:dyDescent="0.3">
      <c r="A159" s="17" t="s">
        <v>198</v>
      </c>
      <c r="B159" s="17" t="s">
        <v>964</v>
      </c>
      <c r="C159" s="17" t="s">
        <v>499</v>
      </c>
      <c r="D159" s="17" t="s">
        <v>729</v>
      </c>
      <c r="E159" s="17" t="s">
        <v>501</v>
      </c>
      <c r="F159" s="20">
        <f>_xlfn.XLOOKUP(Table13[[#This Row],[Employee Code]],DLE!A:A,DLE!AB:AB)</f>
        <v>205710.625</v>
      </c>
    </row>
    <row r="160" spans="1:6" x14ac:dyDescent="0.3">
      <c r="A160" s="17" t="s">
        <v>467</v>
      </c>
      <c r="B160" s="17" t="s">
        <v>965</v>
      </c>
      <c r="C160" s="17" t="s">
        <v>605</v>
      </c>
      <c r="D160" s="17" t="s">
        <v>787</v>
      </c>
      <c r="E160" s="17" t="s">
        <v>606</v>
      </c>
      <c r="F160" s="20">
        <f>_xlfn.XLOOKUP(Table13[[#This Row],[Employee Code]],DLE!A:A,DLE!AB:AB)</f>
        <v>220138.75</v>
      </c>
    </row>
    <row r="161" spans="1:6" x14ac:dyDescent="0.3">
      <c r="A161" s="17" t="s">
        <v>463</v>
      </c>
      <c r="B161" s="17" t="s">
        <v>966</v>
      </c>
      <c r="C161" s="17" t="s">
        <v>507</v>
      </c>
      <c r="D161" s="17" t="s">
        <v>785</v>
      </c>
      <c r="E161" s="17" t="s">
        <v>509</v>
      </c>
      <c r="F161" s="20">
        <f>_xlfn.XLOOKUP(Table13[[#This Row],[Employee Code]],DLE!A:A,DLE!AB:AB)</f>
        <v>214367.5</v>
      </c>
    </row>
    <row r="162" spans="1:6" x14ac:dyDescent="0.3">
      <c r="A162" s="17" t="s">
        <v>211</v>
      </c>
      <c r="B162" s="17" t="s">
        <v>967</v>
      </c>
      <c r="C162" s="17" t="s">
        <v>527</v>
      </c>
      <c r="D162" s="17" t="s">
        <v>737</v>
      </c>
      <c r="E162" s="17" t="s">
        <v>529</v>
      </c>
      <c r="F162" s="20">
        <f>_xlfn.XLOOKUP(Table13[[#This Row],[Employee Code]],DLE!A:A,DLE!AB:AB)</f>
        <v>375552.8125</v>
      </c>
    </row>
    <row r="163" spans="1:6" x14ac:dyDescent="0.3">
      <c r="A163" s="17" t="s">
        <v>204</v>
      </c>
      <c r="B163" s="17" t="s">
        <v>968</v>
      </c>
      <c r="C163" s="17" t="s">
        <v>605</v>
      </c>
      <c r="D163" s="17" t="s">
        <v>732</v>
      </c>
      <c r="E163" s="17" t="s">
        <v>606</v>
      </c>
      <c r="F163" s="20">
        <f>_xlfn.XLOOKUP(Table13[[#This Row],[Employee Code]],DLE!A:A,DLE!AB:AB)</f>
        <v>239239.6875</v>
      </c>
    </row>
    <row r="164" spans="1:6" x14ac:dyDescent="0.3">
      <c r="A164" s="17" t="s">
        <v>331</v>
      </c>
      <c r="B164" s="17" t="s">
        <v>969</v>
      </c>
      <c r="C164" s="17" t="s">
        <v>511</v>
      </c>
      <c r="D164" s="17" t="s">
        <v>764</v>
      </c>
      <c r="E164" s="17" t="s">
        <v>513</v>
      </c>
      <c r="F164" s="20">
        <f>_xlfn.XLOOKUP(Table13[[#This Row],[Employee Code]],DLE!A:A,DLE!AB:AB)</f>
        <v>239239.6875</v>
      </c>
    </row>
    <row r="165" spans="1:6" x14ac:dyDescent="0.3">
      <c r="A165" s="17" t="s">
        <v>487</v>
      </c>
      <c r="B165" s="17" t="s">
        <v>970</v>
      </c>
      <c r="C165" s="17" t="s">
        <v>556</v>
      </c>
      <c r="D165" s="17" t="s">
        <v>797</v>
      </c>
      <c r="E165" s="17" t="s">
        <v>558</v>
      </c>
      <c r="F165" s="20">
        <f>_xlfn.XLOOKUP(Table13[[#This Row],[Employee Code]],DLE!A:A,DLE!AB:AB)</f>
        <v>312965.625</v>
      </c>
    </row>
    <row r="166" spans="1:6" x14ac:dyDescent="0.3">
      <c r="A166" s="17" t="s">
        <v>484</v>
      </c>
      <c r="B166" s="17" t="s">
        <v>971</v>
      </c>
      <c r="C166" s="17" t="s">
        <v>511</v>
      </c>
      <c r="D166" s="17" t="s">
        <v>796</v>
      </c>
      <c r="E166" s="17" t="s">
        <v>513</v>
      </c>
      <c r="F166" s="20">
        <f>_xlfn.XLOOKUP(Table13[[#This Row],[Employee Code]],DLE!A:A,DLE!AB:AB)</f>
        <v>320304.375</v>
      </c>
    </row>
    <row r="167" spans="1:6" x14ac:dyDescent="0.3">
      <c r="A167" s="17" t="s">
        <v>144</v>
      </c>
      <c r="B167" s="17" t="s">
        <v>972</v>
      </c>
      <c r="C167" s="17" t="s">
        <v>556</v>
      </c>
      <c r="D167" s="17" t="s">
        <v>708</v>
      </c>
      <c r="E167" s="17" t="s">
        <v>558</v>
      </c>
      <c r="F167" s="20">
        <f>_xlfn.XLOOKUP(Table13[[#This Row],[Employee Code]],DLE!A:A,DLE!AB:AB)</f>
        <v>239239.6875</v>
      </c>
    </row>
    <row r="168" spans="1:6" x14ac:dyDescent="0.3">
      <c r="A168" s="17" t="s">
        <v>249</v>
      </c>
      <c r="B168" s="17" t="s">
        <v>973</v>
      </c>
      <c r="C168" s="17" t="s">
        <v>556</v>
      </c>
      <c r="D168" s="17" t="s">
        <v>794</v>
      </c>
      <c r="E168" s="17" t="s">
        <v>558</v>
      </c>
      <c r="F168" s="20">
        <f>_xlfn.XLOOKUP(Table13[[#This Row],[Employee Code]],DLE!A:A,DLE!AB:AB)</f>
        <v>222383.125</v>
      </c>
    </row>
    <row r="169" spans="1:6" x14ac:dyDescent="0.3">
      <c r="A169" s="17" t="s">
        <v>196</v>
      </c>
      <c r="B169" s="17" t="s">
        <v>974</v>
      </c>
      <c r="C169" s="17" t="s">
        <v>710</v>
      </c>
      <c r="D169" s="17" t="s">
        <v>793</v>
      </c>
      <c r="E169" s="17" t="s">
        <v>712</v>
      </c>
      <c r="F169" s="20">
        <f>_xlfn.XLOOKUP(Table13[[#This Row],[Employee Code]],DLE!A:A,DLE!AB:AB)</f>
        <v>210392.34375</v>
      </c>
    </row>
    <row r="170" spans="1:6" x14ac:dyDescent="0.3">
      <c r="A170" s="17" t="s">
        <v>416</v>
      </c>
      <c r="B170" s="17" t="s">
        <v>975</v>
      </c>
      <c r="C170" s="17" t="s">
        <v>499</v>
      </c>
      <c r="D170" s="17" t="s">
        <v>769</v>
      </c>
      <c r="E170" s="17" t="s">
        <v>501</v>
      </c>
      <c r="F170" s="20">
        <f>_xlfn.XLOOKUP(Table13[[#This Row],[Employee Code]],DLE!A:A,DLE!AB:AB)</f>
        <v>475415.625</v>
      </c>
    </row>
    <row r="171" spans="1:6" x14ac:dyDescent="0.3">
      <c r="A171" s="17" t="s">
        <v>482</v>
      </c>
      <c r="B171" s="17" t="s">
        <v>976</v>
      </c>
      <c r="C171" s="17" t="s">
        <v>605</v>
      </c>
      <c r="D171" s="17" t="s">
        <v>795</v>
      </c>
      <c r="E171" s="17" t="s">
        <v>606</v>
      </c>
      <c r="F171" s="20">
        <f>_xlfn.XLOOKUP(Table13[[#This Row],[Employee Code]],DLE!A:A,DLE!AB:AB)</f>
        <v>208133.125</v>
      </c>
    </row>
    <row r="172" spans="1:6" x14ac:dyDescent="0.3">
      <c r="A172" s="17" t="s">
        <v>475</v>
      </c>
      <c r="B172" s="17" t="s">
        <v>977</v>
      </c>
      <c r="C172" s="17" t="s">
        <v>511</v>
      </c>
      <c r="D172" s="17" t="s">
        <v>791</v>
      </c>
      <c r="E172" s="17" t="s">
        <v>513</v>
      </c>
      <c r="F172" s="20">
        <f>_xlfn.XLOOKUP(Table13[[#This Row],[Employee Code]],DLE!A:A,DLE!AB:AB)</f>
        <v>347878.125</v>
      </c>
    </row>
    <row r="173" spans="1:6" x14ac:dyDescent="0.3">
      <c r="A173" s="17" t="s">
        <v>47</v>
      </c>
      <c r="B173" s="17" t="s">
        <v>978</v>
      </c>
      <c r="C173" s="17" t="s">
        <v>499</v>
      </c>
      <c r="D173" s="17" t="s">
        <v>789</v>
      </c>
      <c r="E173" s="17" t="s">
        <v>501</v>
      </c>
      <c r="F173" s="20">
        <f>_xlfn.XLOOKUP(Table13[[#This Row],[Employee Code]],DLE!A:A,DLE!AB:AB)</f>
        <v>293603.4375</v>
      </c>
    </row>
    <row r="174" spans="1:6" x14ac:dyDescent="0.3">
      <c r="A174" s="17" t="s">
        <v>473</v>
      </c>
      <c r="B174" s="17" t="s">
        <v>979</v>
      </c>
      <c r="C174" s="17" t="s">
        <v>780</v>
      </c>
      <c r="D174" s="17" t="s">
        <v>790</v>
      </c>
      <c r="E174" s="17" t="s">
        <v>782</v>
      </c>
      <c r="F174" s="20">
        <f>_xlfn.XLOOKUP(Table13[[#This Row],[Employee Code]],DLE!A:A,DLE!AB:AB)</f>
        <v>205710.625</v>
      </c>
    </row>
    <row r="175" spans="1:6" x14ac:dyDescent="0.3">
      <c r="A175" s="17" t="s">
        <v>470</v>
      </c>
      <c r="B175" s="17" t="s">
        <v>980</v>
      </c>
      <c r="C175" s="17" t="s">
        <v>521</v>
      </c>
      <c r="D175" s="17" t="s">
        <v>788</v>
      </c>
      <c r="E175" s="17" t="s">
        <v>523</v>
      </c>
      <c r="F175" s="20">
        <f>_xlfn.XLOOKUP(Table13[[#This Row],[Employee Code]],DLE!A:A,DLE!AB:AB)</f>
        <v>205710.625</v>
      </c>
    </row>
    <row r="176" spans="1:6" x14ac:dyDescent="0.3">
      <c r="A176" s="17" t="s">
        <v>477</v>
      </c>
      <c r="B176" s="17" t="s">
        <v>981</v>
      </c>
      <c r="C176" s="17" t="s">
        <v>511</v>
      </c>
      <c r="D176" s="17" t="s">
        <v>792</v>
      </c>
      <c r="E176" s="17" t="s">
        <v>513</v>
      </c>
      <c r="F176" s="20">
        <f>_xlfn.XLOOKUP(Table13[[#This Row],[Employee Code]],DLE!A:A,DLE!AB:AB)</f>
        <v>301850.625</v>
      </c>
    </row>
    <row r="177" spans="1:6" x14ac:dyDescent="0.3">
      <c r="A177" s="17" t="s">
        <v>445</v>
      </c>
      <c r="B177" s="17" t="s">
        <v>982</v>
      </c>
      <c r="C177" s="17" t="s">
        <v>507</v>
      </c>
      <c r="D177" s="17" t="s">
        <v>778</v>
      </c>
      <c r="E177" s="17" t="s">
        <v>509</v>
      </c>
      <c r="F177" s="20">
        <f>_xlfn.XLOOKUP(Table13[[#This Row],[Employee Code]],DLE!A:A,DLE!AB:AB)</f>
        <v>329121.5625</v>
      </c>
    </row>
    <row r="178" spans="1:6" x14ac:dyDescent="0.3">
      <c r="A178" s="17" t="s">
        <v>167</v>
      </c>
      <c r="B178" s="17" t="s">
        <v>983</v>
      </c>
      <c r="C178" s="17" t="s">
        <v>605</v>
      </c>
      <c r="D178" s="17" t="s">
        <v>715</v>
      </c>
      <c r="E178" s="17" t="s">
        <v>606</v>
      </c>
      <c r="F178" s="20">
        <f>_xlfn.XLOOKUP(Table13[[#This Row],[Employee Code]],DLE!A:A,DLE!AB:AB)</f>
        <v>334126.875</v>
      </c>
    </row>
    <row r="179" spans="1:6" x14ac:dyDescent="0.3">
      <c r="A179" s="17" t="s">
        <v>489</v>
      </c>
      <c r="B179" s="17" t="s">
        <v>984</v>
      </c>
      <c r="C179" s="17"/>
      <c r="D179" s="17"/>
      <c r="E179" s="17"/>
      <c r="F179" s="20">
        <f>_xlfn.XLOOKUP(Table13[[#This Row],[Employee Code]],DLE!A:A,DLE!AB:AB)</f>
        <v>155948.4375</v>
      </c>
    </row>
    <row r="180" spans="1:6" x14ac:dyDescent="0.3">
      <c r="A180" s="17" t="s">
        <v>877</v>
      </c>
      <c r="B180" s="17" t="s">
        <v>985</v>
      </c>
      <c r="C180" s="17" t="s">
        <v>605</v>
      </c>
      <c r="D180" s="17">
        <v>2382677353</v>
      </c>
      <c r="E180" s="17"/>
      <c r="F180" s="20">
        <f>_xlfn.XLOOKUP(Table13[[#This Row],[Employee Code]],DLE!A:A,DLE!AB:AB)</f>
        <v>186188.125</v>
      </c>
    </row>
    <row r="181" spans="1:6" x14ac:dyDescent="0.3">
      <c r="A181" s="17" t="s">
        <v>880</v>
      </c>
      <c r="B181" s="17" t="s">
        <v>986</v>
      </c>
      <c r="C181" s="17" t="s">
        <v>511</v>
      </c>
      <c r="D181" s="17">
        <v>2266705437</v>
      </c>
      <c r="E181" s="17"/>
      <c r="F181" s="20">
        <f>_xlfn.XLOOKUP(Table13[[#This Row],[Employee Code]],DLE!A:A,DLE!AB:AB)</f>
        <v>62937.5</v>
      </c>
    </row>
    <row r="182" spans="1:6" x14ac:dyDescent="0.3">
      <c r="A182" s="17" t="s">
        <v>887</v>
      </c>
      <c r="B182" s="17" t="s">
        <v>987</v>
      </c>
      <c r="C182" s="17" t="s">
        <v>511</v>
      </c>
      <c r="D182" s="17">
        <v>2193745140</v>
      </c>
      <c r="E182" s="17"/>
      <c r="F182" s="20">
        <f>_xlfn.XLOOKUP(Table13[[#This Row],[Employee Code]],DLE!A:A,DLE!AB:AB)</f>
        <v>62937.5</v>
      </c>
    </row>
    <row r="183" spans="1:6" x14ac:dyDescent="0.3">
      <c r="A183" s="17" t="s">
        <v>881</v>
      </c>
      <c r="B183" s="17" t="s">
        <v>988</v>
      </c>
      <c r="C183" s="17" t="s">
        <v>499</v>
      </c>
      <c r="D183" s="17">
        <v>6160491811</v>
      </c>
      <c r="E183" s="17"/>
      <c r="F183" s="20">
        <f>_xlfn.XLOOKUP(Table13[[#This Row],[Employee Code]],DLE!A:A,DLE!AB:AB)</f>
        <v>62937.5</v>
      </c>
    </row>
    <row r="184" spans="1:6" ht="15.6" customHeight="1" x14ac:dyDescent="0.3">
      <c r="A184" s="6">
        <f>SUBTOTAL(103,Table13[Employee Code])</f>
        <v>181</v>
      </c>
      <c r="B184" s="6"/>
      <c r="C184" s="6"/>
      <c r="D184" s="6"/>
      <c r="E184" s="6"/>
      <c r="F184" s="5">
        <f>SUBTOTAL(109,Table13[NET Salary])</f>
        <v>64985861.5</v>
      </c>
    </row>
    <row r="185" spans="1:6" x14ac:dyDescent="0.3">
      <c r="A185" s="11"/>
      <c r="B185" s="11"/>
    </row>
  </sheetData>
  <mergeCells count="2">
    <mergeCell ref="A1:F1"/>
    <mergeCell ref="A185:B185"/>
  </mergeCells>
  <conditionalFormatting sqref="A3:A183">
    <cfRule type="duplicateValues" dxfId="3" priority="18"/>
  </conditionalFormatting>
  <pageMargins left="0.5" right="0.5" top="0.40000000596046398" bottom="0.55000001192092896" header="0.3" footer="0.3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C95F-232A-4671-B7FA-B8A30FE35967}">
  <sheetPr>
    <outlinePr summaryBelow="0"/>
  </sheetPr>
  <dimension ref="A1:G12"/>
  <sheetViews>
    <sheetView showGridLines="0" workbookViewId="0">
      <selection activeCell="C11" sqref="C11"/>
    </sheetView>
  </sheetViews>
  <sheetFormatPr defaultRowHeight="14.4" x14ac:dyDescent="0.3"/>
  <cols>
    <col min="1" max="1" width="10.5546875" customWidth="1"/>
    <col min="2" max="2" width="31.109375" customWidth="1"/>
    <col min="3" max="3" width="20.88671875" customWidth="1"/>
    <col min="4" max="6" width="15.5546875" customWidth="1"/>
    <col min="7" max="7" width="11.6640625" bestFit="1" customWidth="1"/>
  </cols>
  <sheetData>
    <row r="1" spans="1:7" ht="31.5" customHeight="1" x14ac:dyDescent="0.3">
      <c r="A1" s="10" t="s">
        <v>491</v>
      </c>
      <c r="B1" s="10"/>
      <c r="C1" s="10"/>
      <c r="D1" s="10"/>
      <c r="E1" s="10"/>
      <c r="F1" s="10"/>
      <c r="G1" s="10"/>
    </row>
    <row r="2" spans="1:7" ht="21" customHeight="1" x14ac:dyDescent="0.3">
      <c r="A2" s="2" t="s">
        <v>0</v>
      </c>
      <c r="B2" s="2" t="s">
        <v>492</v>
      </c>
      <c r="C2" s="2" t="s">
        <v>493</v>
      </c>
      <c r="D2" s="2" t="s">
        <v>494</v>
      </c>
      <c r="E2" s="2" t="s">
        <v>495</v>
      </c>
      <c r="F2" s="3" t="s">
        <v>496</v>
      </c>
      <c r="G2" s="2" t="s">
        <v>497</v>
      </c>
    </row>
    <row r="3" spans="1:7" ht="12.75" customHeight="1" x14ac:dyDescent="0.3">
      <c r="A3" s="4" t="s">
        <v>226</v>
      </c>
      <c r="B3" s="4" t="s">
        <v>739</v>
      </c>
      <c r="C3" s="4" t="s">
        <v>503</v>
      </c>
      <c r="D3" s="4" t="s">
        <v>740</v>
      </c>
      <c r="E3" s="4" t="s">
        <v>505</v>
      </c>
      <c r="F3" s="5">
        <f>_xlfn.XLOOKUP(Table146[[#This Row],[Employee Code]],Table52[Emp. Code],Table52[Net Pay])</f>
        <v>229306.25</v>
      </c>
      <c r="G3" s="4" t="s">
        <v>25</v>
      </c>
    </row>
    <row r="4" spans="1:7" ht="13.5" customHeight="1" x14ac:dyDescent="0.3">
      <c r="A4" s="4" t="s">
        <v>232</v>
      </c>
      <c r="B4" s="4" t="s">
        <v>742</v>
      </c>
      <c r="C4" s="4" t="s">
        <v>499</v>
      </c>
      <c r="D4" s="4" t="s">
        <v>743</v>
      </c>
      <c r="E4" s="4" t="s">
        <v>501</v>
      </c>
      <c r="F4" s="5">
        <f>_xlfn.XLOOKUP(Table146[[#This Row],[Employee Code]],Table52[Emp. Code],Table52[Net Pay])</f>
        <v>212384.375</v>
      </c>
      <c r="G4" s="4" t="s">
        <v>25</v>
      </c>
    </row>
    <row r="5" spans="1:7" ht="12.75" customHeight="1" x14ac:dyDescent="0.3">
      <c r="A5" s="4" t="s">
        <v>239</v>
      </c>
      <c r="B5" s="4" t="s">
        <v>744</v>
      </c>
      <c r="C5" s="4" t="s">
        <v>503</v>
      </c>
      <c r="D5" s="4" t="s">
        <v>745</v>
      </c>
      <c r="E5" s="4" t="s">
        <v>505</v>
      </c>
      <c r="F5" s="5">
        <f>_xlfn.XLOOKUP(Table146[[#This Row],[Employee Code]],Table52[Emp. Code],Table52[Net Pay])</f>
        <v>226575</v>
      </c>
      <c r="G5" s="4" t="s">
        <v>25</v>
      </c>
    </row>
    <row r="6" spans="1:7" ht="13.5" customHeight="1" x14ac:dyDescent="0.3">
      <c r="A6" s="4" t="s">
        <v>262</v>
      </c>
      <c r="B6" s="4" t="s">
        <v>748</v>
      </c>
      <c r="C6" s="4" t="s">
        <v>503</v>
      </c>
      <c r="D6" s="4" t="s">
        <v>749</v>
      </c>
      <c r="E6" s="4" t="s">
        <v>505</v>
      </c>
      <c r="F6" s="5">
        <f>_xlfn.XLOOKUP(Table146[[#This Row],[Employee Code]],Table52[Emp. Code],Table52[Net Pay])</f>
        <v>209653.125</v>
      </c>
      <c r="G6" s="4" t="s">
        <v>25</v>
      </c>
    </row>
    <row r="7" spans="1:7" ht="13.5" customHeight="1" x14ac:dyDescent="0.3">
      <c r="A7" s="4" t="s">
        <v>300</v>
      </c>
      <c r="B7" s="4" t="s">
        <v>754</v>
      </c>
      <c r="C7" s="4" t="s">
        <v>503</v>
      </c>
      <c r="D7" s="4" t="s">
        <v>755</v>
      </c>
      <c r="E7" s="4" t="s">
        <v>505</v>
      </c>
      <c r="F7" s="5">
        <f>_xlfn.XLOOKUP(Table146[[#This Row],[Employee Code]],Table52[Emp. Code],Table52[Net Pay])</f>
        <v>212384.375</v>
      </c>
      <c r="G7" s="4" t="s">
        <v>25</v>
      </c>
    </row>
    <row r="8" spans="1:7" ht="12.75" customHeight="1" x14ac:dyDescent="0.3">
      <c r="A8" s="4" t="s">
        <v>305</v>
      </c>
      <c r="B8" s="4" t="s">
        <v>756</v>
      </c>
      <c r="C8" s="4" t="s">
        <v>511</v>
      </c>
      <c r="D8" s="4" t="s">
        <v>757</v>
      </c>
      <c r="E8" s="4" t="s">
        <v>513</v>
      </c>
      <c r="F8" s="5">
        <f>_xlfn.XLOOKUP(Table146[[#This Row],[Employee Code]],Table52[Emp. Code],Table52[Net Pay])</f>
        <v>254528.75</v>
      </c>
      <c r="G8" s="4" t="s">
        <v>25</v>
      </c>
    </row>
    <row r="9" spans="1:7" ht="13.5" customHeight="1" x14ac:dyDescent="0.3">
      <c r="A9" s="4" t="s">
        <v>316</v>
      </c>
      <c r="B9" s="4" t="s">
        <v>759</v>
      </c>
      <c r="C9" s="4" t="s">
        <v>503</v>
      </c>
      <c r="D9" s="4" t="s">
        <v>760</v>
      </c>
      <c r="E9" s="4" t="s">
        <v>505</v>
      </c>
      <c r="F9" s="5">
        <f>_xlfn.XLOOKUP(Table146[[#This Row],[Employee Code]],Table52[Emp. Code],Table52[Net Pay])</f>
        <v>229306.25</v>
      </c>
      <c r="G9" s="4" t="s">
        <v>25</v>
      </c>
    </row>
    <row r="10" spans="1:7" ht="25.8" customHeight="1" x14ac:dyDescent="0.3">
      <c r="A10" s="6">
        <f>SUBTOTAL(103,Table146[Employee Code])</f>
        <v>7</v>
      </c>
      <c r="B10" s="6"/>
      <c r="C10" s="6"/>
      <c r="D10" s="6"/>
      <c r="E10" s="6"/>
      <c r="F10" s="5">
        <f>SUBTOTAL(109,Table146[NET Salary])</f>
        <v>1574138.125</v>
      </c>
      <c r="G10" s="6"/>
    </row>
    <row r="11" spans="1:7" ht="18" customHeight="1" x14ac:dyDescent="0.3">
      <c r="A11" s="12"/>
      <c r="B11" s="12"/>
      <c r="F11" s="7"/>
    </row>
    <row r="12" spans="1:7" x14ac:dyDescent="0.3">
      <c r="A12" s="11"/>
      <c r="B12" s="11"/>
    </row>
  </sheetData>
  <mergeCells count="3">
    <mergeCell ref="A1:G1"/>
    <mergeCell ref="A11:B11"/>
    <mergeCell ref="A12:B12"/>
  </mergeCells>
  <conditionalFormatting sqref="A3:A9">
    <cfRule type="duplicateValues" dxfId="4" priority="10"/>
  </conditionalFormatting>
  <pageMargins left="0.5" right="0.5" top="0.40000000596046398" bottom="0.55000001192092896" header="0.3" footer="0.3"/>
  <pageSetup orientation="landscape"/>
  <ignoredErrors>
    <ignoredError sqref="F3:F9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DLE</vt:lpstr>
      <vt:lpstr>DLPC</vt:lpstr>
      <vt:lpstr>DLE BANK SCHD</vt:lpstr>
      <vt:lpstr>DLPC.BANK.SCHD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2026-07-27T12:39:11Z</cp:lastPrinted>
  <dcterms:created xsi:type="dcterms:W3CDTF">2026-07-21T12:03:41Z</dcterms:created>
  <dcterms:modified xsi:type="dcterms:W3CDTF">2026-08-19T07:34:31Z</dcterms:modified>
</cp:coreProperties>
</file>