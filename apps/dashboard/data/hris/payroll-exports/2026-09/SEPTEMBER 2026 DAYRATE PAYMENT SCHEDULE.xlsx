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PAYROLL/2026/August 2026 payroll/"/>
    </mc:Choice>
  </mc:AlternateContent>
  <xr:revisionPtr revIDLastSave="1747" documentId="8_{01479F45-904C-4115-AE73-8239D18EB3D6}" xr6:coauthVersionLast="47" xr6:coauthVersionMax="47" xr10:uidLastSave="{BAFCC6C3-51B5-44BC-8EFC-6594147E121E}"/>
  <bookViews>
    <workbookView xWindow="19090" yWindow="-110" windowWidth="19420" windowHeight="10300" xr2:uid="{60BD8C7C-4DBB-4DA5-A5D4-A11F437B757D}"/>
  </bookViews>
  <sheets>
    <sheet name="SUMMARY" sheetId="9" r:id="rId1"/>
    <sheet name="DLE" sheetId="4" r:id="rId2"/>
    <sheet name="DLPC" sheetId="7" r:id="rId3"/>
    <sheet name="DLE BANK SCHD" sheetId="2" r:id="rId4"/>
    <sheet name="DLPC.BANK.SCHD" sheetId="8" r:id="rId5"/>
  </sheets>
  <definedNames>
    <definedName name="_xlnm._FilterDatabase" localSheetId="3" hidden="1">'DLE BANK SCHD'!$A$2:$F$185</definedName>
    <definedName name="_xlnm._FilterDatabase" localSheetId="4" hidden="1">'DLPC.BANK.SCHD'!$A$2:$G$12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<sst xmlns="http://schemas.openxmlformats.org/spreadsheetml/2006/main" count="2130" uniqueCount="995">
  <si>
    <t>Contractor Code</t>
  </si>
  <si>
    <t>Age</t>
  </si>
  <si>
    <t>Gender</t>
  </si>
  <si>
    <t>Amount Payable</t>
  </si>
  <si>
    <t>C0129</t>
  </si>
  <si>
    <t>KALU</t>
  </si>
  <si>
    <t>AGWU</t>
  </si>
  <si>
    <t>M</t>
  </si>
  <si>
    <t>IDI - IDI_ORO</t>
  </si>
  <si>
    <t>C0293</t>
  </si>
  <si>
    <t>OLANIYAN</t>
  </si>
  <si>
    <t>OLAKUNLE</t>
  </si>
  <si>
    <t>ELECTRICIAN</t>
  </si>
  <si>
    <t>C0585</t>
  </si>
  <si>
    <t>FEMI</t>
  </si>
  <si>
    <t>BELLO</t>
  </si>
  <si>
    <t>SCAFFOLDER  SUPERVISOR</t>
  </si>
  <si>
    <t>C0974</t>
  </si>
  <si>
    <t>ETUERI</t>
  </si>
  <si>
    <t>STEPHEN</t>
  </si>
  <si>
    <t>MACHINE SHOP SUPRITENDENT</t>
  </si>
  <si>
    <t>C1001</t>
  </si>
  <si>
    <t>GBADAMOSI</t>
  </si>
  <si>
    <t>JIMOH</t>
  </si>
  <si>
    <t>BLASTER&amp; PAINTER SUPERVISOR</t>
  </si>
  <si>
    <t>AGEGE - AGEGE</t>
  </si>
  <si>
    <t>C1035</t>
  </si>
  <si>
    <t>EJEH</t>
  </si>
  <si>
    <t>DONATUS</t>
  </si>
  <si>
    <t>RIGGER AND CRANE OPERATOR</t>
  </si>
  <si>
    <t>C1065</t>
  </si>
  <si>
    <t>OGHENERIE</t>
  </si>
  <si>
    <t>VINCENT</t>
  </si>
  <si>
    <t>FITTER 1</t>
  </si>
  <si>
    <t>C1078</t>
  </si>
  <si>
    <t>LUKPATA</t>
  </si>
  <si>
    <t>MATHIAS</t>
  </si>
  <si>
    <t>FORKLIFT OPERATOR</t>
  </si>
  <si>
    <t>C1096</t>
  </si>
  <si>
    <t>ADEDOYIN</t>
  </si>
  <si>
    <t>MECHANIC</t>
  </si>
  <si>
    <t>C1144</t>
  </si>
  <si>
    <t>OGWUA</t>
  </si>
  <si>
    <t>C1162</t>
  </si>
  <si>
    <t>ADEKOYA</t>
  </si>
  <si>
    <t>ADEWALE</t>
  </si>
  <si>
    <t>6GR (SMAW &amp; GTAW)</t>
  </si>
  <si>
    <t>C1220</t>
  </si>
  <si>
    <t>NWODO</t>
  </si>
  <si>
    <t>DANIEL</t>
  </si>
  <si>
    <t>WELDER</t>
  </si>
  <si>
    <t>C1491</t>
  </si>
  <si>
    <t>NNAMDI</t>
  </si>
  <si>
    <t>GRINDER</t>
  </si>
  <si>
    <t>C1533</t>
  </si>
  <si>
    <t>OKEKE</t>
  </si>
  <si>
    <t>CRANE/RIGGER  SUPERVISOR</t>
  </si>
  <si>
    <t>C1612</t>
  </si>
  <si>
    <t>MBAMARA</t>
  </si>
  <si>
    <t>RICHARD</t>
  </si>
  <si>
    <t>HYDROTESTER</t>
  </si>
  <si>
    <t>C1705</t>
  </si>
  <si>
    <t>ROTIMI</t>
  </si>
  <si>
    <t>MATTHEW</t>
  </si>
  <si>
    <t>C1720</t>
  </si>
  <si>
    <t>RAYMOND</t>
  </si>
  <si>
    <t>ADANOU</t>
  </si>
  <si>
    <t>C1728</t>
  </si>
  <si>
    <t>IBRAHIM</t>
  </si>
  <si>
    <t>MOHAMMED</t>
  </si>
  <si>
    <t>C1736</t>
  </si>
  <si>
    <t>JEROME</t>
  </si>
  <si>
    <t>C1775</t>
  </si>
  <si>
    <t>BASHRU</t>
  </si>
  <si>
    <t>MOMODU</t>
  </si>
  <si>
    <t>C1779</t>
  </si>
  <si>
    <t>EBUNO</t>
  </si>
  <si>
    <t>KENNEDY</t>
  </si>
  <si>
    <t>C1783</t>
  </si>
  <si>
    <t>DARAMOLA</t>
  </si>
  <si>
    <t>OLUGBENGA</t>
  </si>
  <si>
    <t>C1788</t>
  </si>
  <si>
    <t>SAMUEL</t>
  </si>
  <si>
    <t>JONAH</t>
  </si>
  <si>
    <t>C1789</t>
  </si>
  <si>
    <t>MBOCHI</t>
  </si>
  <si>
    <t>MONDAY</t>
  </si>
  <si>
    <t>C1793</t>
  </si>
  <si>
    <t>ITORO</t>
  </si>
  <si>
    <t>SAVIOUR</t>
  </si>
  <si>
    <t>C1804</t>
  </si>
  <si>
    <t>UMA</t>
  </si>
  <si>
    <t>C1820</t>
  </si>
  <si>
    <t>OKORO</t>
  </si>
  <si>
    <t>SUNDAY</t>
  </si>
  <si>
    <t>C1823</t>
  </si>
  <si>
    <t>EGBUJOR</t>
  </si>
  <si>
    <t>BURNER</t>
  </si>
  <si>
    <t>C1824</t>
  </si>
  <si>
    <t>ADAOWO</t>
  </si>
  <si>
    <t>ALPHONSUS</t>
  </si>
  <si>
    <t>C1840</t>
  </si>
  <si>
    <t>ISINGUZO</t>
  </si>
  <si>
    <t>FRIDAY</t>
  </si>
  <si>
    <t>C1849</t>
  </si>
  <si>
    <t>OKORIE</t>
  </si>
  <si>
    <t>SUCCESS</t>
  </si>
  <si>
    <t>FACTORY CLEANER</t>
  </si>
  <si>
    <t>C1882</t>
  </si>
  <si>
    <t>MOMOH</t>
  </si>
  <si>
    <t>FITTER SUPERVISOR</t>
  </si>
  <si>
    <t>C1888</t>
  </si>
  <si>
    <t>YEKINI</t>
  </si>
  <si>
    <t>OLATUNJI</t>
  </si>
  <si>
    <t>C1920</t>
  </si>
  <si>
    <t>LATEEF</t>
  </si>
  <si>
    <t>AZEEZ</t>
  </si>
  <si>
    <t>BLASTER/PAINTER</t>
  </si>
  <si>
    <t>C1924</t>
  </si>
  <si>
    <t>ANIMASHAUN</t>
  </si>
  <si>
    <t>AFEES</t>
  </si>
  <si>
    <t>C1931</t>
  </si>
  <si>
    <t>ABIODUN</t>
  </si>
  <si>
    <t>EZEKIEL</t>
  </si>
  <si>
    <t>C1938</t>
  </si>
  <si>
    <t>ONYEMERI</t>
  </si>
  <si>
    <t>ABRAHAM</t>
  </si>
  <si>
    <t>C1966</t>
  </si>
  <si>
    <t>ADEMOLA</t>
  </si>
  <si>
    <t>C1967</t>
  </si>
  <si>
    <t>ADESUGBA</t>
  </si>
  <si>
    <t>C1975</t>
  </si>
  <si>
    <t>AKINNIFESI</t>
  </si>
  <si>
    <t>TOYIN</t>
  </si>
  <si>
    <t>DRILLER</t>
  </si>
  <si>
    <t>C1979</t>
  </si>
  <si>
    <t>YUSUF</t>
  </si>
  <si>
    <t>C1982</t>
  </si>
  <si>
    <t>BUSARI</t>
  </si>
  <si>
    <t>WASIU</t>
  </si>
  <si>
    <t>C1983</t>
  </si>
  <si>
    <t>EBEYE</t>
  </si>
  <si>
    <t>EMEKA</t>
  </si>
  <si>
    <t>PAINTER</t>
  </si>
  <si>
    <t>C2000</t>
  </si>
  <si>
    <t>KAREEM</t>
  </si>
  <si>
    <t>3G SMAW WELDER</t>
  </si>
  <si>
    <t>C2002</t>
  </si>
  <si>
    <t>NWOSU</t>
  </si>
  <si>
    <t>CHIBUEZE</t>
  </si>
  <si>
    <t>6G WELDER</t>
  </si>
  <si>
    <t>C2011</t>
  </si>
  <si>
    <t>AJAYI</t>
  </si>
  <si>
    <t>ADEBAYO</t>
  </si>
  <si>
    <t>FITTER</t>
  </si>
  <si>
    <t>C2015</t>
  </si>
  <si>
    <t>AMUNE</t>
  </si>
  <si>
    <t>FESTUS</t>
  </si>
  <si>
    <t>C2023</t>
  </si>
  <si>
    <t>IDIKA</t>
  </si>
  <si>
    <t>DAVID</t>
  </si>
  <si>
    <t>SCAFFOLDER</t>
  </si>
  <si>
    <t>C2052</t>
  </si>
  <si>
    <t>OGWUCHE</t>
  </si>
  <si>
    <t>ACHEM</t>
  </si>
  <si>
    <t>C2083</t>
  </si>
  <si>
    <t>STEVE</t>
  </si>
  <si>
    <t>C2087</t>
  </si>
  <si>
    <t>NKANU</t>
  </si>
  <si>
    <t>THOMPSON</t>
  </si>
  <si>
    <t>C2088</t>
  </si>
  <si>
    <t>RABIU</t>
  </si>
  <si>
    <t>CRANE OPERATOR &amp; RIGGER</t>
  </si>
  <si>
    <t>C2097</t>
  </si>
  <si>
    <t>COKER</t>
  </si>
  <si>
    <t>C2098</t>
  </si>
  <si>
    <t>OLAITAN</t>
  </si>
  <si>
    <t>C2116</t>
  </si>
  <si>
    <t>OJADA</t>
  </si>
  <si>
    <t>FAMOUS</t>
  </si>
  <si>
    <t>C2129</t>
  </si>
  <si>
    <t>OSINEKE</t>
  </si>
  <si>
    <t>ANDREW</t>
  </si>
  <si>
    <t>C2130</t>
  </si>
  <si>
    <t>ATOYEBI</t>
  </si>
  <si>
    <t>SHOLA</t>
  </si>
  <si>
    <t>C2136</t>
  </si>
  <si>
    <t>NGELE</t>
  </si>
  <si>
    <t>JAMES</t>
  </si>
  <si>
    <t>C2154</t>
  </si>
  <si>
    <t>BANKOLE</t>
  </si>
  <si>
    <t>SOLOMON</t>
  </si>
  <si>
    <t>C2171</t>
  </si>
  <si>
    <t>AZEMOBO</t>
  </si>
  <si>
    <t>C2236</t>
  </si>
  <si>
    <t>KELVIN</t>
  </si>
  <si>
    <t>C2290</t>
  </si>
  <si>
    <t>OLUWATOSIN</t>
  </si>
  <si>
    <t>C2291</t>
  </si>
  <si>
    <t>FITTER MATE</t>
  </si>
  <si>
    <t>C2300</t>
  </si>
  <si>
    <t>TAIWO</t>
  </si>
  <si>
    <t>C2326</t>
  </si>
  <si>
    <t>AIYEDE</t>
  </si>
  <si>
    <t>C2328</t>
  </si>
  <si>
    <t>C2337</t>
  </si>
  <si>
    <t>OLOWU</t>
  </si>
  <si>
    <t>SAHEED</t>
  </si>
  <si>
    <t>C2338</t>
  </si>
  <si>
    <t>AKANLE</t>
  </si>
  <si>
    <t>OLADIPUPO</t>
  </si>
  <si>
    <t>C2340</t>
  </si>
  <si>
    <t>IFEANYI</t>
  </si>
  <si>
    <t>3G WELDER</t>
  </si>
  <si>
    <t>C2341</t>
  </si>
  <si>
    <t>UDECHUKWU</t>
  </si>
  <si>
    <t>C2342</t>
  </si>
  <si>
    <t>OGUNBIYI</t>
  </si>
  <si>
    <t>C2343</t>
  </si>
  <si>
    <t>ADEYEYE</t>
  </si>
  <si>
    <t>ADESOJI</t>
  </si>
  <si>
    <t>C2383</t>
  </si>
  <si>
    <t>OYEWOLE</t>
  </si>
  <si>
    <t>C2387</t>
  </si>
  <si>
    <t>ADEKUNLE</t>
  </si>
  <si>
    <t>KOLAWOLE</t>
  </si>
  <si>
    <t>C2394</t>
  </si>
  <si>
    <t>IDOWU</t>
  </si>
  <si>
    <t>KETTLE</t>
  </si>
  <si>
    <t>C2395</t>
  </si>
  <si>
    <t>AKEEM</t>
  </si>
  <si>
    <t>AKINGBADE</t>
  </si>
  <si>
    <t>C2396</t>
  </si>
  <si>
    <t>AKINDELE</t>
  </si>
  <si>
    <t>MUSBAU</t>
  </si>
  <si>
    <t>ALIYU</t>
  </si>
  <si>
    <t>C2404</t>
  </si>
  <si>
    <t>AMEH</t>
  </si>
  <si>
    <t>MATHEW</t>
  </si>
  <si>
    <t>C2408</t>
  </si>
  <si>
    <t>ANTHONY</t>
  </si>
  <si>
    <t>LAWRENCE</t>
  </si>
  <si>
    <t>SKIMMER TECHNICIAN</t>
  </si>
  <si>
    <t>C2410</t>
  </si>
  <si>
    <t>AFENIFORO</t>
  </si>
  <si>
    <t>AYODELE</t>
  </si>
  <si>
    <t>C2412</t>
  </si>
  <si>
    <t>BABATUNDE</t>
  </si>
  <si>
    <t>OYELEYE</t>
  </si>
  <si>
    <t>C2413</t>
  </si>
  <si>
    <t>UBANI</t>
  </si>
  <si>
    <t>C2421</t>
  </si>
  <si>
    <t>OKPE</t>
  </si>
  <si>
    <t>C2422</t>
  </si>
  <si>
    <t>UDEH</t>
  </si>
  <si>
    <t>C2427</t>
  </si>
  <si>
    <t>EBELE</t>
  </si>
  <si>
    <t>SIMON</t>
  </si>
  <si>
    <t>C2431</t>
  </si>
  <si>
    <t>EZEBIRO</t>
  </si>
  <si>
    <t>C2438</t>
  </si>
  <si>
    <t>EZENWA</t>
  </si>
  <si>
    <t>C2443</t>
  </si>
  <si>
    <t>GANIYU</t>
  </si>
  <si>
    <t>ADEBIYI</t>
  </si>
  <si>
    <t>C2445</t>
  </si>
  <si>
    <t>GODWIN</t>
  </si>
  <si>
    <t>C2449</t>
  </si>
  <si>
    <t>ICHUKWU</t>
  </si>
  <si>
    <t>PETER</t>
  </si>
  <si>
    <t>C2456</t>
  </si>
  <si>
    <t>IMONI</t>
  </si>
  <si>
    <t>OGAH</t>
  </si>
  <si>
    <t>RIGGER</t>
  </si>
  <si>
    <t>C2460</t>
  </si>
  <si>
    <t>JACOB</t>
  </si>
  <si>
    <t>AKPO</t>
  </si>
  <si>
    <t>C2462</t>
  </si>
  <si>
    <t>JAMIU</t>
  </si>
  <si>
    <t>NASIRU</t>
  </si>
  <si>
    <t>C2463</t>
  </si>
  <si>
    <t>JANET</t>
  </si>
  <si>
    <t>F</t>
  </si>
  <si>
    <t>C2469</t>
  </si>
  <si>
    <t>KINGSLEY</t>
  </si>
  <si>
    <t>OBIEJE</t>
  </si>
  <si>
    <t>C2470</t>
  </si>
  <si>
    <t>LAWAL</t>
  </si>
  <si>
    <t>C2477</t>
  </si>
  <si>
    <t>GAMBO</t>
  </si>
  <si>
    <t>C2483</t>
  </si>
  <si>
    <t>OBILIKWU</t>
  </si>
  <si>
    <t>JOHN</t>
  </si>
  <si>
    <t>C2484</t>
  </si>
  <si>
    <t>OBINNA</t>
  </si>
  <si>
    <t>ONUOHA</t>
  </si>
  <si>
    <t>C2491</t>
  </si>
  <si>
    <t>OGUNYEMI</t>
  </si>
  <si>
    <t>C2492</t>
  </si>
  <si>
    <t>TIMOTHY</t>
  </si>
  <si>
    <t>C2506</t>
  </si>
  <si>
    <t>ONOJA</t>
  </si>
  <si>
    <t>C2507</t>
  </si>
  <si>
    <t>ONWUNTA</t>
  </si>
  <si>
    <t>CHINEMERE</t>
  </si>
  <si>
    <t>C2512</t>
  </si>
  <si>
    <t>OVAT</t>
  </si>
  <si>
    <t>QC ASSISTANCE</t>
  </si>
  <si>
    <t>C2513</t>
  </si>
  <si>
    <t>OWOLABI</t>
  </si>
  <si>
    <t>OLAYIWOLA</t>
  </si>
  <si>
    <t>C2515</t>
  </si>
  <si>
    <t>KAZEEM</t>
  </si>
  <si>
    <t>C2516</t>
  </si>
  <si>
    <t>OZILI</t>
  </si>
  <si>
    <t>NDUBUISI</t>
  </si>
  <si>
    <t>C2522</t>
  </si>
  <si>
    <t>RASAK</t>
  </si>
  <si>
    <t>C2523</t>
  </si>
  <si>
    <t>OMOGBOLAHAN</t>
  </si>
  <si>
    <t>C2526</t>
  </si>
  <si>
    <t>ROMANUS</t>
  </si>
  <si>
    <t>ABLE</t>
  </si>
  <si>
    <t>C2534</t>
  </si>
  <si>
    <t>STANLEY</t>
  </si>
  <si>
    <t>C2536</t>
  </si>
  <si>
    <t>EMMANUEL</t>
  </si>
  <si>
    <t>C2537</t>
  </si>
  <si>
    <t>SIMIRE</t>
  </si>
  <si>
    <t>C2555</t>
  </si>
  <si>
    <t>EZE</t>
  </si>
  <si>
    <t>C2585</t>
  </si>
  <si>
    <t>AZIEKWE</t>
  </si>
  <si>
    <t>C2597</t>
  </si>
  <si>
    <t>IRIKEFE</t>
  </si>
  <si>
    <t>OYABUGBE</t>
  </si>
  <si>
    <t>C2604</t>
  </si>
  <si>
    <t>ADAH</t>
  </si>
  <si>
    <t>PATRICK</t>
  </si>
  <si>
    <t>C2605</t>
  </si>
  <si>
    <t>ONAJI</t>
  </si>
  <si>
    <t>C2607</t>
  </si>
  <si>
    <t>ADEOSUN</t>
  </si>
  <si>
    <t>C0695</t>
  </si>
  <si>
    <t>AWOYEMI</t>
  </si>
  <si>
    <t>JULIUS</t>
  </si>
  <si>
    <t>C1229</t>
  </si>
  <si>
    <t>OLAWALE</t>
  </si>
  <si>
    <t>SHITTU</t>
  </si>
  <si>
    <t>C1544</t>
  </si>
  <si>
    <t>ADENIYI</t>
  </si>
  <si>
    <t>JOSEPH</t>
  </si>
  <si>
    <t>C1607</t>
  </si>
  <si>
    <t>CHUKWUDUMEBI</t>
  </si>
  <si>
    <t>CNC OPERATOR</t>
  </si>
  <si>
    <t>C1686</t>
  </si>
  <si>
    <t>FRED</t>
  </si>
  <si>
    <t>MICAH</t>
  </si>
  <si>
    <t>C1771</t>
  </si>
  <si>
    <t>BADEJO</t>
  </si>
  <si>
    <t>C1772</t>
  </si>
  <si>
    <t>C1870</t>
  </si>
  <si>
    <t>OHIEMBOR</t>
  </si>
  <si>
    <t>C1933</t>
  </si>
  <si>
    <t>ADESEYE</t>
  </si>
  <si>
    <t>TAJUDEEN</t>
  </si>
  <si>
    <t>C1954</t>
  </si>
  <si>
    <t>AKPAN</t>
  </si>
  <si>
    <t>KUFREOBONG</t>
  </si>
  <si>
    <t>C1955</t>
  </si>
  <si>
    <t>OKERE</t>
  </si>
  <si>
    <t>C1989</t>
  </si>
  <si>
    <t>SADIQ</t>
  </si>
  <si>
    <t>STORE MATE</t>
  </si>
  <si>
    <t>C2080</t>
  </si>
  <si>
    <t>C2082</t>
  </si>
  <si>
    <t>ADEBANJO</t>
  </si>
  <si>
    <t>OKEOWO</t>
  </si>
  <si>
    <t>C2121</t>
  </si>
  <si>
    <t>C2138</t>
  </si>
  <si>
    <t>C2193</t>
  </si>
  <si>
    <t>EMEH</t>
  </si>
  <si>
    <t>C2220</t>
  </si>
  <si>
    <t>UGBEKILE</t>
  </si>
  <si>
    <t>ABEL</t>
  </si>
  <si>
    <t>C2221</t>
  </si>
  <si>
    <t>YUNUS</t>
  </si>
  <si>
    <t>KAMORUDEEN</t>
  </si>
  <si>
    <t>C2222</t>
  </si>
  <si>
    <t>EZEAGU</t>
  </si>
  <si>
    <t>C2224</t>
  </si>
  <si>
    <t>AGBATA</t>
  </si>
  <si>
    <t>CHRISTIAN</t>
  </si>
  <si>
    <t>C2225</t>
  </si>
  <si>
    <t>C2614</t>
  </si>
  <si>
    <t>ADELEKE</t>
  </si>
  <si>
    <t>C2615</t>
  </si>
  <si>
    <t>HART</t>
  </si>
  <si>
    <t>CECILIA</t>
  </si>
  <si>
    <t>C2622</t>
  </si>
  <si>
    <t>AUDU</t>
  </si>
  <si>
    <t>C2623</t>
  </si>
  <si>
    <t>NWACHUKWU</t>
  </si>
  <si>
    <t>C2626</t>
  </si>
  <si>
    <t>BONIFACE</t>
  </si>
  <si>
    <t>C2482</t>
  </si>
  <si>
    <t>C2632</t>
  </si>
  <si>
    <t>OGUNBONA</t>
  </si>
  <si>
    <t>AYUBA</t>
  </si>
  <si>
    <t>C2633</t>
  </si>
  <si>
    <t>KENECHUKWU</t>
  </si>
  <si>
    <t>C1926</t>
  </si>
  <si>
    <t>NGOZIKA</t>
  </si>
  <si>
    <t>NZEDURU</t>
  </si>
  <si>
    <t>C2319</t>
  </si>
  <si>
    <t>TORTI</t>
  </si>
  <si>
    <t>C2647</t>
  </si>
  <si>
    <t>ADEYEMI</t>
  </si>
  <si>
    <t>HENRY</t>
  </si>
  <si>
    <t>C2663</t>
  </si>
  <si>
    <t>JEREMIAH</t>
  </si>
  <si>
    <t>C2664</t>
  </si>
  <si>
    <t>C2690</t>
  </si>
  <si>
    <t>OJO</t>
  </si>
  <si>
    <t>C2697</t>
  </si>
  <si>
    <t>YERIMA</t>
  </si>
  <si>
    <t>C2699</t>
  </si>
  <si>
    <t>AKINMOLADUN</t>
  </si>
  <si>
    <t>AKINLABI</t>
  </si>
  <si>
    <t>C2704</t>
  </si>
  <si>
    <t>ADEBISI</t>
  </si>
  <si>
    <t>OLALEKAN</t>
  </si>
  <si>
    <t>C2722</t>
  </si>
  <si>
    <t>ADENIJI</t>
  </si>
  <si>
    <t>C2724</t>
  </si>
  <si>
    <t>AMANOKHAI</t>
  </si>
  <si>
    <t>MOSES</t>
  </si>
  <si>
    <t>WELDER MATE</t>
  </si>
  <si>
    <t>C2725</t>
  </si>
  <si>
    <t>AMODU</t>
  </si>
  <si>
    <t>C2728</t>
  </si>
  <si>
    <t>UDOH</t>
  </si>
  <si>
    <t>C2751</t>
  </si>
  <si>
    <t>ODUNNIYI</t>
  </si>
  <si>
    <t>FUAD</t>
  </si>
  <si>
    <t>C2757</t>
  </si>
  <si>
    <t>BENJAMIN</t>
  </si>
  <si>
    <t>C2760</t>
  </si>
  <si>
    <t>TEMIDAYO</t>
  </si>
  <si>
    <t>C2776</t>
  </si>
  <si>
    <t>C2790</t>
  </si>
  <si>
    <t>OLUWASEYI</t>
  </si>
  <si>
    <t>C2795</t>
  </si>
  <si>
    <t>IDOKO</t>
  </si>
  <si>
    <t>C2805</t>
  </si>
  <si>
    <t>UZOMA</t>
  </si>
  <si>
    <t>VERONICA</t>
  </si>
  <si>
    <t>C2806</t>
  </si>
  <si>
    <t>C2808</t>
  </si>
  <si>
    <t>CHIJOKE</t>
  </si>
  <si>
    <t>C2813</t>
  </si>
  <si>
    <t>AKINGBOYE</t>
  </si>
  <si>
    <t>GIDEON</t>
  </si>
  <si>
    <t>C2812</t>
  </si>
  <si>
    <t>ONABANJO</t>
  </si>
  <si>
    <t>C2810</t>
  </si>
  <si>
    <t>EKWERE</t>
  </si>
  <si>
    <t>C2814</t>
  </si>
  <si>
    <t>FASHINA</t>
  </si>
  <si>
    <t>AYOMIDE</t>
  </si>
  <si>
    <t>C2815</t>
  </si>
  <si>
    <t>OKPUTU</t>
  </si>
  <si>
    <t>PAUL</t>
  </si>
  <si>
    <t>C2817</t>
  </si>
  <si>
    <t>FATOYINBO</t>
  </si>
  <si>
    <t>C2818</t>
  </si>
  <si>
    <t>ODJEGBA</t>
  </si>
  <si>
    <t>C2816</t>
  </si>
  <si>
    <t>ANANU</t>
  </si>
  <si>
    <t>C2820</t>
  </si>
  <si>
    <t>SAMAILA</t>
  </si>
  <si>
    <t>HELPER</t>
  </si>
  <si>
    <t>C2819</t>
  </si>
  <si>
    <t>AWE</t>
  </si>
  <si>
    <t>C2823</t>
  </si>
  <si>
    <t>AMADI</t>
  </si>
  <si>
    <t>VALINS</t>
  </si>
  <si>
    <t>C2824</t>
  </si>
  <si>
    <t>SALAWU</t>
  </si>
  <si>
    <t>C2822</t>
  </si>
  <si>
    <t>EBIALE</t>
  </si>
  <si>
    <t>Employee Bank Details</t>
  </si>
  <si>
    <t>Contractor Name</t>
  </si>
  <si>
    <t>Bank</t>
  </si>
  <si>
    <t>Account No</t>
  </si>
  <si>
    <t>Sort Code</t>
  </si>
  <si>
    <t>NET Salary</t>
  </si>
  <si>
    <t>Location</t>
  </si>
  <si>
    <t>KALU AGWU OKWARA OKWARA</t>
  </si>
  <si>
    <t>Fidelity Bank Plc</t>
  </si>
  <si>
    <t>4020099243</t>
  </si>
  <si>
    <t>070150003</t>
  </si>
  <si>
    <t xml:space="preserve">OLANIYAN OLAKUNLE  </t>
  </si>
  <si>
    <t>Guaranty Trust Bank Plc</t>
  </si>
  <si>
    <t>0128756772</t>
  </si>
  <si>
    <t>058152052</t>
  </si>
  <si>
    <t xml:space="preserve">FEMI BELLO  </t>
  </si>
  <si>
    <t>Access Bank Plc</t>
  </si>
  <si>
    <t>0000214630</t>
  </si>
  <si>
    <t>044150149</t>
  </si>
  <si>
    <t xml:space="preserve">ETUERI STEPHEN  </t>
  </si>
  <si>
    <t>Zenith Bank Plc</t>
  </si>
  <si>
    <t>2082484750</t>
  </si>
  <si>
    <t>1</t>
  </si>
  <si>
    <t xml:space="preserve">EJEH DONATUS  </t>
  </si>
  <si>
    <t>0147788781</t>
  </si>
  <si>
    <t xml:space="preserve">OGHENERIE VINCENT  </t>
  </si>
  <si>
    <t>6050577180</t>
  </si>
  <si>
    <t xml:space="preserve">OGWUA CHRIS  </t>
  </si>
  <si>
    <t>6231398469</t>
  </si>
  <si>
    <t xml:space="preserve">ADEKOYA ADEWALE  </t>
  </si>
  <si>
    <t>Polaris Bank</t>
  </si>
  <si>
    <t>3011580494</t>
  </si>
  <si>
    <t>076151006</t>
  </si>
  <si>
    <t xml:space="preserve">VINCENT NNAMDI  </t>
  </si>
  <si>
    <t>4020099542</t>
  </si>
  <si>
    <t xml:space="preserve">OKEKE VINCENT  </t>
  </si>
  <si>
    <t>Stanbic IBTC Bank Plc</t>
  </si>
  <si>
    <t>0033804939</t>
  </si>
  <si>
    <t>221150014</t>
  </si>
  <si>
    <t xml:space="preserve">MBAMARA RICHARD  </t>
  </si>
  <si>
    <t>6237537987</t>
  </si>
  <si>
    <t xml:space="preserve">ROTIMI MATTHEW  </t>
  </si>
  <si>
    <t>0212808307</t>
  </si>
  <si>
    <t xml:space="preserve">IBRAHIM MOHAMMED  </t>
  </si>
  <si>
    <t>0026316672</t>
  </si>
  <si>
    <t xml:space="preserve">JEROME MICHAEL  </t>
  </si>
  <si>
    <t>Skye Bank</t>
  </si>
  <si>
    <t>1762982279</t>
  </si>
  <si>
    <t xml:space="preserve">EBUNO KENNEDY  </t>
  </si>
  <si>
    <t>6050582735</t>
  </si>
  <si>
    <t>SAMUEL JONAH EMEWU EMEWU</t>
  </si>
  <si>
    <t>1120728895</t>
  </si>
  <si>
    <t xml:space="preserve">MBOCHI MONDAY  </t>
  </si>
  <si>
    <t>6050583110</t>
  </si>
  <si>
    <t xml:space="preserve">OKORO SUNDAY  </t>
  </si>
  <si>
    <t>0005790172</t>
  </si>
  <si>
    <t xml:space="preserve">EGBUJOR MATTHEW  </t>
  </si>
  <si>
    <t>6050576224</t>
  </si>
  <si>
    <t xml:space="preserve">ADAOWO ALPHONSUS  </t>
  </si>
  <si>
    <t>6050582041</t>
  </si>
  <si>
    <t xml:space="preserve">ISINGUZO FRIDAY  </t>
  </si>
  <si>
    <t>6050576516</t>
  </si>
  <si>
    <t>OKORIE SUCCESS JAMES JAMES</t>
  </si>
  <si>
    <t>6230277554</t>
  </si>
  <si>
    <t xml:space="preserve">MOHAMMED MOMOH  </t>
  </si>
  <si>
    <t>First Bank of Nigeria Limited</t>
  </si>
  <si>
    <t>2011119362</t>
  </si>
  <si>
    <t>011151003</t>
  </si>
  <si>
    <t xml:space="preserve">YEKINI OLATUNJI  </t>
  </si>
  <si>
    <t>2087765843</t>
  </si>
  <si>
    <t xml:space="preserve">LATEEF AZEEZ  </t>
  </si>
  <si>
    <t>0158086137</t>
  </si>
  <si>
    <t xml:space="preserve">ANIMASHAUN AFEES  </t>
  </si>
  <si>
    <t>223848464</t>
  </si>
  <si>
    <t xml:space="preserve">ONYEMERI ABRAHAM  </t>
  </si>
  <si>
    <t>6050571047</t>
  </si>
  <si>
    <t xml:space="preserve">BELLO ADEMOLA  </t>
  </si>
  <si>
    <t>0867442055</t>
  </si>
  <si>
    <t xml:space="preserve">ADESUGBA SUNDAY  </t>
  </si>
  <si>
    <t>2394961798</t>
  </si>
  <si>
    <t xml:space="preserve">WAHABI YUSUF  </t>
  </si>
  <si>
    <t>4020103186</t>
  </si>
  <si>
    <t xml:space="preserve">BUSARI WASIU  </t>
  </si>
  <si>
    <t>0140792282</t>
  </si>
  <si>
    <t xml:space="preserve">EBEYE EMEKA  </t>
  </si>
  <si>
    <t>Ecobank Nigeria</t>
  </si>
  <si>
    <t>0810054009</t>
  </si>
  <si>
    <t>050150311</t>
  </si>
  <si>
    <t xml:space="preserve">NWOSU CHIBUEZE  </t>
  </si>
  <si>
    <t>3044682139</t>
  </si>
  <si>
    <t xml:space="preserve">IDIKA DAVID  </t>
  </si>
  <si>
    <t>4020099308</t>
  </si>
  <si>
    <t xml:space="preserve">OGWUCHE ACHEM  </t>
  </si>
  <si>
    <t>3033479667</t>
  </si>
  <si>
    <t xml:space="preserve">OYELEYE LATEEF  </t>
  </si>
  <si>
    <t>1120728888</t>
  </si>
  <si>
    <t xml:space="preserve">OJADA FAMOUS  </t>
  </si>
  <si>
    <t>3068413463</t>
  </si>
  <si>
    <t xml:space="preserve">OSINEKE ANDREW  </t>
  </si>
  <si>
    <t>Sterling Bank Plc</t>
  </si>
  <si>
    <t>0066528123</t>
  </si>
  <si>
    <t>232150016</t>
  </si>
  <si>
    <t xml:space="preserve">ATOYEBI SHOLA  </t>
  </si>
  <si>
    <t>2389297884</t>
  </si>
  <si>
    <t xml:space="preserve">BANKOLE SOLOMON  </t>
  </si>
  <si>
    <t>2284108306</t>
  </si>
  <si>
    <t>IWUAGWU KELVIN NDUBUISI NDUBUISI</t>
  </si>
  <si>
    <t>4020101058</t>
  </si>
  <si>
    <t xml:space="preserve">AIYEDE SUNDAY  </t>
  </si>
  <si>
    <t>0037716580</t>
  </si>
  <si>
    <t xml:space="preserve">OLOWU SAHEED  </t>
  </si>
  <si>
    <t>6050577386</t>
  </si>
  <si>
    <t xml:space="preserve">ADEKUNLE KOLAWOLE  </t>
  </si>
  <si>
    <t>1019909914</t>
  </si>
  <si>
    <t>United Bank for Africa Plc</t>
  </si>
  <si>
    <t>033150011</t>
  </si>
  <si>
    <t xml:space="preserve">AMEH MATHEW  </t>
  </si>
  <si>
    <t>2190500645</t>
  </si>
  <si>
    <t xml:space="preserve">AFENIFORO AYODELE  </t>
  </si>
  <si>
    <t>4070334353</t>
  </si>
  <si>
    <t xml:space="preserve">DANIEL OKPE  </t>
  </si>
  <si>
    <t>2066834128</t>
  </si>
  <si>
    <t>DAVID UDEH ANTHONY ANTHONY</t>
  </si>
  <si>
    <t>0034111065</t>
  </si>
  <si>
    <t xml:space="preserve">EBELE SIMON  </t>
  </si>
  <si>
    <t>6171895932</t>
  </si>
  <si>
    <t xml:space="preserve">EZENWA CHIBUZOR  </t>
  </si>
  <si>
    <t>2209301498</t>
  </si>
  <si>
    <t xml:space="preserve"> AKOR GODWIN  </t>
  </si>
  <si>
    <t>0569721821</t>
  </si>
  <si>
    <t xml:space="preserve">ICHUKWU PETER  </t>
  </si>
  <si>
    <t>0599364867</t>
  </si>
  <si>
    <t xml:space="preserve">IMONI OGAH  </t>
  </si>
  <si>
    <t>1766485586</t>
  </si>
  <si>
    <t xml:space="preserve">JAMIU NASIRU  </t>
  </si>
  <si>
    <t>2051749974</t>
  </si>
  <si>
    <t xml:space="preserve"> JAMES JANET  </t>
  </si>
  <si>
    <t>2416428162</t>
  </si>
  <si>
    <t xml:space="preserve">KINGSLEY OBIEJE  </t>
  </si>
  <si>
    <t>3015587072</t>
  </si>
  <si>
    <t xml:space="preserve">LAWAL YEKINI  </t>
  </si>
  <si>
    <t>0005774860</t>
  </si>
  <si>
    <t>MOHAMMED GAMBO SULE SULE</t>
  </si>
  <si>
    <t>0032786269</t>
  </si>
  <si>
    <t xml:space="preserve">OBILIKWU RAPHAEL  </t>
  </si>
  <si>
    <t>2419467034</t>
  </si>
  <si>
    <t xml:space="preserve">OGWUA TIMOTHY  </t>
  </si>
  <si>
    <t>2157120651</t>
  </si>
  <si>
    <t xml:space="preserve">ONWUNTA CHINEMERE  </t>
  </si>
  <si>
    <t>2000484152</t>
  </si>
  <si>
    <t xml:space="preserve">OWOLABI OLAYIWOLA  </t>
  </si>
  <si>
    <t>3052773276</t>
  </si>
  <si>
    <t xml:space="preserve">OYEWOLE KAZEEM  </t>
  </si>
  <si>
    <t>4318480624</t>
  </si>
  <si>
    <t xml:space="preserve">ROMANUS ABLE  </t>
  </si>
  <si>
    <t>Union Bank of Nigeria Plc</t>
  </si>
  <si>
    <t>0107453467</t>
  </si>
  <si>
    <t>032154568</t>
  </si>
  <si>
    <t xml:space="preserve">SUNDAY EMMANUEL  </t>
  </si>
  <si>
    <t>0422659368</t>
  </si>
  <si>
    <t xml:space="preserve">SUNDAY SIMIRE  </t>
  </si>
  <si>
    <t>2157448368</t>
  </si>
  <si>
    <t xml:space="preserve">IRIKEFE OYABUGBE  </t>
  </si>
  <si>
    <t>6050576994</t>
  </si>
  <si>
    <t>ADAH PATRICK OHEME OHEME</t>
  </si>
  <si>
    <t>2117347573</t>
  </si>
  <si>
    <t xml:space="preserve">ONAJI FRIDAY  </t>
  </si>
  <si>
    <t>2111014563</t>
  </si>
  <si>
    <t xml:space="preserve">HART CECILIA  </t>
  </si>
  <si>
    <t>2191783951</t>
  </si>
  <si>
    <t xml:space="preserve">NWACHUKWU MONDAY  </t>
  </si>
  <si>
    <t>2001413067</t>
  </si>
  <si>
    <t xml:space="preserve">JOHN AUDU  </t>
  </si>
  <si>
    <t>0006050248</t>
  </si>
  <si>
    <t xml:space="preserve">OKPE BONIFACE  </t>
  </si>
  <si>
    <t>2000466774</t>
  </si>
  <si>
    <t>First City Monument Bank Limited</t>
  </si>
  <si>
    <t>214150018</t>
  </si>
  <si>
    <t xml:space="preserve">AMANOKHAI MOSES  </t>
  </si>
  <si>
    <t>0064990863</t>
  </si>
  <si>
    <t>AMODU HENRY AUDU AUDU</t>
  </si>
  <si>
    <t>0128450939</t>
  </si>
  <si>
    <t>UDOH CHRISTIAN AMOS AMOS</t>
  </si>
  <si>
    <t>0060933874</t>
  </si>
  <si>
    <t>SUNDAY OLANREWAJU ISAIAH ISAIAH</t>
  </si>
  <si>
    <t>4450033961</t>
  </si>
  <si>
    <t xml:space="preserve">ALIYU MUHAMMAD  </t>
  </si>
  <si>
    <t>3207165556</t>
  </si>
  <si>
    <t xml:space="preserve">UZOMA VERONICA  </t>
  </si>
  <si>
    <t>0087128423</t>
  </si>
  <si>
    <t xml:space="preserve">UZOMA CHIJOKE  </t>
  </si>
  <si>
    <t>2111002511</t>
  </si>
  <si>
    <t xml:space="preserve">SAMAILA BILKISU  </t>
  </si>
  <si>
    <t>1038928167</t>
  </si>
  <si>
    <t>4020105283</t>
  </si>
  <si>
    <t>0606367290</t>
  </si>
  <si>
    <t>6160593533</t>
  </si>
  <si>
    <t>0014252324</t>
  </si>
  <si>
    <t>0664256978</t>
  </si>
  <si>
    <t>2188685084</t>
  </si>
  <si>
    <t>2088853873</t>
  </si>
  <si>
    <t>2003154957</t>
  </si>
  <si>
    <t>6050576451</t>
  </si>
  <si>
    <t>6018734020</t>
  </si>
  <si>
    <t>1569397211</t>
  </si>
  <si>
    <t>0529092048</t>
  </si>
  <si>
    <t>1120638260</t>
  </si>
  <si>
    <t>2394529051</t>
  </si>
  <si>
    <t>5330087207</t>
  </si>
  <si>
    <t>0161014864</t>
  </si>
  <si>
    <t>0866418255</t>
  </si>
  <si>
    <t>3030040677</t>
  </si>
  <si>
    <t>0617100383</t>
  </si>
  <si>
    <t>0032045417</t>
  </si>
  <si>
    <t>0050434986</t>
  </si>
  <si>
    <t>0012647155</t>
  </si>
  <si>
    <t>0380660017</t>
  </si>
  <si>
    <t>2011090472</t>
  </si>
  <si>
    <t>3032298829</t>
  </si>
  <si>
    <t>Keystone Bank Limited</t>
  </si>
  <si>
    <t>6009423385</t>
  </si>
  <si>
    <t>082150001</t>
  </si>
  <si>
    <t>0066759134</t>
  </si>
  <si>
    <t>0123564138</t>
  </si>
  <si>
    <t>2039233996</t>
  </si>
  <si>
    <t>2005048698</t>
  </si>
  <si>
    <t>6025776173</t>
  </si>
  <si>
    <t>6018833662</t>
  </si>
  <si>
    <t>3001372574</t>
  </si>
  <si>
    <t>4020098239</t>
  </si>
  <si>
    <t>0036948885</t>
  </si>
  <si>
    <t>3042849785</t>
  </si>
  <si>
    <t>3057402544</t>
  </si>
  <si>
    <t>2119101245</t>
  </si>
  <si>
    <t>0040479212</t>
  </si>
  <si>
    <t>1144340412</t>
  </si>
  <si>
    <t>2057877770</t>
  </si>
  <si>
    <t>0019229341</t>
  </si>
  <si>
    <t>4020103980</t>
  </si>
  <si>
    <t>4211388821</t>
  </si>
  <si>
    <t>3015733305</t>
  </si>
  <si>
    <t>2066237547</t>
  </si>
  <si>
    <t>6050577207</t>
  </si>
  <si>
    <t>3039181245</t>
  </si>
  <si>
    <t>2000941660</t>
  </si>
  <si>
    <t>0454234939</t>
  </si>
  <si>
    <t>0029521873</t>
  </si>
  <si>
    <t>0150661422</t>
  </si>
  <si>
    <t xml:space="preserve">HAMMED IDOWU  </t>
  </si>
  <si>
    <t>0729570216</t>
  </si>
  <si>
    <t>4020097988</t>
  </si>
  <si>
    <t xml:space="preserve">AKINDELE MUSBAU  </t>
  </si>
  <si>
    <t>5330178152</t>
  </si>
  <si>
    <t xml:space="preserve">ANTHONY LAWRENCE  </t>
  </si>
  <si>
    <t>0742476502</t>
  </si>
  <si>
    <t>2089542877</t>
  </si>
  <si>
    <t>2036688430</t>
  </si>
  <si>
    <t xml:space="preserve">GANIYU ADEBIYI  </t>
  </si>
  <si>
    <t>0254241197</t>
  </si>
  <si>
    <t>1001802817</t>
  </si>
  <si>
    <t>2401190357</t>
  </si>
  <si>
    <t>6011571039</t>
  </si>
  <si>
    <t>3022947106</t>
  </si>
  <si>
    <t xml:space="preserve">ONOJA MICHAEL  </t>
  </si>
  <si>
    <t>0797313568</t>
  </si>
  <si>
    <t xml:space="preserve">OVAT SUNDAY  </t>
  </si>
  <si>
    <t>4243185836</t>
  </si>
  <si>
    <t>1403985606</t>
  </si>
  <si>
    <t xml:space="preserve">RASAK JAMIU  </t>
  </si>
  <si>
    <t>0743000458</t>
  </si>
  <si>
    <t>0938563632</t>
  </si>
  <si>
    <t>2190497792</t>
  </si>
  <si>
    <t>4020097940</t>
  </si>
  <si>
    <t>243811</t>
  </si>
  <si>
    <t>0800170320</t>
  </si>
  <si>
    <t>0162107947</t>
  </si>
  <si>
    <t>0152834824</t>
  </si>
  <si>
    <t>5791052220</t>
  </si>
  <si>
    <t>3069237992</t>
  </si>
  <si>
    <t>0714034161</t>
  </si>
  <si>
    <t>2251223076</t>
  </si>
  <si>
    <t>0109040744</t>
  </si>
  <si>
    <t>3089124775</t>
  </si>
  <si>
    <t>2018278211</t>
  </si>
  <si>
    <t>0139087591</t>
  </si>
  <si>
    <t>2252901698</t>
  </si>
  <si>
    <t>0918465347</t>
  </si>
  <si>
    <t>0069947431</t>
  </si>
  <si>
    <t>6035361932</t>
  </si>
  <si>
    <t>Wema Bank Plc</t>
  </si>
  <si>
    <t>0238485392</t>
  </si>
  <si>
    <t>0270332072</t>
  </si>
  <si>
    <t>0468239331</t>
  </si>
  <si>
    <t>3025811857</t>
  </si>
  <si>
    <t>0016498346</t>
  </si>
  <si>
    <t>1226218497</t>
  </si>
  <si>
    <t>2393427301</t>
  </si>
  <si>
    <t>3054243198</t>
  </si>
  <si>
    <t>6017773770</t>
  </si>
  <si>
    <t>0233753896</t>
  </si>
  <si>
    <t>2002378560</t>
  </si>
  <si>
    <t>2171959394</t>
  </si>
  <si>
    <t>6023280856</t>
  </si>
  <si>
    <t>2011099918</t>
  </si>
  <si>
    <t>2225208513</t>
  </si>
  <si>
    <t>2267726679</t>
  </si>
  <si>
    <t>3031302466</t>
  </si>
  <si>
    <t>Contractor Code</t>
  </si>
  <si>
    <t>First Name</t>
  </si>
  <si>
    <t>Last Name</t>
  </si>
  <si>
    <t>Job Title</t>
  </si>
  <si>
    <t>GRINDER/PWHT ASSISTANT</t>
  </si>
  <si>
    <t>SMAW&amp;GTAW (CS) WELDER</t>
  </si>
  <si>
    <t>IDI-IDI  ORO</t>
  </si>
  <si>
    <t>AKOR</t>
  </si>
  <si>
    <t>RAPHEAL</t>
  </si>
  <si>
    <t>OGUWA</t>
  </si>
  <si>
    <t xml:space="preserve">WELDER </t>
  </si>
  <si>
    <t>OLAREWAJU</t>
  </si>
  <si>
    <t>CHIBUZO</t>
  </si>
  <si>
    <t>JAME</t>
  </si>
  <si>
    <t>IWAUGWU</t>
  </si>
  <si>
    <t>WAHAB</t>
  </si>
  <si>
    <t>BANDSAW</t>
  </si>
  <si>
    <t>CRANE OPERATOR</t>
  </si>
  <si>
    <t xml:space="preserve">6G GTAW </t>
  </si>
  <si>
    <t>SCALFOLDER</t>
  </si>
  <si>
    <t>MICHAE</t>
  </si>
  <si>
    <t>IDI-IDI_ORO</t>
  </si>
  <si>
    <t>BILIKISU</t>
  </si>
  <si>
    <t>Daily Rate</t>
  </si>
  <si>
    <t>AGE</t>
  </si>
  <si>
    <t>Total Weekday</t>
  </si>
  <si>
    <t>Total Saturday</t>
  </si>
  <si>
    <t>Total Sunday</t>
  </si>
  <si>
    <t>Public Holiday</t>
  </si>
  <si>
    <t>Weekday OVT</t>
  </si>
  <si>
    <t>Night Worked</t>
  </si>
  <si>
    <t>Wkd Earning</t>
  </si>
  <si>
    <t>Wkd Ovt Amt</t>
  </si>
  <si>
    <t>Sat Ovt Amt</t>
  </si>
  <si>
    <t>Sun Ovt Amt</t>
  </si>
  <si>
    <t>PH Amt</t>
  </si>
  <si>
    <t>Night Amt</t>
  </si>
  <si>
    <t>Meal Allowance</t>
  </si>
  <si>
    <t>Transport</t>
  </si>
  <si>
    <t>Total Earnings</t>
  </si>
  <si>
    <t>WHT</t>
  </si>
  <si>
    <t>Gross Amount</t>
  </si>
  <si>
    <t>WAREHOUSE OFFICER</t>
  </si>
  <si>
    <t>PHC-TCM</t>
  </si>
  <si>
    <t>Site Allowance</t>
  </si>
  <si>
    <t>TCM Meal</t>
  </si>
  <si>
    <t>TCM TRANSPORT</t>
  </si>
  <si>
    <t>MICHEAL</t>
  </si>
  <si>
    <t>WALE</t>
  </si>
  <si>
    <t>ORJIKA</t>
  </si>
  <si>
    <t>FITTER / CNC OPR</t>
  </si>
  <si>
    <t>LIFTNG SUP.</t>
  </si>
  <si>
    <t>MUYIWA</t>
  </si>
  <si>
    <t>BLASTER / PAINTER</t>
  </si>
  <si>
    <t>AHMED</t>
  </si>
  <si>
    <t>DUROJAIYE</t>
  </si>
  <si>
    <t>AIGBOVBOILE</t>
  </si>
  <si>
    <t xml:space="preserve">BABA </t>
  </si>
  <si>
    <t>PREP. SUP</t>
  </si>
  <si>
    <t>JIMMY</t>
  </si>
  <si>
    <t>JUDE</t>
  </si>
  <si>
    <t>ADEGBOLADE</t>
  </si>
  <si>
    <t>ERAGHARE</t>
  </si>
  <si>
    <t>GABRIEL</t>
  </si>
  <si>
    <t>MUSA</t>
  </si>
  <si>
    <t>FITTER-MATE</t>
  </si>
  <si>
    <t>OKEY</t>
  </si>
  <si>
    <t xml:space="preserve">TIMOTHY </t>
  </si>
  <si>
    <t>ADEKANBI</t>
  </si>
  <si>
    <t>MUYIDEEN</t>
  </si>
  <si>
    <t>SMAW +FCAW WELDER</t>
  </si>
  <si>
    <t xml:space="preserve">USMAN </t>
  </si>
  <si>
    <t>TACK WELDER</t>
  </si>
  <si>
    <t>BARTHOLOMEN</t>
  </si>
  <si>
    <t>ADESHINA</t>
  </si>
  <si>
    <t>SWAW + FCAW</t>
  </si>
  <si>
    <t>OKONIYA</t>
  </si>
  <si>
    <t>DLPC</t>
  </si>
  <si>
    <t>Total</t>
  </si>
  <si>
    <t>C2825</t>
  </si>
  <si>
    <t>ISMAIL</t>
  </si>
  <si>
    <t>AKANDE</t>
  </si>
  <si>
    <t>C2096</t>
  </si>
  <si>
    <t>C2826</t>
  </si>
  <si>
    <t>BLASTER</t>
  </si>
  <si>
    <t>CHARLES</t>
  </si>
  <si>
    <t>AKAKA</t>
  </si>
  <si>
    <t>TUNDE</t>
  </si>
  <si>
    <t>Arrears</t>
  </si>
  <si>
    <t>C2827</t>
  </si>
  <si>
    <t>AGEGE</t>
  </si>
  <si>
    <t>JIMOH GBADAMOSI</t>
  </si>
  <si>
    <t>MATHIAS LUKPATA</t>
  </si>
  <si>
    <t>ADANOU RAYMOND</t>
  </si>
  <si>
    <t>MOMODU BASHRU</t>
  </si>
  <si>
    <t>OLUGBENGA DARAMOLA</t>
  </si>
  <si>
    <t>SAVIOUR ITORO</t>
  </si>
  <si>
    <t>UMA KALU</t>
  </si>
  <si>
    <t>EZEKIEL ABIODUN</t>
  </si>
  <si>
    <t>FESTUS AMUNE</t>
  </si>
  <si>
    <t>SUNDAY COKER</t>
  </si>
  <si>
    <t>FEMI OLAITAN</t>
  </si>
  <si>
    <t>OLADIPUPO AKANLE</t>
  </si>
  <si>
    <t>TAIWO OGUNBIYI</t>
  </si>
  <si>
    <t>ADESOJI ADEYEYE</t>
  </si>
  <si>
    <t>AKINGBADE AKEEM</t>
  </si>
  <si>
    <t>OYELEYE BABATUNDE</t>
  </si>
  <si>
    <t>EZEBIRO EMEKA</t>
  </si>
  <si>
    <t>AKPO JACOB</t>
  </si>
  <si>
    <t>ONUOHA OBINNA</t>
  </si>
  <si>
    <t>AYODELE OGUNYEMI</t>
  </si>
  <si>
    <t>NDUBUISI OZILI</t>
  </si>
  <si>
    <t>OMOGBOLAHAN RASAK</t>
  </si>
  <si>
    <t>OVAT STANLEY</t>
  </si>
  <si>
    <t>RASAK ADEOSUN</t>
  </si>
  <si>
    <t>JULIUS AWOYEMI</t>
  </si>
  <si>
    <t>IDOWU GANIYU</t>
  </si>
  <si>
    <t>KUFREOBONG AKPAN</t>
  </si>
  <si>
    <t>AIYEDE OKERE</t>
  </si>
  <si>
    <t>OLAWALE SADIQ</t>
  </si>
  <si>
    <t>OKEOWO ADEBANJO</t>
  </si>
  <si>
    <t>JULIUS TAIWO</t>
  </si>
  <si>
    <t>DAVID EMEH</t>
  </si>
  <si>
    <t>ABEL UGBEKILE</t>
  </si>
  <si>
    <t>KAMORUDEEN YUNUS</t>
  </si>
  <si>
    <t>ANTHONY EZEAGU</t>
  </si>
  <si>
    <t>CHRISTIAN AGBATA</t>
  </si>
  <si>
    <t>ABEL DANIEL</t>
  </si>
  <si>
    <t>AYUBA OGUNBONA</t>
  </si>
  <si>
    <t>SUNDAY KENECHUKWU</t>
  </si>
  <si>
    <t>NZEDURU NGOZIKA</t>
  </si>
  <si>
    <t>JEREMIAH DAVID</t>
  </si>
  <si>
    <t>PETER OJO</t>
  </si>
  <si>
    <t>YERIMA SUNDAY</t>
  </si>
  <si>
    <t>TEMIDAYO AJAYI</t>
  </si>
  <si>
    <t>MICAH FRED</t>
  </si>
  <si>
    <t>SHITTU WALE</t>
  </si>
  <si>
    <t>ABIODUN OYEWOLE</t>
  </si>
  <si>
    <t>ORJIKA CHUKWUDUMEBI</t>
  </si>
  <si>
    <t>JOSEPH ADENIYI</t>
  </si>
  <si>
    <t>MUYIWA BADEJO</t>
  </si>
  <si>
    <t>TAJUDEEN ADESEYE</t>
  </si>
  <si>
    <t>AKINNIFESI TOYIN</t>
  </si>
  <si>
    <t>OBILIKWU JOHN</t>
  </si>
  <si>
    <t>JAMES NGELE</t>
  </si>
  <si>
    <t>DANIEL UDECHUKWU</t>
  </si>
  <si>
    <t>ADEDOYIN DUROJAIYE</t>
  </si>
  <si>
    <t>OLUWASEYI ADEBANJO</t>
  </si>
  <si>
    <t>STANLEY AIGBOVBOILE</t>
  </si>
  <si>
    <t>BABA  IDOKO</t>
  </si>
  <si>
    <t>JOHN OHIEMBOR</t>
  </si>
  <si>
    <t>NDUBUISI TORTI</t>
  </si>
  <si>
    <t>JIMMY UDOH</t>
  </si>
  <si>
    <t>JUDE EZE</t>
  </si>
  <si>
    <t>SUNDAY ADENIJI</t>
  </si>
  <si>
    <t>RABIU ADEGBOLADE</t>
  </si>
  <si>
    <t>EKWERE AKPAN</t>
  </si>
  <si>
    <t>AJAYI ADEBAYO</t>
  </si>
  <si>
    <t>GIDEON AKINGBOYE</t>
  </si>
  <si>
    <t>IDOWU ADELEKE</t>
  </si>
  <si>
    <t>AKINLABI AKINMOLADUN</t>
  </si>
  <si>
    <t>STEVE ERAGHARE</t>
  </si>
  <si>
    <t>ADEBISI OLALEKAN</t>
  </si>
  <si>
    <t>TAIWO GABRIEL</t>
  </si>
  <si>
    <t>MUSA AZEMOBO</t>
  </si>
  <si>
    <t>FUAD ODUNNIYI</t>
  </si>
  <si>
    <t>OKEY NGELE</t>
  </si>
  <si>
    <t>AYOMIDE FASHINA</t>
  </si>
  <si>
    <t>WASIU ONABANJO</t>
  </si>
  <si>
    <t>IFEANYI ABEL</t>
  </si>
  <si>
    <t>TIMOTHY  ADEKANBI</t>
  </si>
  <si>
    <t>EMMANUEL AZIEKWE</t>
  </si>
  <si>
    <t>SALAWU MUYIDEEN</t>
  </si>
  <si>
    <t>VALINS AMADI</t>
  </si>
  <si>
    <t>USMAN  KAREEM</t>
  </si>
  <si>
    <t>UBANI BARTHOLOMEN</t>
  </si>
  <si>
    <t>OLUWATOSIN ADEBAYO</t>
  </si>
  <si>
    <t>ADESHINA ADEYEMI</t>
  </si>
  <si>
    <t>ADEKUNLE AWE</t>
  </si>
  <si>
    <t>PETER ODJEGBA</t>
  </si>
  <si>
    <t>DANIEL NWODO</t>
  </si>
  <si>
    <t>SAMUEL FATOYINBO</t>
  </si>
  <si>
    <t>PAUL OKPUTU</t>
  </si>
  <si>
    <t>CHIBUZO ANANU</t>
  </si>
  <si>
    <t>BENJAMIN OKONIYA</t>
  </si>
  <si>
    <t>NKANU THOMPSON</t>
  </si>
  <si>
    <t>EBIALE VINCENT</t>
  </si>
  <si>
    <t>ISMAIL AKANDE</t>
  </si>
  <si>
    <t>SUNDAY OWOLABI</t>
  </si>
  <si>
    <t>CHARLES AKAKA</t>
  </si>
  <si>
    <t>TUNDE OYEWOLE</t>
  </si>
  <si>
    <t>COMPANY</t>
  </si>
  <si>
    <t>DLE</t>
  </si>
  <si>
    <t>HEADCOUNT</t>
  </si>
  <si>
    <t>GROSS PAY</t>
  </si>
  <si>
    <t>NET PAY</t>
  </si>
  <si>
    <t>AUGUST 2026 DAYRATE PAYMENT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</si>
</sst>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7"/>
      <name val="Verdana"/>
      <family val="2"/>
    </font>
    <font>
      <sz val="7"/>
      <name val="Verdana"/>
      <family val="2"/>
    </font>
    <font>
      <sz val="6"/>
      <name val="Verdana"/>
      <family val="2"/>
    </font>
    <font>
      <sz val="7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right" vertical="top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0" fontId="3" fillId="0" borderId="0" xfId="0" applyFont="1" applyAlignment="1">
      <alignment horizontal="left" vertical="center" wrapText="1" shrinkToFit="1" readingOrder="1"/>
    </xf>
    <xf numFmtId="4" fontId="2" fillId="0" borderId="0" xfId="0" applyNumberFormat="1" applyFont="1" applyAlignment="1">
      <alignment horizontal="right" vertical="center" wrapText="1" shrinkToFit="1" readingOrder="1"/>
    </xf>
    <xf numFmtId="43" fontId="0" fillId="0" borderId="0" xfId="0" applyNumberFormat="1"/>
    <xf numFmtId="43" fontId="7" fillId="0" borderId="0" xfId="1" applyFont="1"/>
    <xf numFmtId="0" fontId="1" fillId="0" borderId="0" xfId="0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0" fontId="0" fillId="2" borderId="0" xfId="0" applyFill="1"/>
    <xf numFmtId="4" fontId="0" fillId="2" borderId="0" xfId="0" applyNumberFormat="1" applyFill="1"/>
    <xf numFmtId="43" fontId="0" fillId="2" borderId="0" xfId="0" applyNumberFormat="1" applyFill="1"/>
    <xf numFmtId="49" fontId="10" fillId="0" borderId="0" xfId="0" applyNumberFormat="1" applyFont="1" applyAlignment="1">
      <alignment horizontal="left" vertical="top" wrapText="1" shrinkToFit="1" readingOrder="1"/>
    </xf>
    <xf numFmtId="0" fontId="11" fillId="0" borderId="0" xfId="0" applyFont="1"/>
    <xf numFmtId="49" fontId="10" fillId="0" borderId="0" xfId="0" applyNumberFormat="1" applyFont="1" applyAlignment="1">
      <alignment horizontal="left" vertical="center" wrapText="1" shrinkToFit="1" readingOrder="1"/>
    </xf>
    <xf numFmtId="4" fontId="10" fillId="0" borderId="0" xfId="0" applyNumberFormat="1" applyFont="1" applyAlignment="1">
      <alignment horizontal="right" vertical="center" wrapText="1" shrinkToFit="1" readingOrder="1"/>
    </xf>
    <xf numFmtId="4" fontId="11" fillId="0" borderId="0" xfId="0" applyNumberFormat="1" applyFont="1"/>
    <xf numFmtId="0" fontId="9" fillId="0" borderId="0" xfId="0" applyFont="1"/>
  </cellXfs>
  <cellStyles count="2">
    <cellStyle name="Comma" xfId="1" builtinId="3"/>
    <cellStyle name="Normal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family val="2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family val="2"/>
        <scheme val="none"/>
      </font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Verdana"/>
        <scheme val="none"/>
      </font>
      <numFmt numFmtId="4" formatCode="#,##0.00"/>
      <alignment horizontal="righ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1" indent="0" justifyLastLine="0" shrinkToFit="1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top" textRotation="0" wrapText="1" indent="0" justifyLastLine="0" shrinkToFit="1" readingOrder="1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30" formatCode="@"/>
      <alignment horizontal="left" vertical="center" textRotation="0" wrapText="1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1" indent="0" justifyLastLine="0" shrinkToFit="1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top" textRotation="0" wrapText="1" indent="0" justifyLastLine="0" shrinkToFit="1" readingOrder="1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5" formatCode="_(* #,##0.00_);_(* \(#,##0.00\);_(* &quot;-&quot;??_);_(@_)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C3B717-8159-47AC-9BFF-4F1EF8C7501C}" name="Table7" displayName="Table7" ref="A3:D6" totalsRowCount="1">
  <autoFilter ref="A3:D5" xr:uid="{82C3B717-8159-47AC-9BFF-4F1EF8C7501C}"/>
  <tableColumns count="4">
    <tableColumn id="1" xr3:uid="{57CAA51A-973E-4C88-88A0-9D5C66810408}" name="COMPANY" totalsRowLabel="Total"/>
    <tableColumn id="2" xr3:uid="{717AD2D4-FDAE-45C3-AEBD-EBDBCA173132}" name="HEADCOUNT" totalsRowFunction="sum">
      <calculatedColumnFormula>Table52[[#Totals],[Contractor Code]]</calculatedColumnFormula>
    </tableColumn>
    <tableColumn id="3" xr3:uid="{B2719325-DACC-4D36-918C-1ED226BAF8B3}" name="GROSS PAY" totalsRowFunction="sum" dataDxfId="6">
      <calculatedColumnFormula>Table52[[#Totals],[Gross Amount]]</calculatedColumnFormula>
    </tableColumn>
    <tableColumn id="4" xr3:uid="{8ED697CA-13CA-4917-9BBC-8089EB55EFD8}" name="NET PAY" totalsRowFunction="sum" dataDxfId="5">
      <calculatedColumnFormula>Table52[[#Totals],[Amount Payable]]</calculatedColumnFormula>
    </tableColumn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28B760-A5F1-40C6-A8A1-3C3FF4A29E80}" name="Table4" displayName="Table4" ref="A1:AB182" totalsRowCount="1">
  <autoFilter ref="A1:AB181" xr:uid="{F228B760-A5F1-40C6-A8A1-3C3FF4A29E80}"/>
  <tableColumns count="28">
    <tableColumn id="1" xr3:uid="{31950060-AD8D-4CE6-B606-EE3362781C5A}" name="Contractor Code" totalsRowFunction="count"/>
    <tableColumn id="2" xr3:uid="{760F89D9-EFE6-490B-A3F6-FDEA0F9615A8}" name="First Name"/>
    <tableColumn id="3" xr3:uid="{E4FC8B79-2521-49B0-8CE7-9F86CD972954}" name="Last Name"/>
    <tableColumn id="4" xr3:uid="{0890C841-432A-456E-857C-93BE315B3E68}" name="Job Title"/>
    <tableColumn id="5" xr3:uid="{4CE3D16F-9375-4D0A-AFA7-DD3534A699CC}" name="Location"/>
    <tableColumn id="6" xr3:uid="{950DECCD-7737-4BDF-88EA-EE5995651485}" name="Daily Rate" dataDxfId="107"/>
    <tableColumn id="7" xr3:uid="{A4C7486F-6D5D-4DA8-AF19-8F33618FF8C7}" name="AGE" dataDxfId="106"/>
    <tableColumn id="8" xr3:uid="{437F9E5C-48C4-4B63-BD07-C29482C5B8D6}" name="Gender" dataDxfId="105"/>
    <tableColumn id="10" xr3:uid="{48803063-064E-42F7-9445-39753D5C0C5D}" name="Total Weekday" totalsRowFunction="sum" dataDxfId="104"/>
    <tableColumn id="31" xr3:uid="{97775B51-24FE-4D7A-8EF8-9AAC50E49FE5}" name="Weekday OVT" totalsRowFunction="sum" dataDxfId="103"/>
    <tableColumn id="11" xr3:uid="{D6EFF488-D63E-43D5-8418-35614E764DEC}" name="Total Saturday" totalsRowFunction="sum" dataDxfId="102"/>
    <tableColumn id="12" xr3:uid="{201E0686-0B7F-40D9-B6E6-AEEF160C3D1E}" name="Total Sunday" totalsRowFunction="sum" dataDxfId="101"/>
    <tableColumn id="14" xr3:uid="{23CFC9CF-F610-4CD2-BBD9-9CB70A192F15}" name="Night Worked" totalsRowFunction="sum" dataDxfId="100"/>
    <tableColumn id="15" xr3:uid="{2C39E6D4-98FC-43EF-B6CF-976C0E67603C}" name="Wkd Earning" totalsRowFunction="sum" dataDxfId="99" totalsRowDxfId="98">
      <calculatedColumnFormula>Table4[[#This Row],[Total Weekday]]*Table4[[#This Row],[Daily Rate]]</calculatedColumnFormula>
    </tableColumn>
    <tableColumn id="16" xr3:uid="{A6F366D7-0EE0-493C-ADEB-48808FEEFBCF}" name="Wkd Ovt Amt" totalsRowFunction="sum" dataDxfId="97" totalsRowDxfId="96">
      <calculatedColumnFormula>Table4[[#This Row],[Daily Rate]]/8*1.5*Table4[[#This Row],[Weekday OVT]]</calculatedColumnFormula>
    </tableColumn>
    <tableColumn id="17" xr3:uid="{2463F5BF-2846-43B1-A283-C9230B76E131}" name="Sat Ovt Amt" totalsRowFunction="sum" dataDxfId="95" totalsRowDxfId="94">
      <calculatedColumnFormula>Table4[[#This Row],[Daily Rate]]/8*(1.5*Table4[[#This Row],[Total Saturday]])</calculatedColumnFormula>
    </tableColumn>
    <tableColumn id="18" xr3:uid="{32A4D824-5701-44A6-94D8-3934C4088C1C}" name="Sun Ovt Amt" totalsRowFunction="sum" dataDxfId="93" totalsRowDxfId="92">
      <calculatedColumnFormula>Table4[[#This Row],[Daily Rate]]/8*(2*Table4[[#This Row],[Total Sunday]])</calculatedColumnFormula>
    </tableColumn>
    <tableColumn id="20" xr3:uid="{7B6C1A13-964B-49B2-ACB9-284F5F2EF933}" name="Night Amt" totalsRowFunction="sum" dataDxfId="34" totalsRowDxfId="91">
      <calculatedColumnFormula>2500*Table4[[#This Row],[Night Worked]]</calculatedColumnFormula>
    </tableColumn>
    <tableColumn id="21" xr3:uid="{B900D480-BC3E-4F0C-8C49-8CEF353E4B4C}" name="Meal Allowance" totalsRowFunction="sum" dataDxfId="90" totalsRowDxfId="89">
      <calculatedColumnFormula>500*Table4[[#This Row],[Total Weekday]]</calculatedColumnFormula>
    </tableColumn>
    <tableColumn id="22" xr3:uid="{6729F751-B2D2-46A9-B5B2-0DF968883A3D}" name="Transport" totalsRowFunction="sum" dataDxfId="88" totalsRowDxfId="87"/>
    <tableColumn id="32" xr3:uid="{A1CF7E45-FFF4-4952-91B5-84BCDA572832}" name="Site Allowance" totalsRowFunction="sum" dataDxfId="86" totalsRowDxfId="85"/>
    <tableColumn id="33" xr3:uid="{3C8EC9F9-99A8-436E-9E25-4A6C22250DBD}" name="TCM Meal" totalsRowFunction="sum" dataDxfId="84" totalsRowDxfId="83"/>
    <tableColumn id="34" xr3:uid="{01E86A64-0C98-4312-A84F-4104E3D4E096}" name="TCM TRANSPORT" totalsRowFunction="sum" dataDxfId="82" totalsRowDxfId="81"/>
    <tableColumn id="28" xr3:uid="{FD644107-4899-4AEF-99B8-C17534EF3138}" name="Arrears" totalsRowDxfId="36"/>
    <tableColumn id="24" xr3:uid="{C113C416-DB3D-4155-9D37-B9A14AF9BF93}" name="Total Earnings" totalsRowFunction="sum" dataDxfId="35" totalsRowDxfId="80">
      <calculatedColumnFormula>SUM(Table4[[#This Row],[Wkd Earning]:[Arrears]])</calculatedColumnFormula>
    </tableColumn>
    <tableColumn id="25" xr3:uid="{7A27D229-7DA8-4C53-BD12-D0F7930242FA}" name="WHT" totalsRowFunction="sum" dataDxfId="79" totalsRowDxfId="78">
      <calculatedColumnFormula>0.05*Table4[[#This Row],[Total Earnings]]</calculatedColumnFormula>
    </tableColumn>
    <tableColumn id="26" xr3:uid="{03F39323-67CB-4CD7-8007-08DDB3237504}" name="Gross Amount" totalsRowFunction="sum" dataDxfId="77" totalsRowDxfId="76">
      <calculatedColumnFormula>Table4[[#This Row],[Total Earnings]]</calculatedColumnFormula>
    </tableColumn>
    <tableColumn id="27" xr3:uid="{854673A5-D69E-4230-955A-B66AE6458634}" name="Amount Payable" totalsRowFunction="sum" dataDxfId="75" totalsRowDxfId="74">
      <calculatedColumnFormula>Table4[[#This Row],[Gross Amount]]-Table4[[#This Row],[WHT]]</calculatedColumnFormula>
    </tableColumn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9EEE8-5F08-452E-85C0-4E4EA28B6935}" name="Table52" displayName="Table52" ref="A1:Y9" totalsRowCount="1">
  <autoFilter ref="A1:Y8" xr:uid="{E32ECF88-A0B8-44AB-9AF8-CD6E83981F7C}"/>
  <tableColumns count="25">
    <tableColumn id="1" xr3:uid="{879CEBDD-0466-4B91-B8E6-321A2F45C71B}" name="Contractor Code" totalsRowFunction="count"/>
    <tableColumn id="2" xr3:uid="{B2921B26-E14F-4114-AB18-A331F0EEC4F9}" name="First Name"/>
    <tableColumn id="3" xr3:uid="{4957A7AE-5203-41F6-806E-6F5B1857FE95}" name="Last Name"/>
    <tableColumn id="4" xr3:uid="{43C7F6B8-4544-4E44-80D0-C2F308A5F564}" name="Job Title"/>
    <tableColumn id="6" xr3:uid="{C9CF9068-4A09-4DD1-9F23-4FCF9FCA70F3}" name="Daily Rate" totalsRowFunction="sum" dataDxfId="73" totalsRowDxfId="72"/>
    <tableColumn id="7" xr3:uid="{86B9BB5C-7B03-4CE8-A6BD-B7079B6E8081}" name="Age" dataDxfId="71"/>
    <tableColumn id="8" xr3:uid="{83F5057E-4C40-4F1D-BF2A-1159C5C247D1}" name="Gender" dataDxfId="70"/>
    <tableColumn id="9" xr3:uid="{D4D029F4-6D39-4109-B3F0-26B1BF4180DF}" name="Total Weekday" totalsRowFunction="sum" dataDxfId="69"/>
    <tableColumn id="10" xr3:uid="{A398F111-6EE5-42F5-8886-AF3DB12EE8C2}" name="Weekday OVT" totalsRowFunction="sum" dataDxfId="68"/>
    <tableColumn id="11" xr3:uid="{C0A683D4-BDB0-404D-89D1-DBB8943FDD76}" name="Total Saturday" totalsRowFunction="sum" dataDxfId="67"/>
    <tableColumn id="12" xr3:uid="{DFB3845F-59C8-4242-91DC-A3DD9EBC7323}" name="Total Sunday" dataDxfId="66"/>
    <tableColumn id="13" xr3:uid="{4F6EDF5A-BEAD-41EC-B60D-85D06529EACB}" name="Public Holiday" dataDxfId="65"/>
    <tableColumn id="14" xr3:uid="{47FEDB3B-45E6-4A3E-BBBF-3C191CDF2B43}" name="Night Worked" dataDxfId="64"/>
    <tableColumn id="15" xr3:uid="{D7CE082B-EF1E-4948-B47D-EC7192D31A30}" name="Wkd Earning" totalsRowFunction="sum" dataDxfId="63" totalsRowDxfId="62">
      <calculatedColumnFormula>Table52[[#This Row],[Total Weekday]]*Table52[[#This Row],[Daily Rate]]</calculatedColumnFormula>
    </tableColumn>
    <tableColumn id="16" xr3:uid="{99B3C450-786F-4890-A3F4-3FAA92FEDF28}" name="Wkd Ovt Amt" totalsRowFunction="sum" dataDxfId="61" totalsRowDxfId="60">
      <calculatedColumnFormula>Table52[[#This Row],[Daily Rate]]/8*(1.5*Table52[[#This Row],[Weekday OVT]])</calculatedColumnFormula>
    </tableColumn>
    <tableColumn id="17" xr3:uid="{DA214CFC-9996-404A-B86C-DFF57413AADB}" name="Sat Ovt Amt" totalsRowFunction="sum" dataDxfId="59" totalsRowDxfId="58">
      <calculatedColumnFormula>Table52[[#This Row],[Daily Rate]]/8*(1.5*Table52[[#This Row],[Total Saturday]])</calculatedColumnFormula>
    </tableColumn>
    <tableColumn id="18" xr3:uid="{FCD7FFBC-6A06-4892-A66D-F0903750A08D}" name="Sun Ovt Amt" totalsRowFunction="sum" dataDxfId="57" totalsRowDxfId="56">
      <calculatedColumnFormula>Table52[[#This Row],[Daily Rate]]/8*(2*Table52[[#This Row],[Total Sunday]])</calculatedColumnFormula>
    </tableColumn>
    <tableColumn id="19" xr3:uid="{59AF9F9B-13AD-4585-8947-D38CD66548DF}" name="PH Amt" totalsRowFunction="sum" dataDxfId="55" totalsRowDxfId="54">
      <calculatedColumnFormula>Table52[[#This Row],[Daily Rate]]/8*(2*Table52[[#This Row],[Public Holiday]])</calculatedColumnFormula>
    </tableColumn>
    <tableColumn id="20" xr3:uid="{95884946-E4A0-426D-8A52-DFF3FA2D385C}" name="Night Amt" totalsRowFunction="sum" dataDxfId="53" totalsRowDxfId="52">
      <calculatedColumnFormula>1100*Table52[[#This Row],[Night Worked]]</calculatedColumnFormula>
    </tableColumn>
    <tableColumn id="21" xr3:uid="{5216F9CD-872B-460E-9B65-4C46B927D6B7}" name="Meal Allowance" totalsRowFunction="sum" dataDxfId="51" totalsRowDxfId="50">
      <calculatedColumnFormula>500*Table52[[#This Row],[Total Weekday]]</calculatedColumnFormula>
    </tableColumn>
    <tableColumn id="22" xr3:uid="{88584199-BAAC-4DDE-AE64-7B80AD84FEA4}" name="Transport" totalsRowFunction="sum" dataDxfId="49" totalsRowDxfId="48"/>
    <tableColumn id="24" xr3:uid="{F2C34763-CEF9-420E-BD70-A8F974012039}" name="Total Earnings" totalsRowFunction="sum" dataDxfId="47" totalsRowDxfId="46">
      <calculatedColumnFormula>SUM(Table52[[#This Row],[Wkd Earning]:[Transport]])</calculatedColumnFormula>
    </tableColumn>
    <tableColumn id="25" xr3:uid="{291F6EEF-ABBC-404F-8C62-AD07A6A5B5E9}" name="WHT" totalsRowFunction="sum" dataDxfId="45" totalsRowDxfId="44">
      <calculatedColumnFormula>0.05*Table52[[#This Row],[Total Earnings]]</calculatedColumnFormula>
    </tableColumn>
    <tableColumn id="26" xr3:uid="{0D60A6A0-4C1F-46F3-AC26-B27E3E8EA8D9}" name="Gross Amount" totalsRowFunction="sum" dataDxfId="43" totalsRowDxfId="42">
      <calculatedColumnFormula>Table52[[#This Row],[Total Earnings]]</calculatedColumnFormula>
    </tableColumn>
    <tableColumn id="27" xr3:uid="{7514F117-7F32-409A-A421-9FE34F2CEFEF}" name="Amount Payable" totalsRowFunction="sum" dataDxfId="41" totalsRowDxfId="40">
      <calculatedColumnFormula>Table52[[#This Row],[Gross Amount]]-Table52[[#This Row],[WHT]]</calculatedColumnFormula>
    </tableColumn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CB3C40-A00F-4434-A556-FA247A36A31E}" name="Table13" displayName="Table13" ref="A2:F183" totalsRowCount="1" headerRowDxfId="39" dataDxfId="38">
  <autoFilter ref="A2:F182" xr:uid="{10C0BE80-A38C-42A8-965F-5848588ECE23}"/>
  <tableColumns count="6">
    <tableColumn id="1" xr3:uid="{1991F4FF-0FAE-42C1-AA74-06A50144A624}" name="Contractor Code" totalsRowFunction="count" dataDxfId="37" totalsRowDxfId="17"/>
    <tableColumn id="2" xr3:uid="{7C3D38E1-A9A2-4AEC-B4E8-0556E8E121CC}" name="Contractor Name" dataDxfId="11" totalsRowDxfId="16"/>
    <tableColumn id="3" xr3:uid="{063C6110-BC13-4CCE-AAE8-588F26C22F19}" name="Bank" dataDxfId="10" totalsRowDxfId="15"/>
    <tableColumn id="4" xr3:uid="{6359A05D-A30E-4C0F-BD71-976A19EDD2A0}" name="Account No" dataDxfId="9" totalsRowDxfId="14"/>
    <tableColumn id="5" xr3:uid="{8AB8D4A0-57CE-4DA2-B7B5-E6BC1AE76202}" name="Sort Code" dataDxfId="8" totalsRowDxfId="13"/>
    <tableColumn id="6" xr3:uid="{FA4EDA64-3059-4D8B-BFD4-D5ABBF2E4E25}" name="NET Salary" totalsRowFunction="sum" dataDxfId="7" totalsRowDxfId="12">
      <calculatedColumnFormula>_xlfn.XLOOKUP(Table13[[#This Row],[Contractor Code]],DLE!A:A,DLE!AB:AB)</calculatedColumnFormula>
    </tableColumn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3E5948-5551-4502-9326-EFEF23824C6D}" name="Table146" displayName="Table146" ref="A2:G10" totalsRowCount="1" headerRowDxfId="33" dataDxfId="32">
  <autoFilter ref="A2:G9" xr:uid="{177EE783-07F7-47A8-BBE8-69BB056F0365}"/>
  <tableColumns count="7">
    <tableColumn id="1" xr3:uid="{4C2375F4-4597-4791-9EFB-3B0BDC7BBD73}" name="Contractor Code" totalsRowFunction="count" dataDxfId="31" totalsRowDxfId="24"/>
    <tableColumn id="2" xr3:uid="{4509B2BF-D483-4C64-87FD-44CD7E913D31}" name="Contractor Name" dataDxfId="30" totalsRowDxfId="23"/>
    <tableColumn id="3" xr3:uid="{0F156C07-43EE-4AE7-B892-817F774CCDBF}" name="Bank" dataDxfId="29" totalsRowDxfId="22"/>
    <tableColumn id="4" xr3:uid="{E3CD86A9-A0CB-4443-8508-52A95443B47D}" name="Account No" dataDxfId="28" totalsRowDxfId="21"/>
    <tableColumn id="5" xr3:uid="{F84F2E49-12C4-4685-A776-6562C80184BC}" name="Sort Code" dataDxfId="27" totalsRowDxfId="20"/>
    <tableColumn id="6" xr3:uid="{8BC09ECB-710E-4642-B87B-FABADEFF0FC6}" name="NET Salary" totalsRowFunction="sum" dataDxfId="26" totalsRowDxfId="19">
      <calculatedColumnFormula>_xlfn.XLOOKUP(Table146[[#This Row],[Contractor Code]],#REF!,#REF!)</calculatedColumnFormula>
    </tableColumn>
    <tableColumn id="7" xr3:uid="{8BE5E43F-11BE-4148-900E-51AE09B58FDC}" name="Location" dataDxfId="25" totalsRowDxfId="1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2624-A15E-44AC-8309-2FAA7DC3A7CA}">
  <dimension ref="A1:D5"/>
  <sheetViews>
    <sheetView tabSelected="1" workbookViewId="0">
      <selection activeCell="J8" sqref="J8"/>
    </sheetView>
  </sheetViews>
  <sheetFormatPr defaultRowHeight="14.4" x14ac:dyDescent="0.3"/>
  <cols>
    <col min="1" max="1" width="39.44140625" bestFit="1" customWidth="1"/>
    <col min="2" max="2" width="13.77734375" customWidth="1"/>
    <col min="3" max="3" width="12.5546875" bestFit="1" customWidth="1"/>
    <col min="4" max="4" width="12.6640625" bestFit="1" customWidth="1"/>
  </cols>
  <sheetData>
    <row r="1" spans="1:4" x14ac:dyDescent="0.25">
      <c r="A1" s="18" t="inlineStr">
        <is>
          <t>SEPTEMBER 2026 DAYRATE PAYMENT SCHEDULE</t>
        </is>
      </c>
    </row>
    <row r="2" spans="1:4">
      <c r="A2" t="inlineStr">
        <is>
          <t>COMPANY</t>
        </is>
      </c>
      <c r="B2" t="inlineStr">
        <is>
          <t>HEADCOUNT</t>
        </is>
      </c>
      <c r="C2" t="inlineStr">
        <is>
          <t>GROSS AMOUNT</t>
        </is>
      </c>
      <c r="D2" t="inlineStr">
        <is>
          <t>AMOUNT PAYABLE</t>
        </is>
      </c>
    </row>
    <row r="3" spans="1:4">
      <c r="A3" t="inlineStr">
        <is>
          <t>DLE</t>
        </is>
      </c>
      <c r="B3">
        <v>180</v>
      </c>
      <c r="C3" s="1">
        <v>63654567</v>
      </c>
      <c r="D3" s="1">
        <v>60471838.64</v>
      </c>
    </row>
    <row r="4" spans="1:4">
      <c r="A4" t="inlineStr">
        <is>
          <t>DLPC</t>
        </is>
      </c>
      <c r="B4">
        <v>7</v>
      </c>
      <c r="C4" s="1">
        <v>1490518.75</v>
      </c>
      <c r="D4" s="1">
        <v>1415992.82</v>
      </c>
    </row>
    <row r="5" spans="1:4">
      <c r="A5" t="inlineStr">
        <is>
          <t>Total</t>
        </is>
      </c>
      <c r="B5">
        <v>187</v>
      </c>
      <c r="C5" s="1">
        <v>65145085.75</v>
      </c>
      <c r="D5" s="1">
        <v>61887831.46</v>
      </c>
    </row>
  </sheetData>
  <pageMargins left="0.7" right="0.7" top="0.75" bottom="0.75" header="0.3" footer="0.3"/>
  <ignoredErrors>
    <ignoredError sqref="B4:D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C446-B2A7-4A90-AD8B-7C16E216F9AB}">
  <dimension ref="A1:AB182"/>
  <sheetViews>
    <sheetView topLeftCell="U170" zoomScale="86" zoomScaleNormal="86" workbookViewId="0">
      <selection activeCell="B185" sqref="B185"/>
    </sheetView>
  </sheetViews>
  <sheetFormatPr defaultRowHeight="14.4" x14ac:dyDescent="0.3"/>
  <cols>
    <col min="1" max="1" width="11.44140625" customWidth="1"/>
    <col min="2" max="2" width="14.88671875" customWidth="1"/>
    <col min="3" max="3" width="13.109375" customWidth="1"/>
    <col min="4" max="4" width="28.44140625" bestFit="1" customWidth="1"/>
    <col min="5" max="5" width="15" bestFit="1" customWidth="1"/>
    <col min="6" max="6" width="10.44140625" customWidth="1"/>
    <col min="7" max="7" width="7.77734375" customWidth="1"/>
    <col min="8" max="8" width="8.5546875" customWidth="1"/>
    <col min="9" max="9" width="12.77734375" customWidth="1"/>
    <col min="10" max="10" width="15.88671875" customWidth="1"/>
    <col min="11" max="11" width="17.77734375" customWidth="1"/>
    <col min="12" max="12" width="16.33203125" customWidth="1"/>
    <col min="13" max="13" width="16.21875" bestFit="1" customWidth="1"/>
    <col min="14" max="14" width="15.21875" bestFit="1" customWidth="1"/>
    <col min="15" max="15" width="16" customWidth="1"/>
    <col min="16" max="16" width="14.6640625" customWidth="1"/>
    <col min="17" max="17" width="15.77734375" bestFit="1" customWidth="1"/>
    <col min="18" max="18" width="13.6640625" bestFit="1" customWidth="1"/>
    <col min="19" max="19" width="18.5546875" bestFit="1" customWidth="1"/>
    <col min="20" max="20" width="14.6640625" customWidth="1"/>
    <col min="21" max="21" width="17.44140625" bestFit="1" customWidth="1"/>
    <col min="22" max="24" width="15" customWidth="1"/>
    <col min="25" max="25" width="16.6640625" bestFit="1" customWidth="1"/>
    <col min="26" max="26" width="17" customWidth="1"/>
    <col min="27" max="27" width="15" bestFit="1" customWidth="1"/>
    <col min="28" max="28" width="14" customWidth="1"/>
  </cols>
  <sheetData>
    <row r="1" spans="1:28" x14ac:dyDescent="0.3">
      <c r="A1" t="s">
        <v>798</v>
      </c>
      <c r="B1" t="s">
        <v>799</v>
      </c>
      <c r="C1" t="s">
        <v>800</v>
      </c>
      <c r="D1" t="s">
        <v>801</v>
      </c>
      <c r="E1" t="s">
        <v>497</v>
      </c>
      <c r="F1" t="s">
        <v>821</v>
      </c>
      <c r="G1" t="s">
        <v>822</v>
      </c>
      <c r="H1" t="s">
        <v>2</v>
      </c>
      <c r="I1" t="s">
        <v>823</v>
      </c>
      <c r="J1" t="s">
        <v>827</v>
      </c>
      <c r="K1" t="s">
        <v>824</v>
      </c>
      <c r="L1" t="s">
        <v>825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834</v>
      </c>
      <c r="S1" t="s">
        <v>835</v>
      </c>
      <c r="T1" t="s">
        <v>836</v>
      </c>
      <c r="U1" t="s">
        <v>842</v>
      </c>
      <c r="V1" t="s">
        <v>843</v>
      </c>
      <c r="W1" t="s">
        <v>844</v>
      </c>
      <c r="X1" t="s">
        <v>886</v>
      </c>
      <c r="Y1" t="s">
        <v>837</v>
      </c>
      <c r="Z1" t="s">
        <v>838</v>
      </c>
      <c r="AA1" t="s">
        <v>839</v>
      </c>
      <c r="AB1" t="s">
        <v>3</v>
      </c>
    </row>
    <row r="2" spans="1:28" x14ac:dyDescent="0.25">
      <c r="A2" t="inlineStr">
        <is>
          <t>C0129</t>
        </is>
      </c>
      <c r="B2" t="inlineStr">
        <is>
          <t>AGWU OKWARA</t>
        </is>
      </c>
      <c r="C2" t="inlineStr">
        <is>
          <t>KALU</t>
        </is>
      </c>
      <c r="D2" t="inlineStr">
        <is>
          <t>GRINDER/PWHT ASSISTANT</t>
        </is>
      </c>
      <c r="E2" t="inlineStr">
        <is>
          <t>IDI_ORO</t>
        </is>
      </c>
      <c r="F2" s="1">
        <v>13050</v>
      </c>
      <c r="G2">
        <v>63</v>
      </c>
      <c r="H2" t="inlineStr">
        <is>
          <t>M</t>
        </is>
      </c>
      <c r="I2">
        <v>21</v>
      </c>
      <c r="J2"/>
      <c r="K2">
        <v>22.4</v>
      </c>
      <c r="L2">
        <v>1</v>
      </c>
      <c r="M2"/>
      <c r="N2" s="1">
        <v>274050</v>
      </c>
      <c r="O2"/>
      <c r="P2" s="1">
        <v>54810</v>
      </c>
      <c r="Q2" s="1">
        <v>3262.5</v>
      </c>
      <c r="R2"/>
      <c r="S2" s="1">
        <v>10500</v>
      </c>
      <c r="T2"/>
      <c r="U2"/>
      <c r="V2"/>
      <c r="W2"/>
      <c r="X2"/>
      <c r="Y2" s="1">
        <v>371985</v>
      </c>
      <c r="Z2" s="1">
        <v>18599.25</v>
      </c>
      <c r="AA2" s="1">
        <v>371985</v>
      </c>
      <c r="AB2" s="1">
        <v>353385.75</v>
      </c>
    </row>
    <row r="3" spans="1:28" x14ac:dyDescent="0.25">
      <c r="A3" t="inlineStr">
        <is>
          <t>C0293</t>
        </is>
      </c>
      <c r="B3" t="inlineStr">
        <is>
          <t>OLAKUNLE</t>
        </is>
      </c>
      <c r="C3" t="inlineStr">
        <is>
          <t>OLANIYAN</t>
        </is>
      </c>
      <c r="D3" t="inlineStr">
        <is>
          <t>ELECTRICIAN</t>
        </is>
      </c>
      <c r="E3" t="inlineStr">
        <is>
          <t>IDI_ORO</t>
        </is>
      </c>
      <c r="F3" s="1">
        <v>10250</v>
      </c>
      <c r="G3">
        <v>57</v>
      </c>
      <c r="H3" t="inlineStr">
        <is>
          <t>M</t>
        </is>
      </c>
      <c r="I3">
        <v>21</v>
      </c>
      <c r="J3">
        <v>2</v>
      </c>
      <c r="K3">
        <v>32</v>
      </c>
      <c r="L3">
        <v>60</v>
      </c>
      <c r="M3">
        <v>5</v>
      </c>
      <c r="N3" s="1">
        <v>215250</v>
      </c>
      <c r="O3" s="1">
        <v>3843.75</v>
      </c>
      <c r="P3" s="1">
        <v>61500</v>
      </c>
      <c r="Q3" s="1">
        <v>153750</v>
      </c>
      <c r="R3" s="1">
        <v>7500</v>
      </c>
      <c r="S3" s="1">
        <v>10500</v>
      </c>
      <c r="T3"/>
      <c r="U3"/>
      <c r="V3"/>
      <c r="W3"/>
      <c r="X3"/>
      <c r="Y3" s="1">
        <v>475406.25</v>
      </c>
      <c r="Z3" s="1">
        <v>23770.31</v>
      </c>
      <c r="AA3" s="1">
        <v>475406.25</v>
      </c>
      <c r="AB3" s="1">
        <v>451635.94</v>
      </c>
    </row>
    <row r="4" spans="1:28" x14ac:dyDescent="0.25">
      <c r="A4" t="inlineStr">
        <is>
          <t>C0585</t>
        </is>
      </c>
      <c r="B4" t="inlineStr">
        <is>
          <t>BELLO</t>
        </is>
      </c>
      <c r="C4" t="inlineStr">
        <is>
          <t>FEMI</t>
        </is>
      </c>
      <c r="D4" t="inlineStr">
        <is>
          <t>SCAFFOLDER  SUPERVISOR</t>
        </is>
      </c>
      <c r="E4" t="inlineStr">
        <is>
          <t>IDI_ORO</t>
        </is>
      </c>
      <c r="F4" s="1">
        <v>16200</v>
      </c>
      <c r="G4">
        <v>61</v>
      </c>
      <c r="H4" t="inlineStr">
        <is>
          <t>M</t>
        </is>
      </c>
      <c r="I4">
        <v>21</v>
      </c>
      <c r="J4"/>
      <c r="K4">
        <v>19.6</v>
      </c>
      <c r="L4">
        <v>9.3</v>
      </c>
      <c r="M4"/>
      <c r="N4" s="1">
        <v>340200</v>
      </c>
      <c r="O4"/>
      <c r="P4" s="1">
        <v>59535</v>
      </c>
      <c r="Q4" s="1">
        <v>37665</v>
      </c>
      <c r="R4"/>
      <c r="S4" s="1">
        <v>10500</v>
      </c>
      <c r="T4"/>
      <c r="U4"/>
      <c r="V4"/>
      <c r="W4"/>
      <c r="X4"/>
      <c r="Y4" s="1">
        <v>451950</v>
      </c>
      <c r="Z4" s="1">
        <v>22597.5</v>
      </c>
      <c r="AA4" s="1">
        <v>451950</v>
      </c>
      <c r="AB4" s="1">
        <v>429352.5</v>
      </c>
    </row>
    <row r="5" spans="1:28" x14ac:dyDescent="0.25">
      <c r="A5" t="inlineStr">
        <is>
          <t>C0695</t>
        </is>
      </c>
      <c r="B5" t="inlineStr">
        <is>
          <t>JULIUS</t>
        </is>
      </c>
      <c r="C5" t="inlineStr">
        <is>
          <t>AWOYEMI</t>
        </is>
      </c>
      <c r="D5" t="inlineStr">
        <is>
          <t>ELECTRICIAN</t>
        </is>
      </c>
      <c r="E5" t="inlineStr">
        <is>
          <t>AGEGE</t>
        </is>
      </c>
      <c r="F5" s="1">
        <v>10250</v>
      </c>
      <c r="G5">
        <v>48</v>
      </c>
      <c r="H5" t="inlineStr">
        <is>
          <t>M</t>
        </is>
      </c>
      <c r="I5">
        <v>21</v>
      </c>
      <c r="J5">
        <v>13.6</v>
      </c>
      <c r="K5">
        <v>28</v>
      </c>
      <c r="L5">
        <v>39</v>
      </c>
      <c r="M5"/>
      <c r="N5" s="1">
        <v>215250</v>
      </c>
      <c r="O5" s="1">
        <v>26137.5</v>
      </c>
      <c r="P5" s="1">
        <v>53812.5</v>
      </c>
      <c r="Q5" s="1">
        <v>99937.5</v>
      </c>
      <c r="R5"/>
      <c r="S5" s="1">
        <v>10500</v>
      </c>
      <c r="T5"/>
      <c r="U5"/>
      <c r="V5"/>
      <c r="W5"/>
      <c r="X5"/>
      <c r="Y5" s="1">
        <v>423575</v>
      </c>
      <c r="Z5" s="1">
        <v>21178.75</v>
      </c>
      <c r="AA5" s="1">
        <v>423575</v>
      </c>
      <c r="AB5" s="1">
        <v>402396.25</v>
      </c>
    </row>
    <row r="6" spans="1:28" x14ac:dyDescent="0.25">
      <c r="A6" t="inlineStr">
        <is>
          <t>C0974</t>
        </is>
      </c>
      <c r="B6" t="inlineStr">
        <is>
          <t>STEPHEN</t>
        </is>
      </c>
      <c r="C6" t="inlineStr">
        <is>
          <t>ETUERI</t>
        </is>
      </c>
      <c r="D6" t="inlineStr">
        <is>
          <t>MACHINE SHOP SUPRITENDENT</t>
        </is>
      </c>
      <c r="E6" t="inlineStr">
        <is>
          <t>IDI_ORO</t>
        </is>
      </c>
      <c r="F6" s="1">
        <v>17850</v>
      </c>
      <c r="G6">
        <v>78</v>
      </c>
      <c r="H6" t="inlineStr">
        <is>
          <t>M</t>
        </is>
      </c>
      <c r="I6">
        <v>21</v>
      </c>
      <c r="J6"/>
      <c r="K6"/>
      <c r="L6">
        <v>1</v>
      </c>
      <c r="M6"/>
      <c r="N6" s="1">
        <v>374850</v>
      </c>
      <c r="O6"/>
      <c r="P6"/>
      <c r="Q6" s="1">
        <v>4462.5</v>
      </c>
      <c r="R6"/>
      <c r="S6" s="1">
        <v>10500</v>
      </c>
      <c r="T6"/>
      <c r="U6"/>
      <c r="V6"/>
      <c r="W6"/>
      <c r="X6"/>
      <c r="Y6" s="1">
        <v>425512.5</v>
      </c>
      <c r="Z6" s="1">
        <v>21275.63</v>
      </c>
      <c r="AA6" s="1">
        <v>425512.5</v>
      </c>
      <c r="AB6" s="1">
        <v>404236.87</v>
      </c>
    </row>
    <row r="7" spans="1:28" x14ac:dyDescent="0.25">
      <c r="A7" t="inlineStr">
        <is>
          <t>C1001</t>
        </is>
      </c>
      <c r="B7" t="inlineStr">
        <is>
          <t>JIMOH</t>
        </is>
      </c>
      <c r="C7" t="inlineStr">
        <is>
          <t>GBADAMOSI</t>
        </is>
      </c>
      <c r="D7" t="inlineStr">
        <is>
          <t>BLASTER&amp; PAINTER SUPERVISOR</t>
        </is>
      </c>
      <c r="E7" t="inlineStr">
        <is>
          <t>AGEGE</t>
        </is>
      </c>
      <c r="F7" s="1">
        <v>19500</v>
      </c>
      <c r="G7">
        <v>57</v>
      </c>
      <c r="H7" t="inlineStr">
        <is>
          <t>M</t>
        </is>
      </c>
      <c r="I7">
        <v>20</v>
      </c>
      <c r="J7"/>
      <c r="K7">
        <v>7</v>
      </c>
      <c r="L7"/>
      <c r="M7"/>
      <c r="N7" s="1">
        <v>390000</v>
      </c>
      <c r="O7"/>
      <c r="P7" s="1">
        <v>25593.75</v>
      </c>
      <c r="Q7"/>
      <c r="R7"/>
      <c r="S7" s="1">
        <v>10000</v>
      </c>
      <c r="T7"/>
      <c r="U7"/>
      <c r="V7"/>
      <c r="W7"/>
      <c r="X7"/>
      <c r="Y7" s="1">
        <v>459718.75</v>
      </c>
      <c r="Z7" s="1">
        <v>22985.94</v>
      </c>
      <c r="AA7" s="1">
        <v>459718.75</v>
      </c>
      <c r="AB7" s="1">
        <v>436732.81</v>
      </c>
    </row>
    <row r="8" spans="1:28" x14ac:dyDescent="0.25">
      <c r="A8" t="inlineStr">
        <is>
          <t>C1035</t>
        </is>
      </c>
      <c r="B8" t="inlineStr">
        <is>
          <t>DONATUS</t>
        </is>
      </c>
      <c r="C8" t="inlineStr">
        <is>
          <t>EJEH</t>
        </is>
      </c>
      <c r="D8" t="inlineStr">
        <is>
          <t>RIGGER</t>
        </is>
      </c>
      <c r="E8" t="inlineStr">
        <is>
          <t>IDI_ORO</t>
        </is>
      </c>
      <c r="F8" s="1">
        <v>13150</v>
      </c>
      <c r="G8">
        <v>51</v>
      </c>
      <c r="H8" t="inlineStr">
        <is>
          <t>M</t>
        </is>
      </c>
      <c r="I8">
        <v>21</v>
      </c>
      <c r="J8"/>
      <c r="K8">
        <v>17</v>
      </c>
      <c r="L8">
        <v>2</v>
      </c>
      <c r="M8"/>
      <c r="N8" s="1">
        <v>276150</v>
      </c>
      <c r="O8"/>
      <c r="P8" s="1">
        <v>41915.63</v>
      </c>
      <c r="Q8" s="1">
        <v>6575</v>
      </c>
      <c r="R8"/>
      <c r="S8" s="1">
        <v>10500</v>
      </c>
      <c r="T8"/>
      <c r="U8"/>
      <c r="V8"/>
      <c r="W8"/>
      <c r="X8"/>
      <c r="Y8" s="1">
        <v>364728.13</v>
      </c>
      <c r="Z8" s="1">
        <v>18236.41</v>
      </c>
      <c r="AA8" s="1">
        <v>364728.13</v>
      </c>
      <c r="AB8" s="1">
        <v>346491.72</v>
      </c>
    </row>
    <row r="9" spans="1:28" x14ac:dyDescent="0.25">
      <c r="A9" t="inlineStr">
        <is>
          <t>C1065</t>
        </is>
      </c>
      <c r="B9" t="inlineStr">
        <is>
          <t>VINCENT</t>
        </is>
      </c>
      <c r="C9" t="inlineStr">
        <is>
          <t>OGHENERIE</t>
        </is>
      </c>
      <c r="D9" t="inlineStr">
        <is>
          <t>FITTER 1</t>
        </is>
      </c>
      <c r="E9" t="inlineStr">
        <is>
          <t>IDI_ORO</t>
        </is>
      </c>
      <c r="F9" s="1">
        <v>14050</v>
      </c>
      <c r="G9">
        <v>62</v>
      </c>
      <c r="H9" t="inlineStr">
        <is>
          <t>M</t>
        </is>
      </c>
      <c r="I9">
        <v>21</v>
      </c>
      <c r="J9"/>
      <c r="K9">
        <v>24.2</v>
      </c>
      <c r="L9">
        <v>1</v>
      </c>
      <c r="M9"/>
      <c r="N9" s="1">
        <v>295050</v>
      </c>
      <c r="O9"/>
      <c r="P9" s="1">
        <v>63751.88</v>
      </c>
      <c r="Q9" s="1">
        <v>3512.5</v>
      </c>
      <c r="R9"/>
      <c r="S9" s="1">
        <v>10000</v>
      </c>
      <c r="T9"/>
      <c r="U9"/>
      <c r="V9"/>
      <c r="W9"/>
      <c r="X9"/>
      <c r="Y9" s="1">
        <v>403926.88</v>
      </c>
      <c r="Z9" s="1">
        <v>20196.34</v>
      </c>
      <c r="AA9" s="1">
        <v>403926.88</v>
      </c>
      <c r="AB9" s="1">
        <v>383730.54</v>
      </c>
    </row>
    <row r="10" spans="1:28" x14ac:dyDescent="0.25">
      <c r="A10" t="inlineStr">
        <is>
          <t>C1078</t>
        </is>
      </c>
      <c r="B10" t="inlineStr">
        <is>
          <t>MATHIAS</t>
        </is>
      </c>
      <c r="C10" t="inlineStr">
        <is>
          <t>LUKPATA</t>
        </is>
      </c>
      <c r="D10" t="inlineStr">
        <is>
          <t>FORKLIFT OPERATOR</t>
        </is>
      </c>
      <c r="E10" t="inlineStr">
        <is>
          <t>AGEGE</t>
        </is>
      </c>
      <c r="F10" s="1">
        <v>12750</v>
      </c>
      <c r="G10">
        <v>46</v>
      </c>
      <c r="H10" t="inlineStr">
        <is>
          <t>M</t>
        </is>
      </c>
      <c r="I10">
        <v>21</v>
      </c>
      <c r="J10"/>
      <c r="K10">
        <v>30</v>
      </c>
      <c r="L10">
        <v>1</v>
      </c>
      <c r="M10"/>
      <c r="N10" s="1">
        <v>267750</v>
      </c>
      <c r="O10"/>
      <c r="P10" s="1">
        <v>71718.75</v>
      </c>
      <c r="Q10" s="1">
        <v>3187.5</v>
      </c>
      <c r="R10"/>
      <c r="S10" s="1">
        <v>10500</v>
      </c>
      <c r="T10"/>
      <c r="U10"/>
      <c r="V10"/>
      <c r="W10"/>
      <c r="X10"/>
      <c r="Y10" s="1">
        <v>375468.75</v>
      </c>
      <c r="Z10" s="1">
        <v>18773.44</v>
      </c>
      <c r="AA10" s="1">
        <v>375468.75</v>
      </c>
      <c r="AB10" s="1">
        <v>356695.31</v>
      </c>
    </row>
    <row r="11" spans="1:28" x14ac:dyDescent="0.25">
      <c r="A11" t="inlineStr">
        <is>
          <t>C1096</t>
        </is>
      </c>
      <c r="B11" t="inlineStr">
        <is>
          <t>DUROJAYE</t>
        </is>
      </c>
      <c r="C11" t="inlineStr">
        <is>
          <t>ADEDOYIN</t>
        </is>
      </c>
      <c r="D11" t="inlineStr">
        <is>
          <t>MECHANIC</t>
        </is>
      </c>
      <c r="E11" t="inlineStr">
        <is>
          <t>AGEGE</t>
        </is>
      </c>
      <c r="F11" s="1">
        <v>10250</v>
      </c>
      <c r="G11">
        <v>43</v>
      </c>
      <c r="H11" t="inlineStr">
        <is>
          <t>M</t>
        </is>
      </c>
      <c r="I11">
        <v>21</v>
      </c>
      <c r="J11">
        <v>12</v>
      </c>
      <c r="K11">
        <v>28</v>
      </c>
      <c r="L11">
        <v>35</v>
      </c>
      <c r="M11"/>
      <c r="N11" s="1">
        <v>215250</v>
      </c>
      <c r="O11" s="1">
        <v>23062.5</v>
      </c>
      <c r="P11" s="1">
        <v>53812.5</v>
      </c>
      <c r="Q11" s="1">
        <v>89687.5</v>
      </c>
      <c r="R11"/>
      <c r="S11" s="1">
        <v>10500</v>
      </c>
      <c r="T11"/>
      <c r="U11"/>
      <c r="V11"/>
      <c r="W11"/>
      <c r="X11"/>
      <c r="Y11" s="1">
        <v>410250</v>
      </c>
      <c r="Z11" s="1">
        <v>20512.5</v>
      </c>
      <c r="AA11" s="1">
        <v>410250</v>
      </c>
      <c r="AB11" s="1">
        <v>389737.5</v>
      </c>
    </row>
    <row r="12" spans="1:28" x14ac:dyDescent="0.25">
      <c r="A12" t="inlineStr">
        <is>
          <t>C1144</t>
        </is>
      </c>
      <c r="B12" t="inlineStr">
        <is>
          <t>CHRIS</t>
        </is>
      </c>
      <c r="C12" t="inlineStr">
        <is>
          <t>OGWUA</t>
        </is>
      </c>
      <c r="D12" t="inlineStr">
        <is>
          <t>WELDER</t>
        </is>
      </c>
      <c r="E12" t="inlineStr">
        <is>
          <t>IDI - IDI_ORO</t>
        </is>
      </c>
      <c r="F12" s="1">
        <v>13550</v>
      </c>
      <c r="G12">
        <v>44</v>
      </c>
      <c r="H12" t="inlineStr">
        <is>
          <t>M</t>
        </is>
      </c>
      <c r="I12">
        <v>3</v>
      </c>
      <c r="J12"/>
      <c r="K12"/>
      <c r="L12"/>
      <c r="M12"/>
      <c r="N12" s="1">
        <v>40650</v>
      </c>
      <c r="O12"/>
      <c r="P12"/>
      <c r="Q12"/>
      <c r="R12"/>
      <c r="S12" s="1">
        <v>1500</v>
      </c>
      <c r="T12"/>
      <c r="U12"/>
      <c r="V12"/>
      <c r="W12"/>
      <c r="X12"/>
      <c r="Y12" s="1">
        <v>42150</v>
      </c>
      <c r="Z12" s="1">
        <v>2107.5</v>
      </c>
      <c r="AA12" s="1">
        <v>42150</v>
      </c>
      <c r="AB12" s="1">
        <v>40042.5</v>
      </c>
    </row>
    <row r="13" spans="1:28" x14ac:dyDescent="0.25">
      <c r="A13" t="inlineStr">
        <is>
          <t>C1162</t>
        </is>
      </c>
      <c r="B13" t="inlineStr">
        <is>
          <t>ADEWALE</t>
        </is>
      </c>
      <c r="C13" t="inlineStr">
        <is>
          <t>ADEKOYA</t>
        </is>
      </c>
      <c r="D13" t="inlineStr">
        <is>
          <t>6GR (SMAW &amp; GTAW)</t>
        </is>
      </c>
      <c r="E13" t="inlineStr">
        <is>
          <t>IDI_ORO</t>
        </is>
      </c>
      <c r="F13" s="1">
        <v>23500</v>
      </c>
      <c r="G13">
        <v>55</v>
      </c>
      <c r="H13" t="inlineStr">
        <is>
          <t>M</t>
        </is>
      </c>
      <c r="I13">
        <v>21</v>
      </c>
      <c r="J13">
        <v>8.7</v>
      </c>
      <c r="K13">
        <v>9</v>
      </c>
      <c r="L13"/>
      <c r="M13"/>
      <c r="N13" s="1">
        <v>493500</v>
      </c>
      <c r="O13" s="1">
        <v>38334.37</v>
      </c>
      <c r="P13" s="1">
        <v>39656.25</v>
      </c>
      <c r="Q13"/>
      <c r="R13"/>
      <c r="S13" s="1">
        <v>10500</v>
      </c>
      <c r="T13"/>
      <c r="U13"/>
      <c r="V13"/>
      <c r="W13"/>
      <c r="X13"/>
      <c r="Y13" s="1">
        <v>623115.62</v>
      </c>
      <c r="Z13" s="1">
        <v>31155.78</v>
      </c>
      <c r="AA13" s="1">
        <v>623115.62</v>
      </c>
      <c r="AB13" s="1">
        <v>591959.84</v>
      </c>
    </row>
    <row r="14" spans="1:28" x14ac:dyDescent="0.25">
      <c r="A14" t="inlineStr">
        <is>
          <t>C1220</t>
        </is>
      </c>
      <c r="B14" t="inlineStr">
        <is>
          <t>DANIEL</t>
        </is>
      </c>
      <c r="C14" t="inlineStr">
        <is>
          <t>NWODO</t>
        </is>
      </c>
      <c r="D14" t="inlineStr">
        <is>
          <t>TACK WELDER</t>
        </is>
      </c>
      <c r="E14" t="inlineStr">
        <is>
          <t>AGEGE</t>
        </is>
      </c>
      <c r="F14" s="1">
        <v>11575</v>
      </c>
      <c r="G14">
        <v>55</v>
      </c>
      <c r="H14" t="inlineStr">
        <is>
          <t>M</t>
        </is>
      </c>
      <c r="I14">
        <v>21</v>
      </c>
      <c r="J14"/>
      <c r="K14">
        <v>26</v>
      </c>
      <c r="L14">
        <v>4</v>
      </c>
      <c r="M14"/>
      <c r="N14" s="1">
        <v>243075</v>
      </c>
      <c r="O14"/>
      <c r="P14" s="1">
        <v>56428.13</v>
      </c>
      <c r="Q14" s="1">
        <v>11575</v>
      </c>
      <c r="R14"/>
      <c r="S14" s="1">
        <v>10500</v>
      </c>
      <c r="T14"/>
      <c r="U14"/>
      <c r="V14"/>
      <c r="W14"/>
      <c r="X14"/>
      <c r="Y14" s="1">
        <v>350226.26</v>
      </c>
      <c r="Z14" s="1">
        <v>17511.31</v>
      </c>
      <c r="AA14" s="1">
        <v>350226.26</v>
      </c>
      <c r="AB14" s="1">
        <v>332714.95</v>
      </c>
    </row>
    <row r="15" spans="1:28" x14ac:dyDescent="0.25">
      <c r="A15" t="inlineStr">
        <is>
          <t>C1229</t>
        </is>
      </c>
      <c r="B15" t="inlineStr">
        <is>
          <t>SHITTU</t>
        </is>
      </c>
      <c r="C15" t="inlineStr">
        <is>
          <t>OLAWALE</t>
        </is>
      </c>
      <c r="D15" t="inlineStr">
        <is>
          <t>WELDER</t>
        </is>
      </c>
      <c r="E15" t="inlineStr">
        <is>
          <t>AGEGE</t>
        </is>
      </c>
      <c r="F15" s="1">
        <v>18150</v>
      </c>
      <c r="G15">
        <v>49</v>
      </c>
      <c r="H15" t="inlineStr">
        <is>
          <t>M</t>
        </is>
      </c>
      <c r="I15"/>
      <c r="J15"/>
      <c r="K15"/>
      <c r="L15">
        <v>13</v>
      </c>
      <c r="M15"/>
      <c r="N15"/>
      <c r="O15"/>
      <c r="P15"/>
      <c r="Q15" s="1">
        <v>58987.5</v>
      </c>
      <c r="R15"/>
      <c r="S15"/>
      <c r="T15"/>
      <c r="U15"/>
      <c r="V15"/>
      <c r="W15"/>
      <c r="X15"/>
      <c r="Y15" s="1">
        <v>58987.5</v>
      </c>
      <c r="Z15" s="1">
        <v>2949.38</v>
      </c>
      <c r="AA15" s="1">
        <v>58987.5</v>
      </c>
      <c r="AB15" s="1">
        <v>56038.12</v>
      </c>
    </row>
    <row r="16" spans="1:28" x14ac:dyDescent="0.25">
      <c r="A16" t="inlineStr">
        <is>
          <t>C1491</t>
        </is>
      </c>
      <c r="B16" t="inlineStr">
        <is>
          <t>NNAMDI</t>
        </is>
      </c>
      <c r="C16" t="inlineStr">
        <is>
          <t>VINCENT</t>
        </is>
      </c>
      <c r="D16" t="inlineStr">
        <is>
          <t>GRINDER</t>
        </is>
      </c>
      <c r="E16" t="inlineStr">
        <is>
          <t>IDI_ORO</t>
        </is>
      </c>
      <c r="F16" s="1">
        <v>10250</v>
      </c>
      <c r="G16">
        <v>46</v>
      </c>
      <c r="H16" t="inlineStr">
        <is>
          <t>M</t>
        </is>
      </c>
      <c r="I16">
        <v>21</v>
      </c>
      <c r="J16"/>
      <c r="K16">
        <v>20.9</v>
      </c>
      <c r="L16">
        <v>8</v>
      </c>
      <c r="M16"/>
      <c r="N16" s="1">
        <v>215250</v>
      </c>
      <c r="O16"/>
      <c r="P16" s="1">
        <v>40167.19</v>
      </c>
      <c r="Q16" s="1">
        <v>20500</v>
      </c>
      <c r="R16"/>
      <c r="S16" s="1">
        <v>10500</v>
      </c>
      <c r="T16"/>
      <c r="U16"/>
      <c r="V16"/>
      <c r="W16"/>
      <c r="X16"/>
      <c r="Y16" s="1">
        <v>309479.69</v>
      </c>
      <c r="Z16" s="1">
        <v>15473.98</v>
      </c>
      <c r="AA16" s="1">
        <v>309479.69</v>
      </c>
      <c r="AB16" s="1">
        <v>294005.71</v>
      </c>
    </row>
    <row r="17" spans="1:28" x14ac:dyDescent="0.25">
      <c r="A17" t="inlineStr">
        <is>
          <t>C1533</t>
        </is>
      </c>
      <c r="B17" t="inlineStr">
        <is>
          <t>VINCENT</t>
        </is>
      </c>
      <c r="C17" t="inlineStr">
        <is>
          <t>OKEKE</t>
        </is>
      </c>
      <c r="D17" t="inlineStr">
        <is>
          <t>CRANE/RIGGER  SUPERVISOR</t>
        </is>
      </c>
      <c r="E17" t="inlineStr">
        <is>
          <t>IDI_ORO</t>
        </is>
      </c>
      <c r="F17" s="1">
        <v>16000</v>
      </c>
      <c r="G17">
        <v>49</v>
      </c>
      <c r="H17" t="inlineStr">
        <is>
          <t>M</t>
        </is>
      </c>
      <c r="I17">
        <v>21</v>
      </c>
      <c r="J17"/>
      <c r="K17">
        <v>18.8</v>
      </c>
      <c r="L17">
        <v>1</v>
      </c>
      <c r="M17"/>
      <c r="N17" s="1">
        <v>336000</v>
      </c>
      <c r="O17"/>
      <c r="P17" s="1">
        <v>56400</v>
      </c>
      <c r="Q17" s="1">
        <v>4000</v>
      </c>
      <c r="R17"/>
      <c r="S17" s="1">
        <v>10500</v>
      </c>
      <c r="T17"/>
      <c r="U17"/>
      <c r="V17"/>
      <c r="W17"/>
      <c r="X17"/>
      <c r="Y17" s="1">
        <v>442900</v>
      </c>
      <c r="Z17" s="1">
        <v>22145</v>
      </c>
      <c r="AA17" s="1">
        <v>442900</v>
      </c>
      <c r="AB17" s="1">
        <v>420755</v>
      </c>
    </row>
    <row r="18" spans="1:28" x14ac:dyDescent="0.25">
      <c r="A18" t="inlineStr">
        <is>
          <t>C1544</t>
        </is>
      </c>
      <c r="B18" t="inlineStr">
        <is>
          <t>JOSEPH</t>
        </is>
      </c>
      <c r="C18" t="inlineStr">
        <is>
          <t>ADENIYI</t>
        </is>
      </c>
      <c r="D18" t="inlineStr">
        <is>
          <t>LIFTNG SUP.</t>
        </is>
      </c>
      <c r="E18" t="inlineStr">
        <is>
          <t>AGEGE</t>
        </is>
      </c>
      <c r="F18" s="1">
        <v>16200</v>
      </c>
      <c r="G18">
        <v>42</v>
      </c>
      <c r="H18" t="inlineStr">
        <is>
          <t>M</t>
        </is>
      </c>
      <c r="I18">
        <v>6</v>
      </c>
      <c r="J18"/>
      <c r="K18">
        <v>13.2</v>
      </c>
      <c r="L18">
        <v>13</v>
      </c>
      <c r="M18"/>
      <c r="N18" s="1">
        <v>97200</v>
      </c>
      <c r="O18"/>
      <c r="P18" s="1">
        <v>40095</v>
      </c>
      <c r="Q18" s="1">
        <v>52650</v>
      </c>
      <c r="R18"/>
      <c r="S18" s="1">
        <v>3000</v>
      </c>
      <c r="T18"/>
      <c r="U18"/>
      <c r="V18"/>
      <c r="W18"/>
      <c r="X18"/>
      <c r="Y18" s="1">
        <v>246405</v>
      </c>
      <c r="Z18" s="1">
        <v>12320.25</v>
      </c>
      <c r="AA18" s="1">
        <v>246405</v>
      </c>
      <c r="AB18" s="1">
        <v>234084.75</v>
      </c>
    </row>
    <row r="19" spans="1:28" x14ac:dyDescent="0.25">
      <c r="A19" t="inlineStr">
        <is>
          <t>C1607</t>
        </is>
      </c>
      <c r="B19" t="inlineStr">
        <is>
          <t>CHUKWUDUMEBI</t>
        </is>
      </c>
      <c r="C19" t="inlineStr">
        <is>
          <t>OJIKA</t>
        </is>
      </c>
      <c r="D19" t="inlineStr">
        <is>
          <t>FITTER / CNC OPR</t>
        </is>
      </c>
      <c r="E19" t="inlineStr">
        <is>
          <t>AGEGE</t>
        </is>
      </c>
      <c r="F19" s="1">
        <v>15100</v>
      </c>
      <c r="G19">
        <v>37</v>
      </c>
      <c r="H19" t="inlineStr">
        <is>
          <t>M</t>
        </is>
      </c>
      <c r="I19">
        <v>21</v>
      </c>
      <c r="J19"/>
      <c r="K19">
        <v>3</v>
      </c>
      <c r="L19"/>
      <c r="M19"/>
      <c r="N19" s="1">
        <v>317100</v>
      </c>
      <c r="O19"/>
      <c r="P19" s="1">
        <v>8493.75</v>
      </c>
      <c r="Q19"/>
      <c r="R19"/>
      <c r="S19" s="1">
        <v>10500</v>
      </c>
      <c r="T19"/>
      <c r="U19"/>
      <c r="V19"/>
      <c r="W19"/>
      <c r="X19"/>
      <c r="Y19" s="1">
        <v>362518.75</v>
      </c>
      <c r="Z19" s="1">
        <v>18125.94</v>
      </c>
      <c r="AA19" s="1">
        <v>362518.75</v>
      </c>
      <c r="AB19" s="1">
        <v>344392.81</v>
      </c>
    </row>
    <row r="20" spans="1:28" x14ac:dyDescent="0.25">
      <c r="A20" t="inlineStr">
        <is>
          <t>C1612</t>
        </is>
      </c>
      <c r="B20" t="inlineStr">
        <is>
          <t>RICHARD</t>
        </is>
      </c>
      <c r="C20" t="inlineStr">
        <is>
          <t>MBAMARA</t>
        </is>
      </c>
      <c r="D20" t="inlineStr">
        <is>
          <t>HYDROTESTER</t>
        </is>
      </c>
      <c r="E20" t="inlineStr">
        <is>
          <t>IDI_ORO</t>
        </is>
      </c>
      <c r="F20" s="1">
        <v>16000</v>
      </c>
      <c r="G20">
        <v>55</v>
      </c>
      <c r="H20" t="inlineStr">
        <is>
          <t>M</t>
        </is>
      </c>
      <c r="I20">
        <v>21</v>
      </c>
      <c r="J20">
        <v>7.7</v>
      </c>
      <c r="K20">
        <v>7</v>
      </c>
      <c r="L20"/>
      <c r="M20"/>
      <c r="N20" s="1">
        <v>336000</v>
      </c>
      <c r="O20" s="1">
        <v>23100</v>
      </c>
      <c r="P20" s="1">
        <v>21000</v>
      </c>
      <c r="Q20"/>
      <c r="R20"/>
      <c r="S20" s="1">
        <v>10500</v>
      </c>
      <c r="T20"/>
      <c r="U20"/>
      <c r="V20"/>
      <c r="W20"/>
      <c r="X20"/>
      <c r="Y20" s="1">
        <v>418600</v>
      </c>
      <c r="Z20" s="1">
        <v>20930</v>
      </c>
      <c r="AA20" s="1">
        <v>418600</v>
      </c>
      <c r="AB20" s="1">
        <v>397670</v>
      </c>
    </row>
    <row r="21" spans="1:28" x14ac:dyDescent="0.25">
      <c r="A21" t="inlineStr">
        <is>
          <t>C1686</t>
        </is>
      </c>
      <c r="B21" t="inlineStr">
        <is>
          <t>MICAH</t>
        </is>
      </c>
      <c r="C21" t="inlineStr">
        <is>
          <t>FRED</t>
        </is>
      </c>
      <c r="D21" t="inlineStr">
        <is>
          <t>WELDER</t>
        </is>
      </c>
      <c r="E21" t="inlineStr">
        <is>
          <t>AGEGE</t>
        </is>
      </c>
      <c r="F21" s="1">
        <v>16700</v>
      </c>
      <c r="G21">
        <v>36</v>
      </c>
      <c r="H21" t="inlineStr">
        <is>
          <t>M</t>
        </is>
      </c>
      <c r="I21"/>
      <c r="J21"/>
      <c r="K21"/>
      <c r="L21">
        <v>18</v>
      </c>
      <c r="M21"/>
      <c r="N21"/>
      <c r="O21"/>
      <c r="P21"/>
      <c r="Q21" s="1">
        <v>75150</v>
      </c>
      <c r="R21"/>
      <c r="S21"/>
      <c r="T21"/>
      <c r="U21"/>
      <c r="V21"/>
      <c r="W21"/>
      <c r="X21"/>
      <c r="Y21" s="1">
        <v>75150</v>
      </c>
      <c r="Z21" s="1">
        <v>3757.5</v>
      </c>
      <c r="AA21" s="1">
        <v>75150</v>
      </c>
      <c r="AB21" s="1">
        <v>71392.5</v>
      </c>
    </row>
    <row r="22" spans="1:28" x14ac:dyDescent="0.25">
      <c r="A22" t="inlineStr">
        <is>
          <t>C1705</t>
        </is>
      </c>
      <c r="B22" t="inlineStr">
        <is>
          <t>MATTHEW</t>
        </is>
      </c>
      <c r="C22" t="inlineStr">
        <is>
          <t>ROTIMI</t>
        </is>
      </c>
      <c r="D22" t="inlineStr">
        <is>
          <t>MECHANIC</t>
        </is>
      </c>
      <c r="E22" t="inlineStr">
        <is>
          <t>IDI_ORO</t>
        </is>
      </c>
      <c r="F22" s="1">
        <v>10250</v>
      </c>
      <c r="G22">
        <v>47</v>
      </c>
      <c r="H22" t="inlineStr">
        <is>
          <t>M</t>
        </is>
      </c>
      <c r="I22">
        <v>21</v>
      </c>
      <c r="J22"/>
      <c r="K22">
        <v>24</v>
      </c>
      <c r="L22">
        <v>15</v>
      </c>
      <c r="M22"/>
      <c r="N22" s="1">
        <v>215250</v>
      </c>
      <c r="O22"/>
      <c r="P22" s="1">
        <v>46125</v>
      </c>
      <c r="Q22" s="1">
        <v>38437.5</v>
      </c>
      <c r="R22"/>
      <c r="S22" s="1">
        <v>10500</v>
      </c>
      <c r="T22"/>
      <c r="U22"/>
      <c r="V22"/>
      <c r="W22"/>
      <c r="X22"/>
      <c r="Y22" s="1">
        <v>328250</v>
      </c>
      <c r="Z22" s="1">
        <v>16412.5</v>
      </c>
      <c r="AA22" s="1">
        <v>328250</v>
      </c>
      <c r="AB22" s="1">
        <v>311837.5</v>
      </c>
    </row>
    <row r="23" spans="1:28" x14ac:dyDescent="0.25">
      <c r="A23" t="inlineStr">
        <is>
          <t>C1720</t>
        </is>
      </c>
      <c r="B23" t="inlineStr">
        <is>
          <t>ADANOU</t>
        </is>
      </c>
      <c r="C23" t="inlineStr">
        <is>
          <t>RAYMOND</t>
        </is>
      </c>
      <c r="D23" t="inlineStr">
        <is>
          <t>FITTER 1</t>
        </is>
      </c>
      <c r="E23" t="inlineStr">
        <is>
          <t>AGEGE</t>
        </is>
      </c>
      <c r="F23" s="1">
        <v>14050</v>
      </c>
      <c r="G23">
        <v>55</v>
      </c>
      <c r="H23" t="inlineStr">
        <is>
          <t>M</t>
        </is>
      </c>
      <c r="I23">
        <v>21</v>
      </c>
      <c r="J23"/>
      <c r="K23">
        <v>21</v>
      </c>
      <c r="L23"/>
      <c r="M23"/>
      <c r="N23" s="1">
        <v>295050</v>
      </c>
      <c r="O23"/>
      <c r="P23" s="1">
        <v>55321.88</v>
      </c>
      <c r="Q23"/>
      <c r="R23"/>
      <c r="S23" s="1">
        <v>10500</v>
      </c>
      <c r="T23"/>
      <c r="U23"/>
      <c r="V23"/>
      <c r="W23"/>
      <c r="X23"/>
      <c r="Y23" s="1">
        <v>364384.38</v>
      </c>
      <c r="Z23" s="1">
        <v>18219.22</v>
      </c>
      <c r="AA23" s="1">
        <v>364384.38</v>
      </c>
      <c r="AB23" s="1">
        <v>346165.16</v>
      </c>
    </row>
    <row r="24" spans="1:28" x14ac:dyDescent="0.25">
      <c r="A24" t="inlineStr">
        <is>
          <t>C1728</t>
        </is>
      </c>
      <c r="B24" t="inlineStr">
        <is>
          <t>MOHAMMED</t>
        </is>
      </c>
      <c r="C24" t="inlineStr">
        <is>
          <t>IBRAHIM</t>
        </is>
      </c>
      <c r="D24" t="inlineStr">
        <is>
          <t>6GR (SMAW &amp; GTAW)</t>
        </is>
      </c>
      <c r="E24" t="inlineStr">
        <is>
          <t>IDI_ORO</t>
        </is>
      </c>
      <c r="F24" s="1">
        <v>23500</v>
      </c>
      <c r="G24">
        <v>38</v>
      </c>
      <c r="H24" t="inlineStr">
        <is>
          <t>M</t>
        </is>
      </c>
      <c r="I24">
        <v>11</v>
      </c>
      <c r="J24"/>
      <c r="K24">
        <v>8</v>
      </c>
      <c r="L24"/>
      <c r="M24"/>
      <c r="N24" s="1">
        <v>258500</v>
      </c>
      <c r="O24"/>
      <c r="P24" s="1">
        <v>35250</v>
      </c>
      <c r="Q24"/>
      <c r="R24"/>
      <c r="S24" s="1">
        <v>5500</v>
      </c>
      <c r="T24"/>
      <c r="U24"/>
      <c r="V24"/>
      <c r="W24"/>
      <c r="X24"/>
      <c r="Y24" s="1">
        <v>346250</v>
      </c>
      <c r="Z24" s="1">
        <v>17312.5</v>
      </c>
      <c r="AA24" s="1">
        <v>346250</v>
      </c>
      <c r="AB24" s="1">
        <v>328937.5</v>
      </c>
    </row>
    <row r="25" spans="1:28" x14ac:dyDescent="0.25">
      <c r="A25" t="inlineStr">
        <is>
          <t>C1736</t>
        </is>
      </c>
      <c r="B25" t="inlineStr">
        <is>
          <t>MICHAEL</t>
        </is>
      </c>
      <c r="C25" t="inlineStr">
        <is>
          <t>JEROME</t>
        </is>
      </c>
      <c r="D25" t="inlineStr">
        <is>
          <t>6G WELDER</t>
        </is>
      </c>
      <c r="E25" t="inlineStr">
        <is>
          <t>IDI_ORO</t>
        </is>
      </c>
      <c r="F25" s="1">
        <v>16700</v>
      </c>
      <c r="G25">
        <v>55</v>
      </c>
      <c r="H25" t="inlineStr">
        <is>
          <t>M</t>
        </is>
      </c>
      <c r="I25">
        <v>21</v>
      </c>
      <c r="J25"/>
      <c r="K25">
        <v>9</v>
      </c>
      <c r="L25"/>
      <c r="M25"/>
      <c r="N25" s="1">
        <v>350700</v>
      </c>
      <c r="O25"/>
      <c r="P25" s="1">
        <v>28181.25</v>
      </c>
      <c r="Q25"/>
      <c r="R25"/>
      <c r="S25" s="1">
        <v>10500</v>
      </c>
      <c r="T25"/>
      <c r="U25"/>
      <c r="V25"/>
      <c r="W25"/>
      <c r="X25"/>
      <c r="Y25" s="1">
        <v>426956.25</v>
      </c>
      <c r="Z25" s="1">
        <v>21347.81</v>
      </c>
      <c r="AA25" s="1">
        <v>426956.25</v>
      </c>
      <c r="AB25" s="1">
        <v>405608.44</v>
      </c>
    </row>
    <row r="26" spans="1:28" x14ac:dyDescent="0.25">
      <c r="A26" t="inlineStr">
        <is>
          <t>C1771</t>
        </is>
      </c>
      <c r="B26" t="inlineStr">
        <is>
          <t>KEHINDE</t>
        </is>
      </c>
      <c r="C26" t="inlineStr">
        <is>
          <t>BADEJO</t>
        </is>
      </c>
      <c r="D26" t="inlineStr">
        <is>
          <t>RIGGER</t>
        </is>
      </c>
      <c r="E26" t="inlineStr">
        <is>
          <t>AGEGE</t>
        </is>
      </c>
      <c r="F26" s="1">
        <v>13150</v>
      </c>
      <c r="G26">
        <v>45</v>
      </c>
      <c r="H26" t="inlineStr">
        <is>
          <t>M</t>
        </is>
      </c>
      <c r="I26">
        <v>21</v>
      </c>
      <c r="J26"/>
      <c r="K26">
        <v>28</v>
      </c>
      <c r="L26">
        <v>1</v>
      </c>
      <c r="M26"/>
      <c r="N26" s="1">
        <v>276150</v>
      </c>
      <c r="O26"/>
      <c r="P26" s="1">
        <v>69037.5</v>
      </c>
      <c r="Q26" s="1">
        <v>3287.5</v>
      </c>
      <c r="R26"/>
      <c r="S26" s="1">
        <v>10500</v>
      </c>
      <c r="T26"/>
      <c r="U26"/>
      <c r="V26"/>
      <c r="W26"/>
      <c r="X26"/>
      <c r="Y26" s="1">
        <v>381987.5</v>
      </c>
      <c r="Z26" s="1">
        <v>19099.38</v>
      </c>
      <c r="AA26" s="1">
        <v>381987.5</v>
      </c>
      <c r="AB26" s="1">
        <v>362888.12</v>
      </c>
    </row>
    <row r="27" spans="1:28" x14ac:dyDescent="0.25">
      <c r="A27" t="inlineStr">
        <is>
          <t>C1772</t>
        </is>
      </c>
      <c r="B27" t="inlineStr">
        <is>
          <t>IDOWU</t>
        </is>
      </c>
      <c r="C27" t="inlineStr">
        <is>
          <t>GANIYU</t>
        </is>
      </c>
      <c r="D27" t="inlineStr">
        <is>
          <t>CRANE OPERATOR &amp; RIGGER</t>
        </is>
      </c>
      <c r="E27" t="inlineStr">
        <is>
          <t>AGEGE</t>
        </is>
      </c>
      <c r="F27" s="1">
        <v>13150</v>
      </c>
      <c r="G27">
        <v>58</v>
      </c>
      <c r="H27" t="inlineStr">
        <is>
          <t>M</t>
        </is>
      </c>
      <c r="I27">
        <v>21</v>
      </c>
      <c r="J27"/>
      <c r="K27">
        <v>32</v>
      </c>
      <c r="L27">
        <v>1</v>
      </c>
      <c r="M27"/>
      <c r="N27" s="1">
        <v>276150</v>
      </c>
      <c r="O27"/>
      <c r="P27" s="1">
        <v>78900</v>
      </c>
      <c r="Q27" s="1">
        <v>3287.5</v>
      </c>
      <c r="R27"/>
      <c r="S27" s="1">
        <v>10500</v>
      </c>
      <c r="T27"/>
      <c r="U27"/>
      <c r="V27"/>
      <c r="W27"/>
      <c r="X27"/>
      <c r="Y27" s="1">
        <v>391850</v>
      </c>
      <c r="Z27" s="1">
        <v>19592.5</v>
      </c>
      <c r="AA27" s="1">
        <v>391850</v>
      </c>
      <c r="AB27" s="1">
        <v>372257.5</v>
      </c>
    </row>
    <row r="28" spans="1:28" x14ac:dyDescent="0.25">
      <c r="A28" t="inlineStr">
        <is>
          <t>C1775</t>
        </is>
      </c>
      <c r="B28" t="inlineStr">
        <is>
          <t>MOMODU</t>
        </is>
      </c>
      <c r="C28" t="inlineStr">
        <is>
          <t>BASHRU</t>
        </is>
      </c>
      <c r="D28" t="inlineStr">
        <is>
          <t>GRINDER</t>
        </is>
      </c>
      <c r="E28" t="inlineStr">
        <is>
          <t>AGEGE</t>
        </is>
      </c>
      <c r="F28" s="1">
        <v>10250</v>
      </c>
      <c r="G28">
        <v>45</v>
      </c>
      <c r="H28" t="inlineStr">
        <is>
          <t>M</t>
        </is>
      </c>
      <c r="I28">
        <v>21</v>
      </c>
      <c r="J28"/>
      <c r="K28">
        <v>28</v>
      </c>
      <c r="L28">
        <v>4</v>
      </c>
      <c r="M28"/>
      <c r="N28" s="1">
        <v>215250</v>
      </c>
      <c r="O28"/>
      <c r="P28" s="1">
        <v>53812.5</v>
      </c>
      <c r="Q28" s="1">
        <v>10250</v>
      </c>
      <c r="R28"/>
      <c r="S28" s="1">
        <v>10500</v>
      </c>
      <c r="T28"/>
      <c r="U28"/>
      <c r="V28"/>
      <c r="W28"/>
      <c r="X28"/>
      <c r="Y28" s="1">
        <v>310312.5</v>
      </c>
      <c r="Z28" s="1">
        <v>15515.63</v>
      </c>
      <c r="AA28" s="1">
        <v>310312.5</v>
      </c>
      <c r="AB28" s="1">
        <v>294796.87</v>
      </c>
    </row>
    <row r="29" spans="1:28" x14ac:dyDescent="0.25">
      <c r="A29" t="inlineStr">
        <is>
          <t>C1779</t>
        </is>
      </c>
      <c r="B29" t="inlineStr">
        <is>
          <t>KENNEDY</t>
        </is>
      </c>
      <c r="C29" t="inlineStr">
        <is>
          <t>EBUNO</t>
        </is>
      </c>
      <c r="D29" t="inlineStr">
        <is>
          <t>SMAW&amp;GTAW (CS) WELDER</t>
        </is>
      </c>
      <c r="E29" t="inlineStr">
        <is>
          <t>IDI_ORO</t>
        </is>
      </c>
      <c r="F29" s="1">
        <v>23500</v>
      </c>
      <c r="G29">
        <v>61</v>
      </c>
      <c r="H29" t="inlineStr">
        <is>
          <t>M</t>
        </is>
      </c>
      <c r="I29">
        <v>21</v>
      </c>
      <c r="J29">
        <v>2</v>
      </c>
      <c r="K29">
        <v>9</v>
      </c>
      <c r="L29"/>
      <c r="M29"/>
      <c r="N29" s="1">
        <v>493500</v>
      </c>
      <c r="O29" s="1">
        <v>8812.5</v>
      </c>
      <c r="P29" s="1">
        <v>39656.25</v>
      </c>
      <c r="Q29"/>
      <c r="R29"/>
      <c r="S29" s="1">
        <v>10500</v>
      </c>
      <c r="T29"/>
      <c r="U29"/>
      <c r="V29"/>
      <c r="W29"/>
      <c r="X29"/>
      <c r="Y29" s="1">
        <v>605343.75</v>
      </c>
      <c r="Z29" s="1">
        <v>30267.19</v>
      </c>
      <c r="AA29" s="1">
        <v>605343.75</v>
      </c>
      <c r="AB29" s="1">
        <v>575076.56</v>
      </c>
    </row>
    <row r="30" spans="1:28" x14ac:dyDescent="0.25">
      <c r="A30" t="inlineStr">
        <is>
          <t>C1783</t>
        </is>
      </c>
      <c r="B30" t="inlineStr">
        <is>
          <t>OLUGBENGA</t>
        </is>
      </c>
      <c r="C30" t="inlineStr">
        <is>
          <t>DARAMOLA</t>
        </is>
      </c>
      <c r="D30" t="inlineStr">
        <is>
          <t>FITTER</t>
        </is>
      </c>
      <c r="E30" t="inlineStr">
        <is>
          <t>AGEGE</t>
        </is>
      </c>
      <c r="F30" s="1">
        <v>14050</v>
      </c>
      <c r="G30">
        <v>47</v>
      </c>
      <c r="H30" t="inlineStr">
        <is>
          <t>M</t>
        </is>
      </c>
      <c r="I30">
        <v>21</v>
      </c>
      <c r="J30"/>
      <c r="K30">
        <v>28</v>
      </c>
      <c r="L30"/>
      <c r="M30"/>
      <c r="N30" s="1">
        <v>295050</v>
      </c>
      <c r="O30"/>
      <c r="P30" s="1">
        <v>73762.5</v>
      </c>
      <c r="Q30"/>
      <c r="R30"/>
      <c r="S30" s="1">
        <v>10500</v>
      </c>
      <c r="T30"/>
      <c r="U30"/>
      <c r="V30"/>
      <c r="W30"/>
      <c r="X30"/>
      <c r="Y30" s="1">
        <v>382825</v>
      </c>
      <c r="Z30" s="1">
        <v>19141.25</v>
      </c>
      <c r="AA30" s="1">
        <v>382825</v>
      </c>
      <c r="AB30" s="1">
        <v>363683.75</v>
      </c>
    </row>
    <row r="31" spans="1:28" x14ac:dyDescent="0.25">
      <c r="A31" t="inlineStr">
        <is>
          <t>C1788</t>
        </is>
      </c>
      <c r="B31" t="inlineStr">
        <is>
          <t>JONAH EMEWU</t>
        </is>
      </c>
      <c r="C31" t="inlineStr">
        <is>
          <t>SAMUEL</t>
        </is>
      </c>
      <c r="D31" t="inlineStr">
        <is>
          <t>FITTER</t>
        </is>
      </c>
      <c r="E31" t="inlineStr">
        <is>
          <t>IDI_ORO</t>
        </is>
      </c>
      <c r="F31" s="1">
        <v>14050</v>
      </c>
      <c r="G31">
        <v>49</v>
      </c>
      <c r="H31" t="inlineStr">
        <is>
          <t>M</t>
        </is>
      </c>
      <c r="I31">
        <v>21</v>
      </c>
      <c r="J31"/>
      <c r="K31">
        <v>19.2</v>
      </c>
      <c r="L31">
        <v>1</v>
      </c>
      <c r="M31"/>
      <c r="N31" s="1">
        <v>295050</v>
      </c>
      <c r="O31"/>
      <c r="P31" s="1">
        <v>50580</v>
      </c>
      <c r="Q31" s="1">
        <v>3512.5</v>
      </c>
      <c r="R31"/>
      <c r="S31" s="1">
        <v>10500</v>
      </c>
      <c r="T31"/>
      <c r="U31"/>
      <c r="V31"/>
      <c r="W31"/>
      <c r="X31"/>
      <c r="Y31" s="1">
        <v>391255</v>
      </c>
      <c r="Z31" s="1">
        <v>19562.75</v>
      </c>
      <c r="AA31" s="1">
        <v>391255</v>
      </c>
      <c r="AB31" s="1">
        <v>371692.25</v>
      </c>
    </row>
    <row r="32" spans="1:28" x14ac:dyDescent="0.25">
      <c r="A32" t="inlineStr">
        <is>
          <t>C1789</t>
        </is>
      </c>
      <c r="B32" t="inlineStr">
        <is>
          <t>MONDAY</t>
        </is>
      </c>
      <c r="C32" t="inlineStr">
        <is>
          <t>MBOCHI</t>
        </is>
      </c>
      <c r="D32" t="inlineStr">
        <is>
          <t>FITTER</t>
        </is>
      </c>
      <c r="E32" t="inlineStr">
        <is>
          <t>IDI_ORO</t>
        </is>
      </c>
      <c r="F32" s="1">
        <v>14050</v>
      </c>
      <c r="G32">
        <v>47</v>
      </c>
      <c r="H32" t="inlineStr">
        <is>
          <t>M</t>
        </is>
      </c>
      <c r="I32">
        <v>8</v>
      </c>
      <c r="J32">
        <v>4</v>
      </c>
      <c r="K32">
        <v>22</v>
      </c>
      <c r="L32">
        <v>1</v>
      </c>
      <c r="M32"/>
      <c r="N32" s="1">
        <v>112400</v>
      </c>
      <c r="O32" s="1">
        <v>10537.5</v>
      </c>
      <c r="P32" s="1">
        <v>57956.25</v>
      </c>
      <c r="Q32" s="1">
        <v>3512.5</v>
      </c>
      <c r="R32"/>
      <c r="S32" s="1">
        <v>4000</v>
      </c>
      <c r="T32"/>
      <c r="U32"/>
      <c r="V32"/>
      <c r="W32"/>
      <c r="X32"/>
      <c r="Y32" s="1">
        <v>228800</v>
      </c>
      <c r="Z32" s="1">
        <v>11440</v>
      </c>
      <c r="AA32" s="1">
        <v>228800</v>
      </c>
      <c r="AB32" s="1">
        <v>217360</v>
      </c>
    </row>
    <row r="33" spans="1:28" x14ac:dyDescent="0.25">
      <c r="A33" t="inlineStr">
        <is>
          <t>C1793</t>
        </is>
      </c>
      <c r="B33" t="inlineStr">
        <is>
          <t>SAVIOUR UDO</t>
        </is>
      </c>
      <c r="C33" t="inlineStr">
        <is>
          <t>ITORO</t>
        </is>
      </c>
      <c r="D33" t="inlineStr">
        <is>
          <t>WELDER</t>
        </is>
      </c>
      <c r="E33" t="inlineStr">
        <is>
          <t>AGEGE</t>
        </is>
      </c>
      <c r="F33" s="1">
        <v>13550</v>
      </c>
      <c r="G33">
        <v>37</v>
      </c>
      <c r="H33" t="inlineStr">
        <is>
          <t>M</t>
        </is>
      </c>
      <c r="I33">
        <v>21</v>
      </c>
      <c r="J33"/>
      <c r="K33">
        <v>28</v>
      </c>
      <c r="L33">
        <v>4</v>
      </c>
      <c r="M33"/>
      <c r="N33" s="1">
        <v>284550</v>
      </c>
      <c r="O33"/>
      <c r="P33" s="1">
        <v>71137.5</v>
      </c>
      <c r="Q33" s="1">
        <v>13550</v>
      </c>
      <c r="R33"/>
      <c r="S33" s="1">
        <v>10500</v>
      </c>
      <c r="T33"/>
      <c r="U33"/>
      <c r="V33"/>
      <c r="W33"/>
      <c r="X33"/>
      <c r="Y33" s="1">
        <v>423097.5</v>
      </c>
      <c r="Z33" s="1">
        <v>21154.88</v>
      </c>
      <c r="AA33" s="1">
        <v>423097.5</v>
      </c>
      <c r="AB33" s="1">
        <v>401942.62</v>
      </c>
    </row>
    <row r="34" spans="1:28" x14ac:dyDescent="0.25">
      <c r="A34" t="inlineStr">
        <is>
          <t>C1804</t>
        </is>
      </c>
      <c r="B34" t="inlineStr">
        <is>
          <t>UMA</t>
        </is>
      </c>
      <c r="C34" t="inlineStr">
        <is>
          <t>KALU</t>
        </is>
      </c>
      <c r="D34" t="inlineStr">
        <is>
          <t>GRINDER</t>
        </is>
      </c>
      <c r="E34" t="inlineStr">
        <is>
          <t>AGEGE</t>
        </is>
      </c>
      <c r="F34" s="1">
        <v>10250</v>
      </c>
      <c r="G34">
        <v>57</v>
      </c>
      <c r="H34" t="inlineStr">
        <is>
          <t>M</t>
        </is>
      </c>
      <c r="I34">
        <v>21</v>
      </c>
      <c r="J34"/>
      <c r="K34">
        <v>32</v>
      </c>
      <c r="L34">
        <v>4</v>
      </c>
      <c r="M34"/>
      <c r="N34" s="1">
        <v>215250</v>
      </c>
      <c r="O34"/>
      <c r="P34" s="1">
        <v>61500</v>
      </c>
      <c r="Q34" s="1">
        <v>10250</v>
      </c>
      <c r="R34"/>
      <c r="S34" s="1">
        <v>10500</v>
      </c>
      <c r="T34"/>
      <c r="U34"/>
      <c r="V34"/>
      <c r="W34"/>
      <c r="X34"/>
      <c r="Y34" s="1">
        <v>318000</v>
      </c>
      <c r="Z34" s="1">
        <v>15900</v>
      </c>
      <c r="AA34" s="1">
        <v>318000</v>
      </c>
      <c r="AB34" s="1">
        <v>302100</v>
      </c>
    </row>
    <row r="35" spans="1:28" x14ac:dyDescent="0.25">
      <c r="A35" t="inlineStr">
        <is>
          <t>C1820</t>
        </is>
      </c>
      <c r="B35" t="inlineStr">
        <is>
          <t>SUNDAY</t>
        </is>
      </c>
      <c r="C35" t="inlineStr">
        <is>
          <t>OKORO</t>
        </is>
      </c>
      <c r="D35" t="inlineStr">
        <is>
          <t>FITTER</t>
        </is>
      </c>
      <c r="E35" t="inlineStr">
        <is>
          <t>IDI_ORO</t>
        </is>
      </c>
      <c r="F35" s="1">
        <v>14050</v>
      </c>
      <c r="G35">
        <v>56</v>
      </c>
      <c r="H35" t="inlineStr">
        <is>
          <t>M</t>
        </is>
      </c>
      <c r="I35">
        <v>21</v>
      </c>
      <c r="J35"/>
      <c r="K35">
        <v>19.2</v>
      </c>
      <c r="L35">
        <v>1</v>
      </c>
      <c r="M35"/>
      <c r="N35" s="1">
        <v>295050</v>
      </c>
      <c r="O35"/>
      <c r="P35" s="1">
        <v>50580</v>
      </c>
      <c r="Q35" s="1">
        <v>3512.5</v>
      </c>
      <c r="R35"/>
      <c r="S35" s="1">
        <v>10500</v>
      </c>
      <c r="T35"/>
      <c r="U35"/>
      <c r="V35"/>
      <c r="W35"/>
      <c r="X35"/>
      <c r="Y35" s="1">
        <v>387742.5</v>
      </c>
      <c r="Z35" s="1">
        <v>19387.13</v>
      </c>
      <c r="AA35" s="1">
        <v>387742.5</v>
      </c>
      <c r="AB35" s="1">
        <v>368355.37</v>
      </c>
    </row>
    <row r="36" spans="1:28" x14ac:dyDescent="0.25">
      <c r="A36" t="inlineStr">
        <is>
          <t>C1823</t>
        </is>
      </c>
      <c r="B36" t="inlineStr">
        <is>
          <t>MATTHEW</t>
        </is>
      </c>
      <c r="C36" t="inlineStr">
        <is>
          <t>EGBUJOR</t>
        </is>
      </c>
      <c r="D36" t="inlineStr">
        <is>
          <t>GRINDER</t>
        </is>
      </c>
      <c r="E36" t="inlineStr">
        <is>
          <t>IDI_ORO</t>
        </is>
      </c>
      <c r="F36" s="1">
        <v>10250</v>
      </c>
      <c r="G36">
        <v>61</v>
      </c>
      <c r="H36" t="inlineStr">
        <is>
          <t>M</t>
        </is>
      </c>
      <c r="I36">
        <v>21</v>
      </c>
      <c r="J36"/>
      <c r="K36">
        <v>23.6</v>
      </c>
      <c r="L36">
        <v>1</v>
      </c>
      <c r="M36"/>
      <c r="N36" s="1">
        <v>215250</v>
      </c>
      <c r="O36"/>
      <c r="P36" s="1">
        <v>45356.25</v>
      </c>
      <c r="Q36" s="1">
        <v>2562.5</v>
      </c>
      <c r="R36"/>
      <c r="S36" s="1">
        <v>10500</v>
      </c>
      <c r="T36"/>
      <c r="U36"/>
      <c r="V36"/>
      <c r="W36"/>
      <c r="X36"/>
      <c r="Y36" s="1">
        <v>296731.25</v>
      </c>
      <c r="Z36" s="1">
        <v>14836.56</v>
      </c>
      <c r="AA36" s="1">
        <v>296731.25</v>
      </c>
      <c r="AB36" s="1">
        <v>281894.69</v>
      </c>
    </row>
    <row r="37" spans="1:28" x14ac:dyDescent="0.25">
      <c r="A37" t="inlineStr">
        <is>
          <t>C1824</t>
        </is>
      </c>
      <c r="B37" t="inlineStr">
        <is>
          <t>ALPHONSUS</t>
        </is>
      </c>
      <c r="C37" t="inlineStr">
        <is>
          <t>ADAOWO</t>
        </is>
      </c>
      <c r="D37" t="inlineStr">
        <is>
          <t>FITTER</t>
        </is>
      </c>
      <c r="E37" t="inlineStr">
        <is>
          <t>IDI_ORO</t>
        </is>
      </c>
      <c r="F37" s="1">
        <v>14050</v>
      </c>
      <c r="G37">
        <v>45</v>
      </c>
      <c r="H37" t="inlineStr">
        <is>
          <t>M</t>
        </is>
      </c>
      <c r="I37">
        <v>20</v>
      </c>
      <c r="J37"/>
      <c r="K37">
        <v>20.2</v>
      </c>
      <c r="L37">
        <v>1</v>
      </c>
      <c r="M37"/>
      <c r="N37" s="1">
        <v>281000</v>
      </c>
      <c r="O37"/>
      <c r="P37" s="1">
        <v>53214.38</v>
      </c>
      <c r="Q37" s="1">
        <v>3512.5</v>
      </c>
      <c r="R37"/>
      <c r="S37" s="1">
        <v>10000</v>
      </c>
      <c r="T37"/>
      <c r="U37"/>
      <c r="V37"/>
      <c r="W37"/>
      <c r="X37"/>
      <c r="Y37" s="1">
        <v>375826.88</v>
      </c>
      <c r="Z37" s="1">
        <v>18791.34</v>
      </c>
      <c r="AA37" s="1">
        <v>375826.88</v>
      </c>
      <c r="AB37" s="1">
        <v>357035.54</v>
      </c>
    </row>
    <row r="38" spans="1:28" x14ac:dyDescent="0.25">
      <c r="A38" t="inlineStr">
        <is>
          <t>C1840</t>
        </is>
      </c>
      <c r="B38" t="inlineStr">
        <is>
          <t>FRIDAY</t>
        </is>
      </c>
      <c r="C38" t="inlineStr">
        <is>
          <t>ISINGUZO</t>
        </is>
      </c>
      <c r="D38" t="inlineStr">
        <is>
          <t>GRINDER</t>
        </is>
      </c>
      <c r="E38" t="inlineStr">
        <is>
          <t>IDI_ORO</t>
        </is>
      </c>
      <c r="F38" s="1">
        <v>10250</v>
      </c>
      <c r="G38">
        <v>59</v>
      </c>
      <c r="H38" t="inlineStr">
        <is>
          <t>M</t>
        </is>
      </c>
      <c r="I38">
        <v>21</v>
      </c>
      <c r="J38"/>
      <c r="K38">
        <v>26.6</v>
      </c>
      <c r="L38">
        <v>1</v>
      </c>
      <c r="M38"/>
      <c r="N38" s="1">
        <v>215250</v>
      </c>
      <c r="O38"/>
      <c r="P38" s="1">
        <v>51121.88</v>
      </c>
      <c r="Q38" s="1">
        <v>2562.5</v>
      </c>
      <c r="R38"/>
      <c r="S38" s="1">
        <v>10500</v>
      </c>
      <c r="T38"/>
      <c r="U38"/>
      <c r="V38"/>
      <c r="W38"/>
      <c r="X38"/>
      <c r="Y38" s="1">
        <v>302496.88</v>
      </c>
      <c r="Z38" s="1">
        <v>15124.84</v>
      </c>
      <c r="AA38" s="1">
        <v>302496.88</v>
      </c>
      <c r="AB38" s="1">
        <v>287372.04</v>
      </c>
    </row>
    <row r="39" spans="1:28" x14ac:dyDescent="0.25">
      <c r="A39" t="inlineStr">
        <is>
          <t>C1849</t>
        </is>
      </c>
      <c r="B39" t="inlineStr">
        <is>
          <t>SUCCESS JAMES</t>
        </is>
      </c>
      <c r="C39" t="inlineStr">
        <is>
          <t>OKORIE</t>
        </is>
      </c>
      <c r="D39" t="inlineStr">
        <is>
          <t>FACTORY CLEANER</t>
        </is>
      </c>
      <c r="E39" t="inlineStr">
        <is>
          <t>IDI_ORO</t>
        </is>
      </c>
      <c r="F39" s="1">
        <v>8600</v>
      </c>
      <c r="G39">
        <v>35</v>
      </c>
      <c r="H39" t="inlineStr">
        <is>
          <t>M</t>
        </is>
      </c>
      <c r="I39">
        <v>21</v>
      </c>
      <c r="J39"/>
      <c r="K39">
        <v>19</v>
      </c>
      <c r="L39">
        <v>1</v>
      </c>
      <c r="M39"/>
      <c r="N39" s="1">
        <v>180600</v>
      </c>
      <c r="O39"/>
      <c r="P39" s="1">
        <v>30637.5</v>
      </c>
      <c r="Q39" s="1">
        <v>2150</v>
      </c>
      <c r="R39"/>
      <c r="S39" s="1">
        <v>10500</v>
      </c>
      <c r="T39"/>
      <c r="U39"/>
      <c r="V39"/>
      <c r="W39"/>
      <c r="X39"/>
      <c r="Y39" s="1">
        <v>243237.5</v>
      </c>
      <c r="Z39" s="1">
        <v>12161.88</v>
      </c>
      <c r="AA39" s="1">
        <v>243237.5</v>
      </c>
      <c r="AB39" s="1">
        <v>231075.62</v>
      </c>
    </row>
    <row r="40" spans="1:28" x14ac:dyDescent="0.25">
      <c r="A40" t="inlineStr">
        <is>
          <t>C1870</t>
        </is>
      </c>
      <c r="B40" t="inlineStr">
        <is>
          <t>JOHN</t>
        </is>
      </c>
      <c r="C40" t="inlineStr">
        <is>
          <t>OHIEMBOR</t>
        </is>
      </c>
      <c r="D40" t="inlineStr">
        <is>
          <t>PREP. SUP</t>
        </is>
      </c>
      <c r="E40" t="inlineStr">
        <is>
          <t>AGEGE</t>
        </is>
      </c>
      <c r="F40" s="1">
        <v>16200</v>
      </c>
      <c r="G40">
        <v>68</v>
      </c>
      <c r="H40" t="inlineStr">
        <is>
          <t>M</t>
        </is>
      </c>
      <c r="I40">
        <v>21</v>
      </c>
      <c r="J40"/>
      <c r="K40">
        <v>36</v>
      </c>
      <c r="L40"/>
      <c r="M40"/>
      <c r="N40" s="1">
        <v>340200</v>
      </c>
      <c r="O40"/>
      <c r="P40" s="1">
        <v>109350</v>
      </c>
      <c r="Q40"/>
      <c r="R40"/>
      <c r="S40" s="1">
        <v>10500</v>
      </c>
      <c r="T40"/>
      <c r="U40"/>
      <c r="V40"/>
      <c r="W40"/>
      <c r="X40"/>
      <c r="Y40" s="1">
        <v>464100</v>
      </c>
      <c r="Z40" s="1">
        <v>23205</v>
      </c>
      <c r="AA40" s="1">
        <v>464100</v>
      </c>
      <c r="AB40" s="1">
        <v>440895</v>
      </c>
    </row>
    <row r="41" spans="1:28" x14ac:dyDescent="0.25">
      <c r="A41" t="inlineStr">
        <is>
          <t>C1882</t>
        </is>
      </c>
      <c r="B41" t="inlineStr">
        <is>
          <t>MOMOH</t>
        </is>
      </c>
      <c r="C41" t="inlineStr">
        <is>
          <t>MOHAMMED</t>
        </is>
      </c>
      <c r="D41" t="inlineStr">
        <is>
          <t>FITTER SUPERVISOR</t>
        </is>
      </c>
      <c r="E41" t="inlineStr">
        <is>
          <t>IDI_ORO</t>
        </is>
      </c>
      <c r="F41" s="1">
        <v>17850</v>
      </c>
      <c r="G41">
        <v>52</v>
      </c>
      <c r="H41" t="inlineStr">
        <is>
          <t>M</t>
        </is>
      </c>
      <c r="I41">
        <v>19</v>
      </c>
      <c r="J41">
        <v>4</v>
      </c>
      <c r="K41">
        <v>25.2</v>
      </c>
      <c r="L41">
        <v>22.7</v>
      </c>
      <c r="M41"/>
      <c r="N41" s="1">
        <v>339150</v>
      </c>
      <c r="O41" s="1">
        <v>13387.5</v>
      </c>
      <c r="P41" s="1">
        <v>84341.25</v>
      </c>
      <c r="Q41" s="1">
        <v>101298.75</v>
      </c>
      <c r="R41"/>
      <c r="S41" s="1">
        <v>9500</v>
      </c>
      <c r="T41"/>
      <c r="U41"/>
      <c r="V41"/>
      <c r="W41"/>
      <c r="X41"/>
      <c r="Y41" s="1">
        <v>602120</v>
      </c>
      <c r="Z41" s="1">
        <v>30106</v>
      </c>
      <c r="AA41" s="1">
        <v>602120</v>
      </c>
      <c r="AB41" s="1">
        <v>572014</v>
      </c>
    </row>
    <row r="42" spans="1:28" x14ac:dyDescent="0.25">
      <c r="A42" t="inlineStr">
        <is>
          <t>C1883</t>
        </is>
      </c>
      <c r="B42" t="inlineStr">
        <is>
          <t>BELLO</t>
        </is>
      </c>
      <c r="C42" t="inlineStr">
        <is>
          <t>YAYA</t>
        </is>
      </c>
      <c r="D42" t="inlineStr">
        <is>
          <t>BURNER</t>
        </is>
      </c>
      <c r="E42" t="inlineStr">
        <is>
          <t>IDI_ORO</t>
        </is>
      </c>
      <c r="F42" s="1">
        <v>8250</v>
      </c>
      <c r="G42">
        <v>55</v>
      </c>
      <c r="H42" t="inlineStr">
        <is>
          <t>M</t>
        </is>
      </c>
      <c r="I42">
        <v>16</v>
      </c>
      <c r="J42"/>
      <c r="K42">
        <v>17</v>
      </c>
      <c r="L42">
        <v>1</v>
      </c>
      <c r="M42"/>
      <c r="N42" s="1">
        <v>132000</v>
      </c>
      <c r="O42"/>
      <c r="P42" s="1">
        <v>26296.88</v>
      </c>
      <c r="Q42" s="1">
        <v>2062.5</v>
      </c>
      <c r="R42"/>
      <c r="S42" s="1">
        <v>8000</v>
      </c>
      <c r="T42"/>
      <c r="U42"/>
      <c r="V42"/>
      <c r="W42"/>
      <c r="X42"/>
      <c r="Y42" s="1">
        <v>186921.88</v>
      </c>
      <c r="Z42" s="1">
        <v>9346.09</v>
      </c>
      <c r="AA42" s="1">
        <v>186921.88</v>
      </c>
      <c r="AB42" s="1">
        <v>177575.79</v>
      </c>
    </row>
    <row r="43" spans="1:28" x14ac:dyDescent="0.25">
      <c r="A43" t="inlineStr">
        <is>
          <t>C1888</t>
        </is>
      </c>
      <c r="B43" t="inlineStr">
        <is>
          <t>OLATUNJI</t>
        </is>
      </c>
      <c r="C43" t="inlineStr">
        <is>
          <t>YEKINI</t>
        </is>
      </c>
      <c r="D43" t="inlineStr">
        <is>
          <t>6GR (SMAW &amp; GTAW)</t>
        </is>
      </c>
      <c r="E43" t="inlineStr">
        <is>
          <t>IDI_ORO</t>
        </is>
      </c>
      <c r="F43" s="1">
        <v>16700</v>
      </c>
      <c r="G43">
        <v>57</v>
      </c>
      <c r="H43" t="inlineStr">
        <is>
          <t>M</t>
        </is>
      </c>
      <c r="I43">
        <v>21</v>
      </c>
      <c r="J43">
        <v>2</v>
      </c>
      <c r="K43">
        <v>9</v>
      </c>
      <c r="L43"/>
      <c r="M43"/>
      <c r="N43" s="1">
        <v>350700</v>
      </c>
      <c r="O43" s="1">
        <v>6262.5</v>
      </c>
      <c r="P43" s="1">
        <v>28181.25</v>
      </c>
      <c r="Q43"/>
      <c r="R43"/>
      <c r="S43" s="1">
        <v>10500</v>
      </c>
      <c r="T43"/>
      <c r="U43"/>
      <c r="V43"/>
      <c r="W43"/>
      <c r="X43"/>
      <c r="Y43" s="1">
        <v>433218.75</v>
      </c>
      <c r="Z43" s="1">
        <v>21660.94</v>
      </c>
      <c r="AA43" s="1">
        <v>433218.75</v>
      </c>
      <c r="AB43" s="1">
        <v>411557.81</v>
      </c>
    </row>
    <row r="44" spans="1:28" x14ac:dyDescent="0.25">
      <c r="A44" t="inlineStr">
        <is>
          <t>C1920</t>
        </is>
      </c>
      <c r="B44" t="inlineStr">
        <is>
          <t>AZEEZ</t>
        </is>
      </c>
      <c r="C44" t="inlineStr">
        <is>
          <t>LATEEF</t>
        </is>
      </c>
      <c r="D44" t="inlineStr">
        <is>
          <t>BLASTER/PAINTER</t>
        </is>
      </c>
      <c r="E44" t="inlineStr">
        <is>
          <t>IDI_ORO</t>
        </is>
      </c>
      <c r="F44" s="1">
        <v>12750</v>
      </c>
      <c r="G44">
        <v>56</v>
      </c>
      <c r="H44" t="inlineStr">
        <is>
          <t>M</t>
        </is>
      </c>
      <c r="I44">
        <v>21</v>
      </c>
      <c r="J44"/>
      <c r="K44">
        <v>18</v>
      </c>
      <c r="L44">
        <v>38.2</v>
      </c>
      <c r="M44"/>
      <c r="N44" s="1">
        <v>267750</v>
      </c>
      <c r="O44"/>
      <c r="P44" s="1">
        <v>43031.25</v>
      </c>
      <c r="Q44" s="1">
        <v>121762.5</v>
      </c>
      <c r="R44"/>
      <c r="S44" s="1">
        <v>10500</v>
      </c>
      <c r="T44"/>
      <c r="U44"/>
      <c r="V44"/>
      <c r="W44"/>
      <c r="X44"/>
      <c r="Y44" s="1">
        <v>471731.25</v>
      </c>
      <c r="Z44" s="1">
        <v>23586.56</v>
      </c>
      <c r="AA44" s="1">
        <v>471731.25</v>
      </c>
      <c r="AB44" s="1">
        <v>448144.69</v>
      </c>
    </row>
    <row r="45" spans="1:28" x14ac:dyDescent="0.25">
      <c r="A45" t="inlineStr">
        <is>
          <t>C1926</t>
        </is>
      </c>
      <c r="B45" t="inlineStr">
        <is>
          <t>NZEDURU</t>
        </is>
      </c>
      <c r="C45" t="inlineStr">
        <is>
          <t>NGOZIKA</t>
        </is>
      </c>
      <c r="D45" t="inlineStr">
        <is>
          <t>3G WELDER</t>
        </is>
      </c>
      <c r="E45" t="inlineStr">
        <is>
          <t>AGEGE</t>
        </is>
      </c>
      <c r="F45" s="1">
        <v>13550</v>
      </c>
      <c r="G45">
        <v>43</v>
      </c>
      <c r="H45" t="inlineStr">
        <is>
          <t>M</t>
        </is>
      </c>
      <c r="I45">
        <v>21</v>
      </c>
      <c r="J45"/>
      <c r="K45">
        <v>34</v>
      </c>
      <c r="L45">
        <v>4</v>
      </c>
      <c r="M45"/>
      <c r="N45" s="1">
        <v>284550</v>
      </c>
      <c r="O45"/>
      <c r="P45" s="1">
        <v>86381.25</v>
      </c>
      <c r="Q45" s="1">
        <v>13550</v>
      </c>
      <c r="R45"/>
      <c r="S45" s="1">
        <v>10500</v>
      </c>
      <c r="T45"/>
      <c r="U45"/>
      <c r="V45"/>
      <c r="W45"/>
      <c r="X45"/>
      <c r="Y45" s="1">
        <v>422081.25</v>
      </c>
      <c r="Z45" s="1">
        <v>21104.06</v>
      </c>
      <c r="AA45" s="1">
        <v>422081.25</v>
      </c>
      <c r="AB45" s="1">
        <v>400977.19</v>
      </c>
    </row>
    <row r="46" spans="1:28" x14ac:dyDescent="0.25">
      <c r="A46" t="inlineStr">
        <is>
          <t>C1931</t>
        </is>
      </c>
      <c r="B46" t="inlineStr">
        <is>
          <t>EZEKIEL</t>
        </is>
      </c>
      <c r="C46" t="inlineStr">
        <is>
          <t>ABIODUN</t>
        </is>
      </c>
      <c r="D46" t="inlineStr">
        <is>
          <t>BLASTER/PAINTER</t>
        </is>
      </c>
      <c r="E46" t="inlineStr">
        <is>
          <t>AGEGE</t>
        </is>
      </c>
      <c r="F46" s="1">
        <v>12750</v>
      </c>
      <c r="G46">
        <v>46</v>
      </c>
      <c r="H46" t="inlineStr">
        <is>
          <t>M</t>
        </is>
      </c>
      <c r="I46">
        <v>21</v>
      </c>
      <c r="J46"/>
      <c r="K46">
        <v>8</v>
      </c>
      <c r="L46">
        <v>1</v>
      </c>
      <c r="M46"/>
      <c r="N46" s="1">
        <v>267750</v>
      </c>
      <c r="O46"/>
      <c r="P46" s="1">
        <v>19125</v>
      </c>
      <c r="Q46" s="1">
        <v>3187.5</v>
      </c>
      <c r="R46"/>
      <c r="S46" s="1">
        <v>10500</v>
      </c>
      <c r="T46"/>
      <c r="U46"/>
      <c r="V46"/>
      <c r="W46"/>
      <c r="X46"/>
      <c r="Y46" s="1">
        <v>322875</v>
      </c>
      <c r="Z46" s="1">
        <v>16143.75</v>
      </c>
      <c r="AA46" s="1">
        <v>322875</v>
      </c>
      <c r="AB46" s="1">
        <v>306731.25</v>
      </c>
    </row>
    <row r="47" spans="1:28" x14ac:dyDescent="0.25">
      <c r="A47" t="inlineStr">
        <is>
          <t>C1933</t>
        </is>
      </c>
      <c r="B47" t="inlineStr">
        <is>
          <t>TAJUDEEN</t>
        </is>
      </c>
      <c r="C47" t="inlineStr">
        <is>
          <t>ADESEYE</t>
        </is>
      </c>
      <c r="D47" t="inlineStr">
        <is>
          <t>BLASTER / PAINTER</t>
        </is>
      </c>
      <c r="E47" t="inlineStr">
        <is>
          <t>AGEGE</t>
        </is>
      </c>
      <c r="F47" s="1">
        <v>12750</v>
      </c>
      <c r="G47">
        <v>52</v>
      </c>
      <c r="H47" t="inlineStr">
        <is>
          <t>M</t>
        </is>
      </c>
      <c r="I47">
        <v>21</v>
      </c>
      <c r="J47"/>
      <c r="K47">
        <v>8</v>
      </c>
      <c r="L47">
        <v>1</v>
      </c>
      <c r="M47"/>
      <c r="N47" s="1">
        <v>267750</v>
      </c>
      <c r="O47"/>
      <c r="P47" s="1">
        <v>19125</v>
      </c>
      <c r="Q47" s="1">
        <v>3187.5</v>
      </c>
      <c r="R47"/>
      <c r="S47" s="1">
        <v>10500</v>
      </c>
      <c r="T47"/>
      <c r="U47"/>
      <c r="V47"/>
      <c r="W47"/>
      <c r="X47"/>
      <c r="Y47" s="1">
        <v>322875</v>
      </c>
      <c r="Z47" s="1">
        <v>16143.75</v>
      </c>
      <c r="AA47" s="1">
        <v>322875</v>
      </c>
      <c r="AB47" s="1">
        <v>306731.25</v>
      </c>
    </row>
    <row r="48" spans="1:28" x14ac:dyDescent="0.25">
      <c r="A48" t="inlineStr">
        <is>
          <t>C1938</t>
        </is>
      </c>
      <c r="B48" t="inlineStr">
        <is>
          <t>ABRAHAM</t>
        </is>
      </c>
      <c r="C48" t="inlineStr">
        <is>
          <t>ONYEMERI</t>
        </is>
      </c>
      <c r="D48" t="inlineStr">
        <is>
          <t>WELDER</t>
        </is>
      </c>
      <c r="E48" t="inlineStr">
        <is>
          <t>IDI_ORO</t>
        </is>
      </c>
      <c r="F48" s="1">
        <v>20100</v>
      </c>
      <c r="G48">
        <v>47</v>
      </c>
      <c r="H48" t="inlineStr">
        <is>
          <t>M</t>
        </is>
      </c>
      <c r="I48">
        <v>21</v>
      </c>
      <c r="J48">
        <v>8</v>
      </c>
      <c r="K48">
        <v>9</v>
      </c>
      <c r="L48"/>
      <c r="M48"/>
      <c r="N48" s="1">
        <v>422100</v>
      </c>
      <c r="O48" s="1">
        <v>30150</v>
      </c>
      <c r="P48" s="1">
        <v>33918.75</v>
      </c>
      <c r="Q48"/>
      <c r="R48"/>
      <c r="S48" s="1">
        <v>10500</v>
      </c>
      <c r="T48"/>
      <c r="U48"/>
      <c r="V48"/>
      <c r="W48"/>
      <c r="X48"/>
      <c r="Y48" s="1">
        <v>541893.75</v>
      </c>
      <c r="Z48" s="1">
        <v>27094.69</v>
      </c>
      <c r="AA48" s="1">
        <v>541893.75</v>
      </c>
      <c r="AB48" s="1">
        <v>514799.06</v>
      </c>
    </row>
    <row r="49" spans="1:28" x14ac:dyDescent="0.25">
      <c r="A49" t="inlineStr">
        <is>
          <t>C1954</t>
        </is>
      </c>
      <c r="B49" t="inlineStr">
        <is>
          <t>KUFREOBONG</t>
        </is>
      </c>
      <c r="C49" t="inlineStr">
        <is>
          <t>AKPAN</t>
        </is>
      </c>
      <c r="D49" t="inlineStr">
        <is>
          <t>MECHANIC</t>
        </is>
      </c>
      <c r="E49" t="inlineStr">
        <is>
          <t>AGEGE</t>
        </is>
      </c>
      <c r="F49" s="1">
        <v>10250</v>
      </c>
      <c r="G49">
        <v>46</v>
      </c>
      <c r="H49" t="inlineStr">
        <is>
          <t>M</t>
        </is>
      </c>
      <c r="I49">
        <v>21</v>
      </c>
      <c r="J49">
        <v>11</v>
      </c>
      <c r="K49">
        <v>30</v>
      </c>
      <c r="L49">
        <v>39</v>
      </c>
      <c r="M49"/>
      <c r="N49" s="1">
        <v>215250</v>
      </c>
      <c r="O49" s="1">
        <v>21140.63</v>
      </c>
      <c r="P49" s="1">
        <v>57656.25</v>
      </c>
      <c r="Q49" s="1">
        <v>99937.5</v>
      </c>
      <c r="R49"/>
      <c r="S49" s="1">
        <v>10500</v>
      </c>
      <c r="T49"/>
      <c r="U49"/>
      <c r="V49"/>
      <c r="W49"/>
      <c r="X49"/>
      <c r="Y49" s="1">
        <v>422421.88</v>
      </c>
      <c r="Z49" s="1">
        <v>21121.09</v>
      </c>
      <c r="AA49" s="1">
        <v>422421.88</v>
      </c>
      <c r="AB49" s="1">
        <v>401300.79</v>
      </c>
    </row>
    <row r="50" spans="1:28" x14ac:dyDescent="0.25">
      <c r="A50" t="inlineStr">
        <is>
          <t>C1955</t>
        </is>
      </c>
      <c r="B50" t="inlineStr">
        <is>
          <t>AIYEDE</t>
        </is>
      </c>
      <c r="C50" t="inlineStr">
        <is>
          <t>OKERE</t>
        </is>
      </c>
      <c r="D50" t="inlineStr">
        <is>
          <t>RIGGER</t>
        </is>
      </c>
      <c r="E50" t="inlineStr">
        <is>
          <t>AGEGE</t>
        </is>
      </c>
      <c r="F50" s="1">
        <v>11575</v>
      </c>
      <c r="G50">
        <v>59</v>
      </c>
      <c r="H50" t="inlineStr">
        <is>
          <t>M</t>
        </is>
      </c>
      <c r="I50">
        <v>21</v>
      </c>
      <c r="J50"/>
      <c r="K50">
        <v>32</v>
      </c>
      <c r="L50">
        <v>1</v>
      </c>
      <c r="M50"/>
      <c r="N50" s="1">
        <v>243075</v>
      </c>
      <c r="O50"/>
      <c r="P50" s="1">
        <v>69450</v>
      </c>
      <c r="Q50" s="1">
        <v>2893.75</v>
      </c>
      <c r="R50"/>
      <c r="S50" s="1">
        <v>10500</v>
      </c>
      <c r="T50"/>
      <c r="U50"/>
      <c r="V50"/>
      <c r="W50"/>
      <c r="X50"/>
      <c r="Y50" s="1">
        <v>346175</v>
      </c>
      <c r="Z50" s="1">
        <v>17308.75</v>
      </c>
      <c r="AA50" s="1">
        <v>346175</v>
      </c>
      <c r="AB50" s="1">
        <v>328866.25</v>
      </c>
    </row>
    <row r="51" spans="1:28" x14ac:dyDescent="0.25">
      <c r="A51" t="inlineStr">
        <is>
          <t>C1966</t>
        </is>
      </c>
      <c r="B51" t="inlineStr">
        <is>
          <t>ADEMOLA</t>
        </is>
      </c>
      <c r="C51" t="inlineStr">
        <is>
          <t>BELLO</t>
        </is>
      </c>
      <c r="D51" t="inlineStr">
        <is>
          <t>RIGGER</t>
        </is>
      </c>
      <c r="E51" t="inlineStr">
        <is>
          <t>IDI_ORO</t>
        </is>
      </c>
      <c r="F51" s="1">
        <v>13150</v>
      </c>
      <c r="G51">
        <v>55</v>
      </c>
      <c r="H51" t="inlineStr">
        <is>
          <t>M</t>
        </is>
      </c>
      <c r="I51">
        <v>21</v>
      </c>
      <c r="J51"/>
      <c r="K51">
        <v>17</v>
      </c>
      <c r="L51">
        <v>10</v>
      </c>
      <c r="M51"/>
      <c r="N51" s="1">
        <v>276150</v>
      </c>
      <c r="O51"/>
      <c r="P51" s="1">
        <v>41915.63</v>
      </c>
      <c r="Q51" s="1">
        <v>32875</v>
      </c>
      <c r="R51"/>
      <c r="S51" s="1">
        <v>10500</v>
      </c>
      <c r="T51"/>
      <c r="U51"/>
      <c r="V51"/>
      <c r="W51"/>
      <c r="X51"/>
      <c r="Y51" s="1">
        <v>384453.13</v>
      </c>
      <c r="Z51" s="1">
        <v>19222.66</v>
      </c>
      <c r="AA51" s="1">
        <v>384453.13</v>
      </c>
      <c r="AB51" s="1">
        <v>365230.47</v>
      </c>
    </row>
    <row r="52" spans="1:28" x14ac:dyDescent="0.25">
      <c r="A52" t="inlineStr">
        <is>
          <t>C1967</t>
        </is>
      </c>
      <c r="B52" t="inlineStr">
        <is>
          <t>SUNDAY</t>
        </is>
      </c>
      <c r="C52" t="inlineStr">
        <is>
          <t>ADESUGBA</t>
        </is>
      </c>
      <c r="D52" t="inlineStr">
        <is>
          <t>RIGGER</t>
        </is>
      </c>
      <c r="E52" t="inlineStr">
        <is>
          <t>IDI_ORO</t>
        </is>
      </c>
      <c r="F52" s="1">
        <v>13150</v>
      </c>
      <c r="G52">
        <v>55</v>
      </c>
      <c r="H52" t="inlineStr">
        <is>
          <t>M</t>
        </is>
      </c>
      <c r="I52">
        <v>21</v>
      </c>
      <c r="J52">
        <v>1</v>
      </c>
      <c r="K52">
        <v>17</v>
      </c>
      <c r="L52">
        <v>10</v>
      </c>
      <c r="M52"/>
      <c r="N52" s="1">
        <v>276150</v>
      </c>
      <c r="O52" s="1">
        <v>2465.63</v>
      </c>
      <c r="P52" s="1">
        <v>41915.63</v>
      </c>
      <c r="Q52" s="1">
        <v>32875</v>
      </c>
      <c r="R52"/>
      <c r="S52" s="1">
        <v>10500</v>
      </c>
      <c r="T52"/>
      <c r="U52"/>
      <c r="V52"/>
      <c r="W52"/>
      <c r="X52"/>
      <c r="Y52" s="1">
        <v>393493.76</v>
      </c>
      <c r="Z52" s="1">
        <v>19674.69</v>
      </c>
      <c r="AA52" s="1">
        <v>393493.76</v>
      </c>
      <c r="AB52" s="1">
        <v>373819.07</v>
      </c>
    </row>
    <row r="53" spans="1:28" x14ac:dyDescent="0.25">
      <c r="A53" t="inlineStr">
        <is>
          <t>C1975</t>
        </is>
      </c>
      <c r="B53" t="inlineStr">
        <is>
          <t>TOYIN</t>
        </is>
      </c>
      <c r="C53" t="inlineStr">
        <is>
          <t>AKINNIFESI</t>
        </is>
      </c>
      <c r="D53" t="inlineStr">
        <is>
          <t>DRILLER</t>
        </is>
      </c>
      <c r="E53" t="inlineStr">
        <is>
          <t>AGEGE</t>
        </is>
      </c>
      <c r="F53" s="1">
        <v>10250</v>
      </c>
      <c r="G53">
        <v>47</v>
      </c>
      <c r="H53" t="inlineStr">
        <is>
          <t>M</t>
        </is>
      </c>
      <c r="I53">
        <v>21</v>
      </c>
      <c r="J53"/>
      <c r="K53">
        <v>30</v>
      </c>
      <c r="L53">
        <v>4</v>
      </c>
      <c r="M53"/>
      <c r="N53" s="1">
        <v>215250</v>
      </c>
      <c r="O53"/>
      <c r="P53" s="1">
        <v>57656.25</v>
      </c>
      <c r="Q53" s="1">
        <v>10250</v>
      </c>
      <c r="R53"/>
      <c r="S53" s="1">
        <v>10500</v>
      </c>
      <c r="T53"/>
      <c r="U53"/>
      <c r="V53"/>
      <c r="W53"/>
      <c r="X53"/>
      <c r="Y53" s="1">
        <v>318768.75</v>
      </c>
      <c r="Z53" s="1">
        <v>15938.44</v>
      </c>
      <c r="AA53" s="1">
        <v>318768.75</v>
      </c>
      <c r="AB53" s="1">
        <v>302830.31</v>
      </c>
    </row>
    <row r="54" spans="1:28" x14ac:dyDescent="0.25">
      <c r="A54" t="inlineStr">
        <is>
          <t>C1979</t>
        </is>
      </c>
      <c r="B54" t="inlineStr">
        <is>
          <t>YUSUF</t>
        </is>
      </c>
      <c r="C54" t="inlineStr">
        <is>
          <t>WAHABI</t>
        </is>
      </c>
      <c r="D54" t="inlineStr">
        <is>
          <t>MECHANIC</t>
        </is>
      </c>
      <c r="E54" t="inlineStr">
        <is>
          <t>IDI_ORO</t>
        </is>
      </c>
      <c r="F54" s="1">
        <v>10250</v>
      </c>
      <c r="G54">
        <v>47</v>
      </c>
      <c r="H54" t="inlineStr">
        <is>
          <t>M</t>
        </is>
      </c>
      <c r="I54">
        <v>21</v>
      </c>
      <c r="J54">
        <v>8</v>
      </c>
      <c r="K54">
        <v>29</v>
      </c>
      <c r="L54">
        <v>15</v>
      </c>
      <c r="M54"/>
      <c r="N54" s="1">
        <v>215250</v>
      </c>
      <c r="O54" s="1">
        <v>15375</v>
      </c>
      <c r="P54" s="1">
        <v>55734.38</v>
      </c>
      <c r="Q54" s="1">
        <v>38437.5</v>
      </c>
      <c r="R54"/>
      <c r="S54" s="1">
        <v>10500</v>
      </c>
      <c r="T54"/>
      <c r="U54"/>
      <c r="V54"/>
      <c r="W54"/>
      <c r="X54"/>
      <c r="Y54" s="1">
        <v>353234.38</v>
      </c>
      <c r="Z54" s="1">
        <v>17661.72</v>
      </c>
      <c r="AA54" s="1">
        <v>353234.38</v>
      </c>
      <c r="AB54" s="1">
        <v>335572.66</v>
      </c>
    </row>
    <row r="55" spans="1:28" x14ac:dyDescent="0.25">
      <c r="A55" t="inlineStr">
        <is>
          <t>C1982</t>
        </is>
      </c>
      <c r="B55" t="inlineStr">
        <is>
          <t>WASIU</t>
        </is>
      </c>
      <c r="C55" t="inlineStr">
        <is>
          <t>BUSARI</t>
        </is>
      </c>
      <c r="D55" t="inlineStr">
        <is>
          <t>PAINTER</t>
        </is>
      </c>
      <c r="E55" t="inlineStr">
        <is>
          <t>IDI_ORO</t>
        </is>
      </c>
      <c r="F55" s="1">
        <v>12750</v>
      </c>
      <c r="G55">
        <v>44</v>
      </c>
      <c r="H55" t="inlineStr">
        <is>
          <t>M</t>
        </is>
      </c>
      <c r="I55">
        <v>21</v>
      </c>
      <c r="J55"/>
      <c r="K55">
        <v>1</v>
      </c>
      <c r="L55">
        <v>11.9</v>
      </c>
      <c r="M55"/>
      <c r="N55" s="1">
        <v>267750</v>
      </c>
      <c r="O55"/>
      <c r="P55" s="1">
        <v>2390.63</v>
      </c>
      <c r="Q55" s="1">
        <v>37931.25</v>
      </c>
      <c r="R55"/>
      <c r="S55" s="1">
        <v>10500</v>
      </c>
      <c r="T55"/>
      <c r="U55"/>
      <c r="V55"/>
      <c r="W55"/>
      <c r="X55"/>
      <c r="Y55" s="1">
        <v>350128.13</v>
      </c>
      <c r="Z55" s="1">
        <v>17506.41</v>
      </c>
      <c r="AA55" s="1">
        <v>350128.13</v>
      </c>
      <c r="AB55" s="1">
        <v>332621.72</v>
      </c>
    </row>
    <row r="56" spans="1:28" x14ac:dyDescent="0.25">
      <c r="A56" t="inlineStr">
        <is>
          <t>C1983</t>
        </is>
      </c>
      <c r="B56" t="inlineStr">
        <is>
          <t>EMEKA</t>
        </is>
      </c>
      <c r="C56" t="inlineStr">
        <is>
          <t>EBEYE</t>
        </is>
      </c>
      <c r="D56" t="inlineStr">
        <is>
          <t>PAINTER</t>
        </is>
      </c>
      <c r="E56" t="inlineStr">
        <is>
          <t>IDI_ORO</t>
        </is>
      </c>
      <c r="F56" s="1">
        <v>12750</v>
      </c>
      <c r="G56">
        <v>43</v>
      </c>
      <c r="H56" t="inlineStr">
        <is>
          <t>M</t>
        </is>
      </c>
      <c r="I56">
        <v>21</v>
      </c>
      <c r="J56"/>
      <c r="K56">
        <v>1</v>
      </c>
      <c r="L56">
        <v>10</v>
      </c>
      <c r="M56"/>
      <c r="N56" s="1">
        <v>267750</v>
      </c>
      <c r="O56"/>
      <c r="P56" s="1">
        <v>2390.63</v>
      </c>
      <c r="Q56" s="1">
        <v>31875</v>
      </c>
      <c r="R56"/>
      <c r="S56" s="1">
        <v>10500</v>
      </c>
      <c r="T56"/>
      <c r="U56"/>
      <c r="V56"/>
      <c r="W56"/>
      <c r="X56"/>
      <c r="Y56" s="1">
        <v>338015.63</v>
      </c>
      <c r="Z56" s="1">
        <v>16900.78</v>
      </c>
      <c r="AA56" s="1">
        <v>338015.63</v>
      </c>
      <c r="AB56" s="1">
        <v>321114.85</v>
      </c>
    </row>
    <row r="57" spans="1:28" x14ac:dyDescent="0.25">
      <c r="A57" t="inlineStr">
        <is>
          <t>C1989</t>
        </is>
      </c>
      <c r="B57" t="inlineStr">
        <is>
          <t>OLAWALE</t>
        </is>
      </c>
      <c r="C57" t="inlineStr">
        <is>
          <t>SADIQ</t>
        </is>
      </c>
      <c r="D57" t="inlineStr">
        <is>
          <t>STORE MATE</t>
        </is>
      </c>
      <c r="E57" t="inlineStr">
        <is>
          <t>AGEGE</t>
        </is>
      </c>
      <c r="F57" s="1">
        <v>8600</v>
      </c>
      <c r="G57">
        <v>46</v>
      </c>
      <c r="H57" t="inlineStr">
        <is>
          <t>M</t>
        </is>
      </c>
      <c r="I57">
        <v>21</v>
      </c>
      <c r="J57"/>
      <c r="K57">
        <v>28</v>
      </c>
      <c r="L57">
        <v>22</v>
      </c>
      <c r="M57"/>
      <c r="N57" s="1">
        <v>180600</v>
      </c>
      <c r="O57"/>
      <c r="P57" s="1">
        <v>45150</v>
      </c>
      <c r="Q57" s="1">
        <v>47300</v>
      </c>
      <c r="R57"/>
      <c r="S57" s="1">
        <v>10500</v>
      </c>
      <c r="T57"/>
      <c r="U57"/>
      <c r="V57"/>
      <c r="W57"/>
      <c r="X57"/>
      <c r="Y57" s="1">
        <v>302900</v>
      </c>
      <c r="Z57" s="1">
        <v>15145</v>
      </c>
      <c r="AA57" s="1">
        <v>302900</v>
      </c>
      <c r="AB57" s="1">
        <v>287755</v>
      </c>
    </row>
    <row r="58" spans="1:28" x14ac:dyDescent="0.25">
      <c r="A58" t="inlineStr">
        <is>
          <t>C2000</t>
        </is>
      </c>
      <c r="B58" t="inlineStr">
        <is>
          <t>KAREEM</t>
        </is>
      </c>
      <c r="C58" t="inlineStr">
        <is>
          <t>USMAN</t>
        </is>
      </c>
      <c r="D58" t="inlineStr">
        <is>
          <t>3G SMAW WELDER</t>
        </is>
      </c>
      <c r="E58" t="inlineStr">
        <is>
          <t>AGEGE</t>
        </is>
      </c>
      <c r="F58" s="1">
        <v>13550</v>
      </c>
      <c r="G58">
        <v>55</v>
      </c>
      <c r="H58" t="inlineStr">
        <is>
          <t>M</t>
        </is>
      </c>
      <c r="I58">
        <v>21</v>
      </c>
      <c r="J58"/>
      <c r="K58">
        <v>28</v>
      </c>
      <c r="L58">
        <v>4</v>
      </c>
      <c r="M58"/>
      <c r="N58" s="1">
        <v>284550</v>
      </c>
      <c r="O58"/>
      <c r="P58" s="1">
        <v>71137.5</v>
      </c>
      <c r="Q58" s="1">
        <v>13550</v>
      </c>
      <c r="R58"/>
      <c r="S58" s="1">
        <v>10500</v>
      </c>
      <c r="T58"/>
      <c r="U58"/>
      <c r="V58"/>
      <c r="W58"/>
      <c r="X58"/>
      <c r="Y58" s="1">
        <v>415645</v>
      </c>
      <c r="Z58" s="1">
        <v>20782.25</v>
      </c>
      <c r="AA58" s="1">
        <v>415645</v>
      </c>
      <c r="AB58" s="1">
        <v>394862.75</v>
      </c>
    </row>
    <row r="59" spans="1:28" x14ac:dyDescent="0.25">
      <c r="A59" t="inlineStr">
        <is>
          <t>C2002</t>
        </is>
      </c>
      <c r="B59" t="inlineStr">
        <is>
          <t>CHIBUEZE</t>
        </is>
      </c>
      <c r="C59" t="inlineStr">
        <is>
          <t>NWOSU</t>
        </is>
      </c>
      <c r="D59" t="inlineStr">
        <is>
          <t>6G WELDER</t>
        </is>
      </c>
      <c r="E59" t="inlineStr">
        <is>
          <t>IDI_ORO</t>
        </is>
      </c>
      <c r="F59" s="1">
        <v>16700</v>
      </c>
      <c r="G59">
        <v>55</v>
      </c>
      <c r="H59" t="inlineStr">
        <is>
          <t>M</t>
        </is>
      </c>
      <c r="I59">
        <v>21</v>
      </c>
      <c r="J59">
        <v>2</v>
      </c>
      <c r="K59">
        <v>9</v>
      </c>
      <c r="L59"/>
      <c r="M59"/>
      <c r="N59" s="1">
        <v>350700</v>
      </c>
      <c r="O59" s="1">
        <v>6262.5</v>
      </c>
      <c r="P59" s="1">
        <v>28181.25</v>
      </c>
      <c r="Q59"/>
      <c r="R59"/>
      <c r="S59" s="1">
        <v>10500</v>
      </c>
      <c r="T59"/>
      <c r="U59"/>
      <c r="V59"/>
      <c r="W59"/>
      <c r="X59"/>
      <c r="Y59" s="1">
        <v>433218.75</v>
      </c>
      <c r="Z59" s="1">
        <v>21660.94</v>
      </c>
      <c r="AA59" s="1">
        <v>433218.75</v>
      </c>
      <c r="AB59" s="1">
        <v>411557.81</v>
      </c>
    </row>
    <row r="60" spans="1:28" x14ac:dyDescent="0.25">
      <c r="A60" t="inlineStr">
        <is>
          <t>C2011</t>
        </is>
      </c>
      <c r="B60" t="inlineStr">
        <is>
          <t>ADEBAYO</t>
        </is>
      </c>
      <c r="C60" t="inlineStr">
        <is>
          <t>AJAYI</t>
        </is>
      </c>
      <c r="D60" t="inlineStr">
        <is>
          <t>FITTER</t>
        </is>
      </c>
      <c r="E60" t="inlineStr">
        <is>
          <t>AGEGE</t>
        </is>
      </c>
      <c r="F60" s="1">
        <v>14050</v>
      </c>
      <c r="G60">
        <v>55</v>
      </c>
      <c r="H60" t="inlineStr">
        <is>
          <t>M</t>
        </is>
      </c>
      <c r="I60">
        <v>21</v>
      </c>
      <c r="J60"/>
      <c r="K60">
        <v>34</v>
      </c>
      <c r="L60"/>
      <c r="M60"/>
      <c r="N60" s="1">
        <v>295050</v>
      </c>
      <c r="O60"/>
      <c r="P60" s="1">
        <v>89568.75</v>
      </c>
      <c r="Q60"/>
      <c r="R60"/>
      <c r="S60" s="1">
        <v>10500</v>
      </c>
      <c r="T60"/>
      <c r="U60"/>
      <c r="V60"/>
      <c r="W60"/>
      <c r="X60"/>
      <c r="Y60" s="1">
        <v>398631.25</v>
      </c>
      <c r="Z60" s="1">
        <v>19931.56</v>
      </c>
      <c r="AA60" s="1">
        <v>398631.25</v>
      </c>
      <c r="AB60" s="1">
        <v>378699.69</v>
      </c>
    </row>
    <row r="61" spans="1:28" x14ac:dyDescent="0.25">
      <c r="A61" t="inlineStr">
        <is>
          <t>C2015</t>
        </is>
      </c>
      <c r="B61" t="inlineStr">
        <is>
          <t>FESTUS</t>
        </is>
      </c>
      <c r="C61" t="inlineStr">
        <is>
          <t>AMUNE</t>
        </is>
      </c>
      <c r="D61" t="inlineStr">
        <is>
          <t>FITTER</t>
        </is>
      </c>
      <c r="E61" t="inlineStr">
        <is>
          <t>AGEGE</t>
        </is>
      </c>
      <c r="F61" s="1">
        <v>11750</v>
      </c>
      <c r="G61">
        <v>51</v>
      </c>
      <c r="H61" t="inlineStr">
        <is>
          <t>M</t>
        </is>
      </c>
      <c r="I61">
        <v>21</v>
      </c>
      <c r="J61"/>
      <c r="K61">
        <v>9</v>
      </c>
      <c r="L61"/>
      <c r="M61"/>
      <c r="N61" s="1">
        <v>246750</v>
      </c>
      <c r="O61"/>
      <c r="P61" s="1">
        <v>19828.13</v>
      </c>
      <c r="Q61"/>
      <c r="R61"/>
      <c r="S61" s="1">
        <v>10500</v>
      </c>
      <c r="T61"/>
      <c r="U61"/>
      <c r="V61"/>
      <c r="W61"/>
      <c r="X61"/>
      <c r="Y61" s="1">
        <v>280015.63</v>
      </c>
      <c r="Z61" s="1">
        <v>14000.78</v>
      </c>
      <c r="AA61" s="1">
        <v>280015.63</v>
      </c>
      <c r="AB61" s="1">
        <v>266014.85</v>
      </c>
    </row>
    <row r="62" spans="1:28" x14ac:dyDescent="0.25">
      <c r="A62" t="inlineStr">
        <is>
          <t>C2023</t>
        </is>
      </c>
      <c r="B62" t="inlineStr">
        <is>
          <t>DAVID</t>
        </is>
      </c>
      <c r="C62" t="inlineStr">
        <is>
          <t>IDIKA</t>
        </is>
      </c>
      <c r="D62" t="inlineStr">
        <is>
          <t>SCAFFOLDER</t>
        </is>
      </c>
      <c r="E62" t="inlineStr">
        <is>
          <t>IDI_ORO</t>
        </is>
      </c>
      <c r="F62" s="1">
        <v>13250</v>
      </c>
      <c r="G62">
        <v>55</v>
      </c>
      <c r="H62" t="inlineStr">
        <is>
          <t>M</t>
        </is>
      </c>
      <c r="I62">
        <v>21</v>
      </c>
      <c r="J62"/>
      <c r="K62">
        <v>1</v>
      </c>
      <c r="L62"/>
      <c r="M62"/>
      <c r="N62" s="1">
        <v>278250</v>
      </c>
      <c r="O62"/>
      <c r="P62" s="1">
        <v>2484.38</v>
      </c>
      <c r="Q62"/>
      <c r="R62"/>
      <c r="S62" s="1">
        <v>10500</v>
      </c>
      <c r="T62"/>
      <c r="U62"/>
      <c r="V62"/>
      <c r="W62"/>
      <c r="X62"/>
      <c r="Y62" s="1">
        <v>294546.88</v>
      </c>
      <c r="Z62" s="1">
        <v>14727.34</v>
      </c>
      <c r="AA62" s="1">
        <v>294546.88</v>
      </c>
      <c r="AB62" s="1">
        <v>279819.54</v>
      </c>
    </row>
    <row r="63" spans="1:28" x14ac:dyDescent="0.25">
      <c r="A63" t="inlineStr">
        <is>
          <t>C2052</t>
        </is>
      </c>
      <c r="B63" t="inlineStr">
        <is>
          <t>ACHEM</t>
        </is>
      </c>
      <c r="C63" t="inlineStr">
        <is>
          <t>OGWUCHE</t>
        </is>
      </c>
      <c r="D63" t="inlineStr">
        <is>
          <t>FITTER</t>
        </is>
      </c>
      <c r="E63" t="inlineStr">
        <is>
          <t>IDI_ORO</t>
        </is>
      </c>
      <c r="F63" s="1">
        <v>14050</v>
      </c>
      <c r="G63">
        <v>47</v>
      </c>
      <c r="H63" t="inlineStr">
        <is>
          <t>M</t>
        </is>
      </c>
      <c r="I63">
        <v>21</v>
      </c>
      <c r="J63"/>
      <c r="K63">
        <v>23.4</v>
      </c>
      <c r="L63">
        <v>1</v>
      </c>
      <c r="M63"/>
      <c r="N63" s="1">
        <v>295050</v>
      </c>
      <c r="O63"/>
      <c r="P63" s="1">
        <v>61644.38</v>
      </c>
      <c r="Q63" s="1">
        <v>3512.5</v>
      </c>
      <c r="R63"/>
      <c r="S63" s="1">
        <v>10500</v>
      </c>
      <c r="T63"/>
      <c r="U63"/>
      <c r="V63"/>
      <c r="W63"/>
      <c r="X63"/>
      <c r="Y63" s="1">
        <v>402319.38</v>
      </c>
      <c r="Z63" s="1">
        <v>20115.97</v>
      </c>
      <c r="AA63" s="1">
        <v>402319.38</v>
      </c>
      <c r="AB63" s="1">
        <v>382203.41</v>
      </c>
    </row>
    <row r="64" spans="1:28" x14ac:dyDescent="0.25">
      <c r="A64" t="inlineStr">
        <is>
          <t>C2080</t>
        </is>
      </c>
      <c r="B64" t="inlineStr">
        <is>
          <t>LATEEF</t>
        </is>
      </c>
      <c r="C64" t="inlineStr">
        <is>
          <t>OYELEYE</t>
        </is>
      </c>
      <c r="D64" t="inlineStr">
        <is>
          <t>RIGGER</t>
        </is>
      </c>
      <c r="E64" t="inlineStr">
        <is>
          <t>IDI_ORO</t>
        </is>
      </c>
      <c r="F64" s="1">
        <v>13150</v>
      </c>
      <c r="G64">
        <v>43</v>
      </c>
      <c r="H64" t="inlineStr">
        <is>
          <t>M</t>
        </is>
      </c>
      <c r="I64">
        <v>21</v>
      </c>
      <c r="J64">
        <v>11</v>
      </c>
      <c r="K64">
        <v>17</v>
      </c>
      <c r="L64">
        <v>2</v>
      </c>
      <c r="M64"/>
      <c r="N64" s="1">
        <v>276150</v>
      </c>
      <c r="O64" s="1">
        <v>27121.88</v>
      </c>
      <c r="P64" s="1">
        <v>41915.63</v>
      </c>
      <c r="Q64" s="1">
        <v>6575</v>
      </c>
      <c r="R64"/>
      <c r="S64" s="1">
        <v>10500</v>
      </c>
      <c r="T64"/>
      <c r="U64"/>
      <c r="V64"/>
      <c r="W64"/>
      <c r="X64"/>
      <c r="Y64" s="1">
        <v>385275.01</v>
      </c>
      <c r="Z64" s="1">
        <v>19263.75</v>
      </c>
      <c r="AA64" s="1">
        <v>385275.01</v>
      </c>
      <c r="AB64" s="1">
        <v>366011.26</v>
      </c>
    </row>
    <row r="65" spans="1:28" x14ac:dyDescent="0.25">
      <c r="A65" t="inlineStr">
        <is>
          <t>C2082</t>
        </is>
      </c>
      <c r="B65" t="inlineStr">
        <is>
          <t>OKEOWO</t>
        </is>
      </c>
      <c r="C65" t="inlineStr">
        <is>
          <t>ADEBANJO</t>
        </is>
      </c>
      <c r="D65" t="inlineStr">
        <is>
          <t>FORKLIFT OPERATOR</t>
        </is>
      </c>
      <c r="E65" t="inlineStr">
        <is>
          <t>AGEGE</t>
        </is>
      </c>
      <c r="F65" s="1">
        <v>12750</v>
      </c>
      <c r="G65">
        <v>40</v>
      </c>
      <c r="H65" t="inlineStr">
        <is>
          <t>M</t>
        </is>
      </c>
      <c r="I65">
        <v>21</v>
      </c>
      <c r="J65"/>
      <c r="K65">
        <v>30</v>
      </c>
      <c r="L65">
        <v>1</v>
      </c>
      <c r="M65"/>
      <c r="N65" s="1">
        <v>267750</v>
      </c>
      <c r="O65"/>
      <c r="P65" s="1">
        <v>71718.75</v>
      </c>
      <c r="Q65" s="1">
        <v>3187.5</v>
      </c>
      <c r="R65"/>
      <c r="S65" s="1">
        <v>10500</v>
      </c>
      <c r="T65"/>
      <c r="U65"/>
      <c r="V65"/>
      <c r="W65"/>
      <c r="X65"/>
      <c r="Y65" s="1">
        <v>375468.75</v>
      </c>
      <c r="Z65" s="1">
        <v>18773.44</v>
      </c>
      <c r="AA65" s="1">
        <v>375468.75</v>
      </c>
      <c r="AB65" s="1">
        <v>356695.31</v>
      </c>
    </row>
    <row r="66" spans="1:28" x14ac:dyDescent="0.25">
      <c r="A66" t="inlineStr">
        <is>
          <t>C2083</t>
        </is>
      </c>
      <c r="B66" t="inlineStr">
        <is>
          <t>STEVE</t>
        </is>
      </c>
      <c r="C66" t="inlineStr">
        <is>
          <t>EREGARE</t>
        </is>
      </c>
      <c r="D66" t="inlineStr">
        <is>
          <t>FITTER</t>
        </is>
      </c>
      <c r="E66" t="inlineStr">
        <is>
          <t>AGEGE</t>
        </is>
      </c>
      <c r="F66" s="1">
        <v>14050</v>
      </c>
      <c r="G66">
        <v>55</v>
      </c>
      <c r="H66" t="inlineStr">
        <is>
          <t>M</t>
        </is>
      </c>
      <c r="I66">
        <v>1</v>
      </c>
      <c r="J66"/>
      <c r="K66"/>
      <c r="L66"/>
      <c r="M66"/>
      <c r="N66" s="1">
        <v>14050</v>
      </c>
      <c r="O66"/>
      <c r="P66"/>
      <c r="Q66"/>
      <c r="R66"/>
      <c r="S66" s="1">
        <v>500</v>
      </c>
      <c r="T66"/>
      <c r="U66"/>
      <c r="V66"/>
      <c r="W66"/>
      <c r="X66"/>
      <c r="Y66" s="1">
        <v>14550</v>
      </c>
      <c r="Z66" s="1">
        <v>727.5</v>
      </c>
      <c r="AA66" s="1">
        <v>14550</v>
      </c>
      <c r="AB66" s="1">
        <v>13822.5</v>
      </c>
    </row>
    <row r="67" spans="1:28" x14ac:dyDescent="0.25">
      <c r="A67" t="inlineStr">
        <is>
          <t>C2087</t>
        </is>
      </c>
      <c r="B67" t="inlineStr">
        <is>
          <t>THOMPSON</t>
        </is>
      </c>
      <c r="C67" t="inlineStr">
        <is>
          <t>NKANU</t>
        </is>
      </c>
      <c r="D67" t="inlineStr">
        <is>
          <t>FITTER</t>
        </is>
      </c>
      <c r="E67" t="inlineStr">
        <is>
          <t>AGEGE</t>
        </is>
      </c>
      <c r="F67" s="1">
        <v>14050</v>
      </c>
      <c r="G67">
        <v>44</v>
      </c>
      <c r="H67" t="inlineStr">
        <is>
          <t>M</t>
        </is>
      </c>
      <c r="I67">
        <v>21</v>
      </c>
      <c r="J67"/>
      <c r="K67">
        <v>34</v>
      </c>
      <c r="L67"/>
      <c r="M67"/>
      <c r="N67" s="1">
        <v>295050</v>
      </c>
      <c r="O67"/>
      <c r="P67" s="1">
        <v>89568.75</v>
      </c>
      <c r="Q67"/>
      <c r="R67"/>
      <c r="S67" s="1">
        <v>10500</v>
      </c>
      <c r="T67"/>
      <c r="U67"/>
      <c r="V67"/>
      <c r="W67"/>
      <c r="X67"/>
      <c r="Y67" s="1">
        <v>398631.25</v>
      </c>
      <c r="Z67" s="1">
        <v>19931.56</v>
      </c>
      <c r="AA67" s="1">
        <v>398631.25</v>
      </c>
      <c r="AB67" s="1">
        <v>378699.69</v>
      </c>
    </row>
    <row r="68" spans="1:28" x14ac:dyDescent="0.25">
      <c r="A68" t="inlineStr">
        <is>
          <t>C2088</t>
        </is>
      </c>
      <c r="B68" t="inlineStr">
        <is>
          <t>GBOLAGADE</t>
        </is>
      </c>
      <c r="C68" t="inlineStr">
        <is>
          <t>RABIU</t>
        </is>
      </c>
      <c r="D68" t="inlineStr">
        <is>
          <t>RIGGER</t>
        </is>
      </c>
      <c r="E68" t="inlineStr">
        <is>
          <t>AGEGE</t>
        </is>
      </c>
      <c r="F68" s="1">
        <v>13150</v>
      </c>
      <c r="G68">
        <v>55</v>
      </c>
      <c r="H68" t="inlineStr">
        <is>
          <t>M</t>
        </is>
      </c>
      <c r="I68">
        <v>21</v>
      </c>
      <c r="J68"/>
      <c r="K68">
        <v>34</v>
      </c>
      <c r="L68">
        <v>1</v>
      </c>
      <c r="M68"/>
      <c r="N68" s="1">
        <v>276150</v>
      </c>
      <c r="O68"/>
      <c r="P68" s="1">
        <v>83831.25</v>
      </c>
      <c r="Q68" s="1">
        <v>3287.5</v>
      </c>
      <c r="R68"/>
      <c r="S68" s="1">
        <v>10500</v>
      </c>
      <c r="T68"/>
      <c r="U68"/>
      <c r="V68"/>
      <c r="W68"/>
      <c r="X68"/>
      <c r="Y68" s="1">
        <v>396781.25</v>
      </c>
      <c r="Z68" s="1">
        <v>19839.06</v>
      </c>
      <c r="AA68" s="1">
        <v>396781.25</v>
      </c>
      <c r="AB68" s="1">
        <v>376942.19</v>
      </c>
    </row>
    <row r="69" spans="1:28" x14ac:dyDescent="0.25">
      <c r="A69" t="inlineStr">
        <is>
          <t>C2097</t>
        </is>
      </c>
      <c r="B69" t="inlineStr">
        <is>
          <t>SUNDAY</t>
        </is>
      </c>
      <c r="C69" t="inlineStr">
        <is>
          <t>COKER</t>
        </is>
      </c>
      <c r="D69" t="inlineStr">
        <is>
          <t>BLASTER/PAINTER</t>
        </is>
      </c>
      <c r="E69" t="inlineStr">
        <is>
          <t>AGEGE</t>
        </is>
      </c>
      <c r="F69" s="1">
        <v>12750</v>
      </c>
      <c r="G69">
        <v>57</v>
      </c>
      <c r="H69" t="inlineStr">
        <is>
          <t>M</t>
        </is>
      </c>
      <c r="I69">
        <v>21</v>
      </c>
      <c r="J69"/>
      <c r="K69">
        <v>8</v>
      </c>
      <c r="L69">
        <v>1</v>
      </c>
      <c r="M69"/>
      <c r="N69" s="1">
        <v>267750</v>
      </c>
      <c r="O69"/>
      <c r="P69" s="1">
        <v>19125</v>
      </c>
      <c r="Q69" s="1">
        <v>3187.5</v>
      </c>
      <c r="R69"/>
      <c r="S69" s="1">
        <v>10500</v>
      </c>
      <c r="T69"/>
      <c r="U69"/>
      <c r="V69"/>
      <c r="W69"/>
      <c r="X69"/>
      <c r="Y69" s="1">
        <v>322875</v>
      </c>
      <c r="Z69" s="1">
        <v>16143.75</v>
      </c>
      <c r="AA69" s="1">
        <v>322875</v>
      </c>
      <c r="AB69" s="1">
        <v>306731.25</v>
      </c>
    </row>
    <row r="70" spans="1:28" x14ac:dyDescent="0.25">
      <c r="A70" t="inlineStr">
        <is>
          <t>C2098</t>
        </is>
      </c>
      <c r="B70" t="inlineStr">
        <is>
          <t>FEMI</t>
        </is>
      </c>
      <c r="C70" t="inlineStr">
        <is>
          <t>OLAITAN</t>
        </is>
      </c>
      <c r="D70" t="inlineStr">
        <is>
          <t>BLASTER/PAINTER</t>
        </is>
      </c>
      <c r="E70" t="inlineStr">
        <is>
          <t>AGEGE</t>
        </is>
      </c>
      <c r="F70" s="1">
        <v>12750</v>
      </c>
      <c r="G70">
        <v>45</v>
      </c>
      <c r="H70" t="inlineStr">
        <is>
          <t>M</t>
        </is>
      </c>
      <c r="I70">
        <v>21</v>
      </c>
      <c r="J70"/>
      <c r="K70">
        <v>8</v>
      </c>
      <c r="L70">
        <v>1</v>
      </c>
      <c r="M70"/>
      <c r="N70" s="1">
        <v>267750</v>
      </c>
      <c r="O70"/>
      <c r="P70" s="1">
        <v>19125</v>
      </c>
      <c r="Q70" s="1">
        <v>3187.5</v>
      </c>
      <c r="R70"/>
      <c r="S70" s="1">
        <v>10500</v>
      </c>
      <c r="T70"/>
      <c r="U70"/>
      <c r="V70"/>
      <c r="W70"/>
      <c r="X70"/>
      <c r="Y70" s="1">
        <v>322875</v>
      </c>
      <c r="Z70" s="1">
        <v>16143.75</v>
      </c>
      <c r="AA70" s="1">
        <v>322875</v>
      </c>
      <c r="AB70" s="1">
        <v>306731.25</v>
      </c>
    </row>
    <row r="71" spans="1:28" x14ac:dyDescent="0.25">
      <c r="A71" t="inlineStr">
        <is>
          <t>C2116</t>
        </is>
      </c>
      <c r="B71" t="inlineStr">
        <is>
          <t>FAMOUS</t>
        </is>
      </c>
      <c r="C71" t="inlineStr">
        <is>
          <t>OJADA</t>
        </is>
      </c>
      <c r="D71" t="inlineStr">
        <is>
          <t>SCAFFOLDER</t>
        </is>
      </c>
      <c r="E71" t="inlineStr">
        <is>
          <t>IDI_ORO</t>
        </is>
      </c>
      <c r="F71" s="1">
        <v>13250</v>
      </c>
      <c r="G71">
        <v>52</v>
      </c>
      <c r="H71" t="inlineStr">
        <is>
          <t>M</t>
        </is>
      </c>
      <c r="I71">
        <v>17</v>
      </c>
      <c r="J71">
        <v>64</v>
      </c>
      <c r="K71">
        <v>39</v>
      </c>
      <c r="L71">
        <v>65</v>
      </c>
      <c r="M71"/>
      <c r="N71" s="1">
        <v>225250</v>
      </c>
      <c r="O71" s="1">
        <v>159000</v>
      </c>
      <c r="P71" s="1">
        <v>96890.63</v>
      </c>
      <c r="Q71" s="1">
        <v>215312.5</v>
      </c>
      <c r="R71"/>
      <c r="S71" s="1">
        <v>8500</v>
      </c>
      <c r="T71"/>
      <c r="U71"/>
      <c r="V71"/>
      <c r="W71"/>
      <c r="X71"/>
      <c r="Y71" s="1">
        <v>704953.13</v>
      </c>
      <c r="Z71" s="1">
        <v>35247.66</v>
      </c>
      <c r="AA71" s="1">
        <v>704953.13</v>
      </c>
      <c r="AB71" s="1">
        <v>669705.47</v>
      </c>
    </row>
    <row r="72" spans="1:28" x14ac:dyDescent="0.25">
      <c r="A72" t="inlineStr">
        <is>
          <t>C2121</t>
        </is>
      </c>
      <c r="B72" t="inlineStr">
        <is>
          <t>JULIUS</t>
        </is>
      </c>
      <c r="C72" t="inlineStr">
        <is>
          <t>TAIWO</t>
        </is>
      </c>
      <c r="D72" t="inlineStr">
        <is>
          <t>FITTER</t>
        </is>
      </c>
      <c r="E72" t="inlineStr">
        <is>
          <t>AGEGE</t>
        </is>
      </c>
      <c r="F72" s="1">
        <v>14050</v>
      </c>
      <c r="G72">
        <v>53</v>
      </c>
      <c r="H72" t="inlineStr">
        <is>
          <t>M</t>
        </is>
      </c>
      <c r="I72">
        <v>21</v>
      </c>
      <c r="J72"/>
      <c r="K72">
        <v>32</v>
      </c>
      <c r="L72"/>
      <c r="M72"/>
      <c r="N72" s="1">
        <v>295050</v>
      </c>
      <c r="O72"/>
      <c r="P72" s="1">
        <v>84300</v>
      </c>
      <c r="Q72"/>
      <c r="R72"/>
      <c r="S72" s="1">
        <v>10500</v>
      </c>
      <c r="T72"/>
      <c r="U72"/>
      <c r="V72"/>
      <c r="W72"/>
      <c r="X72"/>
      <c r="Y72" s="1">
        <v>393362.5</v>
      </c>
      <c r="Z72" s="1">
        <v>19668.13</v>
      </c>
      <c r="AA72" s="1">
        <v>393362.5</v>
      </c>
      <c r="AB72" s="1">
        <v>373694.37</v>
      </c>
    </row>
    <row r="73" spans="1:28" x14ac:dyDescent="0.25">
      <c r="A73" t="inlineStr">
        <is>
          <t>C2129</t>
        </is>
      </c>
      <c r="B73" t="inlineStr">
        <is>
          <t>ANDREW</t>
        </is>
      </c>
      <c r="C73" t="inlineStr">
        <is>
          <t>OSINEKE</t>
        </is>
      </c>
      <c r="D73" t="inlineStr">
        <is>
          <t>CRANE OPERATOR</t>
        </is>
      </c>
      <c r="E73" t="inlineStr">
        <is>
          <t>IDI_ORO</t>
        </is>
      </c>
      <c r="F73" s="1">
        <v>10250</v>
      </c>
      <c r="G73">
        <v>55</v>
      </c>
      <c r="H73" t="inlineStr">
        <is>
          <t>M</t>
        </is>
      </c>
      <c r="I73">
        <v>21</v>
      </c>
      <c r="J73">
        <v>5.9</v>
      </c>
      <c r="K73">
        <v>16</v>
      </c>
      <c r="L73">
        <v>1</v>
      </c>
      <c r="M73"/>
      <c r="N73" s="1">
        <v>215250</v>
      </c>
      <c r="O73" s="1">
        <v>11339.06</v>
      </c>
      <c r="P73" s="1">
        <v>30750</v>
      </c>
      <c r="Q73" s="1">
        <v>2562.5</v>
      </c>
      <c r="R73"/>
      <c r="S73" s="1">
        <v>10500</v>
      </c>
      <c r="T73"/>
      <c r="U73"/>
      <c r="V73"/>
      <c r="W73"/>
      <c r="X73"/>
      <c r="Y73" s="1">
        <v>288339.06</v>
      </c>
      <c r="Z73" s="1">
        <v>14416.95</v>
      </c>
      <c r="AA73" s="1">
        <v>288339.06</v>
      </c>
      <c r="AB73" s="1">
        <v>273922.11</v>
      </c>
    </row>
    <row r="74" spans="1:28" x14ac:dyDescent="0.25">
      <c r="A74" t="inlineStr">
        <is>
          <t>C2130</t>
        </is>
      </c>
      <c r="B74" t="inlineStr">
        <is>
          <t>SHOLA</t>
        </is>
      </c>
      <c r="C74" t="inlineStr">
        <is>
          <t>ATOYEBI</t>
        </is>
      </c>
      <c r="D74" t="inlineStr">
        <is>
          <t>PAINTER</t>
        </is>
      </c>
      <c r="E74" t="inlineStr">
        <is>
          <t>IDI_ORO</t>
        </is>
      </c>
      <c r="F74" s="1">
        <v>12750</v>
      </c>
      <c r="G74">
        <v>58</v>
      </c>
      <c r="H74" t="inlineStr">
        <is>
          <t>M</t>
        </is>
      </c>
      <c r="I74">
        <v>21</v>
      </c>
      <c r="J74"/>
      <c r="K74">
        <v>1</v>
      </c>
      <c r="L74">
        <v>10</v>
      </c>
      <c r="M74"/>
      <c r="N74" s="1">
        <v>267750</v>
      </c>
      <c r="O74"/>
      <c r="P74" s="1">
        <v>2390.63</v>
      </c>
      <c r="Q74" s="1">
        <v>31875</v>
      </c>
      <c r="R74"/>
      <c r="S74" s="1">
        <v>10500</v>
      </c>
      <c r="T74"/>
      <c r="U74"/>
      <c r="V74"/>
      <c r="W74"/>
      <c r="X74"/>
      <c r="Y74" s="1">
        <v>338015.63</v>
      </c>
      <c r="Z74" s="1">
        <v>16900.78</v>
      </c>
      <c r="AA74" s="1">
        <v>338015.63</v>
      </c>
      <c r="AB74" s="1">
        <v>321114.85</v>
      </c>
    </row>
    <row r="75" spans="1:28" x14ac:dyDescent="0.25">
      <c r="A75" t="inlineStr">
        <is>
          <t>C2136</t>
        </is>
      </c>
      <c r="B75" t="inlineStr">
        <is>
          <t>JAMES</t>
        </is>
      </c>
      <c r="C75" t="inlineStr">
        <is>
          <t>NGELE</t>
        </is>
      </c>
      <c r="D75" t="inlineStr">
        <is>
          <t>GRINDER</t>
        </is>
      </c>
      <c r="E75" t="inlineStr">
        <is>
          <t>AGEGE</t>
        </is>
      </c>
      <c r="F75" s="1">
        <v>10250</v>
      </c>
      <c r="G75">
        <v>63</v>
      </c>
      <c r="H75" t="inlineStr">
        <is>
          <t>M</t>
        </is>
      </c>
      <c r="I75">
        <v>21</v>
      </c>
      <c r="J75"/>
      <c r="K75">
        <v>22</v>
      </c>
      <c r="L75">
        <v>4</v>
      </c>
      <c r="M75"/>
      <c r="N75" s="1">
        <v>215250</v>
      </c>
      <c r="O75"/>
      <c r="P75" s="1">
        <v>42281.25</v>
      </c>
      <c r="Q75" s="1">
        <v>10250</v>
      </c>
      <c r="R75"/>
      <c r="S75" s="1">
        <v>10500</v>
      </c>
      <c r="T75"/>
      <c r="U75"/>
      <c r="V75"/>
      <c r="W75"/>
      <c r="X75"/>
      <c r="Y75" s="1">
        <v>298781.25</v>
      </c>
      <c r="Z75" s="1">
        <v>14939.06</v>
      </c>
      <c r="AA75" s="1">
        <v>298781.25</v>
      </c>
      <c r="AB75" s="1">
        <v>283842.19</v>
      </c>
    </row>
    <row r="76" spans="1:28" x14ac:dyDescent="0.25">
      <c r="A76" t="inlineStr">
        <is>
          <t>C2138</t>
        </is>
      </c>
      <c r="B76" t="inlineStr">
        <is>
          <t>STANLEY</t>
        </is>
      </c>
      <c r="C76" t="inlineStr">
        <is>
          <t>AIGBEVBOILE</t>
        </is>
      </c>
      <c r="D76" t="inlineStr">
        <is>
          <t>ELECTRICIAN</t>
        </is>
      </c>
      <c r="E76" t="inlineStr">
        <is>
          <t>AGEGE</t>
        </is>
      </c>
      <c r="F76" s="1">
        <v>10250</v>
      </c>
      <c r="G76">
        <v>39</v>
      </c>
      <c r="H76" t="inlineStr">
        <is>
          <t>M</t>
        </is>
      </c>
      <c r="I76">
        <v>21</v>
      </c>
      <c r="J76">
        <v>10.1</v>
      </c>
      <c r="K76">
        <v>28</v>
      </c>
      <c r="L76">
        <v>39</v>
      </c>
      <c r="M76"/>
      <c r="N76" s="1">
        <v>215250</v>
      </c>
      <c r="O76" s="1">
        <v>19410.94</v>
      </c>
      <c r="P76" s="1">
        <v>53812.5</v>
      </c>
      <c r="Q76" s="1">
        <v>99937.5</v>
      </c>
      <c r="R76"/>
      <c r="S76" s="1">
        <v>10500</v>
      </c>
      <c r="T76"/>
      <c r="U76"/>
      <c r="V76"/>
      <c r="W76"/>
      <c r="X76"/>
      <c r="Y76" s="1">
        <v>416848.44</v>
      </c>
      <c r="Z76" s="1">
        <v>20842.42</v>
      </c>
      <c r="AA76" s="1">
        <v>416848.44</v>
      </c>
      <c r="AB76" s="1">
        <v>396006.02</v>
      </c>
    </row>
    <row r="77" spans="1:28" x14ac:dyDescent="0.25">
      <c r="A77" t="inlineStr">
        <is>
          <t>C2154</t>
        </is>
      </c>
      <c r="B77" t="inlineStr">
        <is>
          <t>SOLOMON</t>
        </is>
      </c>
      <c r="C77" t="inlineStr">
        <is>
          <t>BANKOLE</t>
        </is>
      </c>
      <c r="D77" t="inlineStr">
        <is>
          <t>FITTER 1</t>
        </is>
      </c>
      <c r="E77" t="inlineStr">
        <is>
          <t>IDI_ORO</t>
        </is>
      </c>
      <c r="F77" s="1">
        <v>14050</v>
      </c>
      <c r="G77">
        <v>46</v>
      </c>
      <c r="H77" t="inlineStr">
        <is>
          <t>M</t>
        </is>
      </c>
      <c r="I77">
        <v>21</v>
      </c>
      <c r="J77"/>
      <c r="K77">
        <v>22</v>
      </c>
      <c r="L77">
        <v>1</v>
      </c>
      <c r="M77"/>
      <c r="N77" s="1">
        <v>295050</v>
      </c>
      <c r="O77"/>
      <c r="P77" s="1">
        <v>57956.25</v>
      </c>
      <c r="Q77" s="1">
        <v>3512.5</v>
      </c>
      <c r="R77"/>
      <c r="S77" s="1">
        <v>10500</v>
      </c>
      <c r="T77"/>
      <c r="U77"/>
      <c r="V77"/>
      <c r="W77"/>
      <c r="X77"/>
      <c r="Y77" s="1">
        <v>395118.75</v>
      </c>
      <c r="Z77" s="1">
        <v>19755.94</v>
      </c>
      <c r="AA77" s="1">
        <v>395118.75</v>
      </c>
      <c r="AB77" s="1">
        <v>375362.81</v>
      </c>
    </row>
    <row r="78" spans="1:28" x14ac:dyDescent="0.25">
      <c r="A78" t="inlineStr">
        <is>
          <t>C2171</t>
        </is>
      </c>
      <c r="B78" t="inlineStr">
        <is>
          <t>LUCKY</t>
        </is>
      </c>
      <c r="C78" t="inlineStr">
        <is>
          <t>AZEMOBO</t>
        </is>
      </c>
      <c r="D78" t="inlineStr">
        <is>
          <t>FITTER</t>
        </is>
      </c>
      <c r="E78" t="inlineStr">
        <is>
          <t>AGEGE</t>
        </is>
      </c>
      <c r="F78" s="1">
        <v>14050</v>
      </c>
      <c r="G78">
        <v>55</v>
      </c>
      <c r="H78" t="inlineStr">
        <is>
          <t>M</t>
        </is>
      </c>
      <c r="I78">
        <v>21</v>
      </c>
      <c r="J78"/>
      <c r="K78"/>
      <c r="L78"/>
      <c r="M78"/>
      <c r="N78" s="1">
        <v>295050</v>
      </c>
      <c r="O78"/>
      <c r="P78"/>
      <c r="Q78"/>
      <c r="R78"/>
      <c r="S78" s="1">
        <v>10500</v>
      </c>
      <c r="T78"/>
      <c r="U78"/>
      <c r="V78"/>
      <c r="W78"/>
      <c r="X78"/>
      <c r="Y78" s="1">
        <v>305550</v>
      </c>
      <c r="Z78" s="1">
        <v>15277.5</v>
      </c>
      <c r="AA78" s="1">
        <v>305550</v>
      </c>
      <c r="AB78" s="1">
        <v>290272.5</v>
      </c>
    </row>
    <row r="79" spans="1:28" x14ac:dyDescent="0.25">
      <c r="A79" t="inlineStr">
        <is>
          <t>C2193</t>
        </is>
      </c>
      <c r="B79" t="inlineStr">
        <is>
          <t>DAVID NWACHUKWU</t>
        </is>
      </c>
      <c r="C79" t="inlineStr">
        <is>
          <t>EMEH</t>
        </is>
      </c>
      <c r="D79" t="inlineStr">
        <is>
          <t>SCAFFOLDER</t>
        </is>
      </c>
      <c r="E79" t="inlineStr">
        <is>
          <t>AGEGE</t>
        </is>
      </c>
      <c r="F79" s="1">
        <v>13250</v>
      </c>
      <c r="G79">
        <v>63</v>
      </c>
      <c r="H79" t="inlineStr">
        <is>
          <t>M</t>
        </is>
      </c>
      <c r="I79">
        <v>21</v>
      </c>
      <c r="J79"/>
      <c r="K79">
        <v>1</v>
      </c>
      <c r="L79">
        <v>10</v>
      </c>
      <c r="M79"/>
      <c r="N79" s="1">
        <v>278250</v>
      </c>
      <c r="O79"/>
      <c r="P79" s="1">
        <v>2484.38</v>
      </c>
      <c r="Q79" s="1">
        <v>33125</v>
      </c>
      <c r="R79"/>
      <c r="S79" s="1">
        <v>10500</v>
      </c>
      <c r="T79"/>
      <c r="U79"/>
      <c r="V79"/>
      <c r="W79"/>
      <c r="X79"/>
      <c r="Y79" s="1">
        <v>327671.88</v>
      </c>
      <c r="Z79" s="1">
        <v>16383.59</v>
      </c>
      <c r="AA79" s="1">
        <v>327671.88</v>
      </c>
      <c r="AB79" s="1">
        <v>311288.29</v>
      </c>
    </row>
    <row r="80" spans="1:28" x14ac:dyDescent="0.25">
      <c r="A80" t="inlineStr">
        <is>
          <t>C2220</t>
        </is>
      </c>
      <c r="B80" t="inlineStr">
        <is>
          <t>ABEL</t>
        </is>
      </c>
      <c r="C80" t="inlineStr">
        <is>
          <t>UGBEKILE</t>
        </is>
      </c>
      <c r="D80" t="inlineStr">
        <is>
          <t>CNC OPERATOR</t>
        </is>
      </c>
      <c r="E80" t="inlineStr">
        <is>
          <t>AGEGE</t>
        </is>
      </c>
      <c r="F80" s="1">
        <v>11750</v>
      </c>
      <c r="G80">
        <v>46</v>
      </c>
      <c r="H80" t="inlineStr">
        <is>
          <t>M</t>
        </is>
      </c>
      <c r="I80">
        <v>21</v>
      </c>
      <c r="J80"/>
      <c r="K80">
        <v>21</v>
      </c>
      <c r="L80"/>
      <c r="M80"/>
      <c r="N80" s="1">
        <v>246750</v>
      </c>
      <c r="O80"/>
      <c r="P80" s="1">
        <v>46265.63</v>
      </c>
      <c r="Q80"/>
      <c r="R80"/>
      <c r="S80" s="1">
        <v>10500</v>
      </c>
      <c r="T80"/>
      <c r="U80"/>
      <c r="V80"/>
      <c r="W80"/>
      <c r="X80"/>
      <c r="Y80" s="1">
        <v>306453.13</v>
      </c>
      <c r="Z80" s="1">
        <v>15322.66</v>
      </c>
      <c r="AA80" s="1">
        <v>306453.13</v>
      </c>
      <c r="AB80" s="1">
        <v>291130.47</v>
      </c>
    </row>
    <row r="81" spans="1:28" x14ac:dyDescent="0.25">
      <c r="A81" t="inlineStr">
        <is>
          <t>C2221</t>
        </is>
      </c>
      <c r="B81" t="inlineStr">
        <is>
          <t>KAMORUDEEN</t>
        </is>
      </c>
      <c r="C81" t="inlineStr">
        <is>
          <t>YUNUS</t>
        </is>
      </c>
      <c r="D81" t="inlineStr">
        <is>
          <t>CNC OPERATOR</t>
        </is>
      </c>
      <c r="E81" t="inlineStr">
        <is>
          <t>AGEGE</t>
        </is>
      </c>
      <c r="F81" s="1">
        <v>11750</v>
      </c>
      <c r="G81">
        <v>44</v>
      </c>
      <c r="H81" t="inlineStr">
        <is>
          <t>M</t>
        </is>
      </c>
      <c r="I81">
        <v>21</v>
      </c>
      <c r="J81"/>
      <c r="K81">
        <v>3</v>
      </c>
      <c r="L81"/>
      <c r="M81"/>
      <c r="N81" s="1">
        <v>246750</v>
      </c>
      <c r="O81"/>
      <c r="P81" s="1">
        <v>6609.38</v>
      </c>
      <c r="Q81"/>
      <c r="R81"/>
      <c r="S81" s="1">
        <v>10500</v>
      </c>
      <c r="T81"/>
      <c r="U81"/>
      <c r="V81"/>
      <c r="W81"/>
      <c r="X81"/>
      <c r="Y81" s="1">
        <v>266796.88</v>
      </c>
      <c r="Z81" s="1">
        <v>13339.84</v>
      </c>
      <c r="AA81" s="1">
        <v>266796.88</v>
      </c>
      <c r="AB81" s="1">
        <v>253457.04</v>
      </c>
    </row>
    <row r="82" spans="1:28" x14ac:dyDescent="0.25">
      <c r="A82" t="inlineStr">
        <is>
          <t>C2222</t>
        </is>
      </c>
      <c r="B82" t="inlineStr">
        <is>
          <t>ANTHONY</t>
        </is>
      </c>
      <c r="C82" t="inlineStr">
        <is>
          <t>EZEAGU</t>
        </is>
      </c>
      <c r="D82" t="inlineStr">
        <is>
          <t>CNC OPERATOR</t>
        </is>
      </c>
      <c r="E82" t="inlineStr">
        <is>
          <t>AGEGE</t>
        </is>
      </c>
      <c r="F82" s="1">
        <v>11750</v>
      </c>
      <c r="G82">
        <v>38</v>
      </c>
      <c r="H82" t="inlineStr">
        <is>
          <t>M</t>
        </is>
      </c>
      <c r="I82">
        <v>21</v>
      </c>
      <c r="J82"/>
      <c r="K82">
        <v>3</v>
      </c>
      <c r="L82"/>
      <c r="M82"/>
      <c r="N82" s="1">
        <v>246750</v>
      </c>
      <c r="O82"/>
      <c r="P82" s="1">
        <v>6609.38</v>
      </c>
      <c r="Q82"/>
      <c r="R82"/>
      <c r="S82" s="1">
        <v>10500</v>
      </c>
      <c r="T82"/>
      <c r="U82"/>
      <c r="V82"/>
      <c r="W82"/>
      <c r="X82"/>
      <c r="Y82" s="1">
        <v>266796.88</v>
      </c>
      <c r="Z82" s="1">
        <v>13339.84</v>
      </c>
      <c r="AA82" s="1">
        <v>266796.88</v>
      </c>
      <c r="AB82" s="1">
        <v>253457.04</v>
      </c>
    </row>
    <row r="83" spans="1:28" x14ac:dyDescent="0.25">
      <c r="A83" t="inlineStr">
        <is>
          <t>C2224</t>
        </is>
      </c>
      <c r="B83" t="inlineStr">
        <is>
          <t>CHRISTIAN</t>
        </is>
      </c>
      <c r="C83" t="inlineStr">
        <is>
          <t>AGBATA</t>
        </is>
      </c>
      <c r="D83" t="inlineStr">
        <is>
          <t>CNC OPERATOR</t>
        </is>
      </c>
      <c r="E83" t="inlineStr">
        <is>
          <t>AGEGE</t>
        </is>
      </c>
      <c r="F83" s="1">
        <v>11750</v>
      </c>
      <c r="G83">
        <v>43</v>
      </c>
      <c r="H83" t="inlineStr">
        <is>
          <t>M</t>
        </is>
      </c>
      <c r="I83">
        <v>21</v>
      </c>
      <c r="J83"/>
      <c r="K83">
        <v>3</v>
      </c>
      <c r="L83"/>
      <c r="M83"/>
      <c r="N83" s="1">
        <v>246750</v>
      </c>
      <c r="O83"/>
      <c r="P83" s="1">
        <v>6609.38</v>
      </c>
      <c r="Q83"/>
      <c r="R83"/>
      <c r="S83" s="1">
        <v>10500</v>
      </c>
      <c r="T83"/>
      <c r="U83"/>
      <c r="V83"/>
      <c r="W83"/>
      <c r="X83"/>
      <c r="Y83" s="1">
        <v>266796.88</v>
      </c>
      <c r="Z83" s="1">
        <v>13339.84</v>
      </c>
      <c r="AA83" s="1">
        <v>266796.88</v>
      </c>
      <c r="AB83" s="1">
        <v>253457.04</v>
      </c>
    </row>
    <row r="84" spans="1:28" x14ac:dyDescent="0.25">
      <c r="A84" t="inlineStr">
        <is>
          <t>C2225</t>
        </is>
      </c>
      <c r="B84" t="inlineStr">
        <is>
          <t>ABEL</t>
        </is>
      </c>
      <c r="C84" t="inlineStr">
        <is>
          <t>DANIEL</t>
        </is>
      </c>
      <c r="D84" t="inlineStr">
        <is>
          <t>CNC OPERATOR</t>
        </is>
      </c>
      <c r="E84" t="inlineStr">
        <is>
          <t>AGEGE</t>
        </is>
      </c>
      <c r="F84" s="1">
        <v>11750</v>
      </c>
      <c r="G84">
        <v>33</v>
      </c>
      <c r="H84" t="inlineStr">
        <is>
          <t>M</t>
        </is>
      </c>
      <c r="I84">
        <v>21</v>
      </c>
      <c r="J84"/>
      <c r="K84">
        <v>10.3</v>
      </c>
      <c r="L84"/>
      <c r="M84"/>
      <c r="N84" s="1">
        <v>246750</v>
      </c>
      <c r="O84"/>
      <c r="P84" s="1">
        <v>22692.19</v>
      </c>
      <c r="Q84"/>
      <c r="R84"/>
      <c r="S84" s="1">
        <v>10500</v>
      </c>
      <c r="T84"/>
      <c r="U84"/>
      <c r="V84"/>
      <c r="W84"/>
      <c r="X84"/>
      <c r="Y84" s="1">
        <v>300504.69</v>
      </c>
      <c r="Z84" s="1">
        <v>15025.23</v>
      </c>
      <c r="AA84" s="1">
        <v>300504.69</v>
      </c>
      <c r="AB84" s="1">
        <v>285479.46</v>
      </c>
    </row>
    <row r="85" spans="1:28" x14ac:dyDescent="0.25">
      <c r="A85" t="inlineStr">
        <is>
          <t>C2236</t>
        </is>
      </c>
      <c r="B85" t="inlineStr">
        <is>
          <t>KELVIN NDUBUISI</t>
        </is>
      </c>
      <c r="C85" t="inlineStr">
        <is>
          <t>IWUAGWU</t>
        </is>
      </c>
      <c r="D85" t="inlineStr">
        <is>
          <t>FITTER 1</t>
        </is>
      </c>
      <c r="E85" t="inlineStr">
        <is>
          <t>IDI_ORO</t>
        </is>
      </c>
      <c r="F85" s="1">
        <v>14050</v>
      </c>
      <c r="G85">
        <v>67</v>
      </c>
      <c r="H85" t="inlineStr">
        <is>
          <t>M</t>
        </is>
      </c>
      <c r="I85">
        <v>21</v>
      </c>
      <c r="J85"/>
      <c r="K85"/>
      <c r="L85">
        <v>1</v>
      </c>
      <c r="M85"/>
      <c r="N85" s="1">
        <v>295050</v>
      </c>
      <c r="O85"/>
      <c r="P85"/>
      <c r="Q85" s="1">
        <v>3512.5</v>
      </c>
      <c r="R85"/>
      <c r="S85" s="1">
        <v>10500</v>
      </c>
      <c r="T85"/>
      <c r="U85"/>
      <c r="V85"/>
      <c r="W85"/>
      <c r="X85"/>
      <c r="Y85" s="1">
        <v>353671.25</v>
      </c>
      <c r="Z85" s="1">
        <v>17683.56</v>
      </c>
      <c r="AA85" s="1">
        <v>353671.25</v>
      </c>
      <c r="AB85" s="1">
        <v>335987.69</v>
      </c>
    </row>
    <row r="86" spans="1:28" x14ac:dyDescent="0.25">
      <c r="A86" t="inlineStr">
        <is>
          <t>C2290</t>
        </is>
      </c>
      <c r="B86" t="inlineStr">
        <is>
          <t>OLUWATOSIN</t>
        </is>
      </c>
      <c r="C86" t="inlineStr">
        <is>
          <t>ADEBAYO</t>
        </is>
      </c>
      <c r="D86" t="inlineStr">
        <is>
          <t>TACK WELDER</t>
        </is>
      </c>
      <c r="E86" t="inlineStr">
        <is>
          <t>AGEGE</t>
        </is>
      </c>
      <c r="F86" s="1">
        <v>11575</v>
      </c>
      <c r="G86">
        <v>55</v>
      </c>
      <c r="H86" t="inlineStr">
        <is>
          <t>M</t>
        </is>
      </c>
      <c r="I86">
        <v>21</v>
      </c>
      <c r="J86"/>
      <c r="K86">
        <v>24</v>
      </c>
      <c r="L86">
        <v>4</v>
      </c>
      <c r="M86"/>
      <c r="N86" s="1">
        <v>243075</v>
      </c>
      <c r="O86"/>
      <c r="P86" s="1">
        <v>52087.5</v>
      </c>
      <c r="Q86" s="1">
        <v>11575</v>
      </c>
      <c r="R86"/>
      <c r="S86" s="1">
        <v>10500</v>
      </c>
      <c r="T86"/>
      <c r="U86"/>
      <c r="V86"/>
      <c r="W86"/>
      <c r="X86"/>
      <c r="Y86" s="1">
        <v>344149.38</v>
      </c>
      <c r="Z86" s="1">
        <v>17207.47</v>
      </c>
      <c r="AA86" s="1">
        <v>344149.38</v>
      </c>
      <c r="AB86" s="1">
        <v>326941.91</v>
      </c>
    </row>
    <row r="87" spans="1:28" x14ac:dyDescent="0.25">
      <c r="A87" t="inlineStr">
        <is>
          <t>C2291</t>
        </is>
      </c>
      <c r="B87" t="inlineStr">
        <is>
          <t>NGELE OKEY</t>
        </is>
      </c>
      <c r="C87" t="inlineStr">
        <is>
          <t>UMA</t>
        </is>
      </c>
      <c r="D87" t="inlineStr">
        <is>
          <t>FITTER-MATE</t>
        </is>
      </c>
      <c r="E87" t="inlineStr">
        <is>
          <t>AGEGE</t>
        </is>
      </c>
      <c r="F87" s="1">
        <v>8100</v>
      </c>
      <c r="G87">
        <v>55</v>
      </c>
      <c r="H87" t="inlineStr">
        <is>
          <t>M</t>
        </is>
      </c>
      <c r="I87">
        <v>21</v>
      </c>
      <c r="J87"/>
      <c r="K87">
        <v>22</v>
      </c>
      <c r="L87">
        <v>4</v>
      </c>
      <c r="M87"/>
      <c r="N87" s="1">
        <v>170100</v>
      </c>
      <c r="O87"/>
      <c r="P87" s="1">
        <v>33412.5</v>
      </c>
      <c r="Q87" s="1">
        <v>8100</v>
      </c>
      <c r="R87"/>
      <c r="S87" s="1">
        <v>10500</v>
      </c>
      <c r="T87"/>
      <c r="U87"/>
      <c r="V87"/>
      <c r="W87"/>
      <c r="X87"/>
      <c r="Y87" s="1">
        <v>240742.5</v>
      </c>
      <c r="Z87" s="1">
        <v>12037.13</v>
      </c>
      <c r="AA87" s="1">
        <v>240742.5</v>
      </c>
      <c r="AB87" s="1">
        <v>228705.37</v>
      </c>
    </row>
    <row r="88" spans="1:28" x14ac:dyDescent="0.25">
      <c r="A88" t="inlineStr">
        <is>
          <t>C2300</t>
        </is>
      </c>
      <c r="B88" t="inlineStr">
        <is>
          <t>GABRIEL PONMILE</t>
        </is>
      </c>
      <c r="C88" t="inlineStr">
        <is>
          <t>TAIWO</t>
        </is>
      </c>
      <c r="D88" t="inlineStr">
        <is>
          <t>FITTER</t>
        </is>
      </c>
      <c r="E88" t="inlineStr">
        <is>
          <t>AGEGE</t>
        </is>
      </c>
      <c r="F88" s="1">
        <v>14050</v>
      </c>
      <c r="G88">
        <v>55</v>
      </c>
      <c r="H88" t="inlineStr">
        <is>
          <t>M</t>
        </is>
      </c>
      <c r="I88">
        <v>21</v>
      </c>
      <c r="J88"/>
      <c r="K88">
        <v>34</v>
      </c>
      <c r="L88"/>
      <c r="M88"/>
      <c r="N88" s="1">
        <v>295050</v>
      </c>
      <c r="O88"/>
      <c r="P88" s="1">
        <v>89568.75</v>
      </c>
      <c r="Q88"/>
      <c r="R88"/>
      <c r="S88" s="1">
        <v>10500</v>
      </c>
      <c r="T88"/>
      <c r="U88"/>
      <c r="V88"/>
      <c r="W88"/>
      <c r="X88"/>
      <c r="Y88" s="1">
        <v>398631.25</v>
      </c>
      <c r="Z88" s="1">
        <v>19931.56</v>
      </c>
      <c r="AA88" s="1">
        <v>398631.25</v>
      </c>
      <c r="AB88" s="1">
        <v>378699.69</v>
      </c>
    </row>
    <row r="89" spans="1:28" x14ac:dyDescent="0.25">
      <c r="A89" t="inlineStr">
        <is>
          <t>C2319</t>
        </is>
      </c>
      <c r="B89" t="inlineStr">
        <is>
          <t>NDUBUISI</t>
        </is>
      </c>
      <c r="C89" t="inlineStr">
        <is>
          <t>TORTI</t>
        </is>
      </c>
      <c r="D89" t="inlineStr">
        <is>
          <t>3G WELDER</t>
        </is>
      </c>
      <c r="E89" t="inlineStr">
        <is>
          <t>AGEGE</t>
        </is>
      </c>
      <c r="F89" s="1">
        <v>13550</v>
      </c>
      <c r="G89">
        <v>41</v>
      </c>
      <c r="H89" t="inlineStr">
        <is>
          <t>M</t>
        </is>
      </c>
      <c r="I89">
        <v>21</v>
      </c>
      <c r="J89"/>
      <c r="K89">
        <v>28</v>
      </c>
      <c r="L89">
        <v>4</v>
      </c>
      <c r="M89"/>
      <c r="N89" s="1">
        <v>284550</v>
      </c>
      <c r="O89"/>
      <c r="P89" s="1">
        <v>71137.5</v>
      </c>
      <c r="Q89" s="1">
        <v>13550</v>
      </c>
      <c r="R89"/>
      <c r="S89" s="1">
        <v>10500</v>
      </c>
      <c r="T89"/>
      <c r="U89"/>
      <c r="V89"/>
      <c r="W89"/>
      <c r="X89"/>
      <c r="Y89" s="1">
        <v>397691.25</v>
      </c>
      <c r="Z89" s="1">
        <v>19884.56</v>
      </c>
      <c r="AA89" s="1">
        <v>397691.25</v>
      </c>
      <c r="AB89" s="1">
        <v>377806.69</v>
      </c>
    </row>
    <row r="90" spans="1:28" x14ac:dyDescent="0.25">
      <c r="A90" t="inlineStr">
        <is>
          <t>C2326</t>
        </is>
      </c>
      <c r="B90" t="inlineStr">
        <is>
          <t>SUNDAY</t>
        </is>
      </c>
      <c r="C90" t="inlineStr">
        <is>
          <t>AIYEDE</t>
        </is>
      </c>
      <c r="D90" t="inlineStr">
        <is>
          <t>FITTER</t>
        </is>
      </c>
      <c r="E90" t="inlineStr">
        <is>
          <t>IDI_ORO</t>
        </is>
      </c>
      <c r="F90" s="1">
        <v>14050</v>
      </c>
      <c r="G90">
        <v>55</v>
      </c>
      <c r="H90" t="inlineStr">
        <is>
          <t>M</t>
        </is>
      </c>
      <c r="I90"/>
      <c r="J90"/>
      <c r="K90">
        <v>24.4</v>
      </c>
      <c r="L90">
        <v>1</v>
      </c>
      <c r="M90"/>
      <c r="N90"/>
      <c r="O90"/>
      <c r="P90" s="1">
        <v>64278.75</v>
      </c>
      <c r="Q90" s="1">
        <v>3512.5</v>
      </c>
      <c r="R90"/>
      <c r="S90"/>
      <c r="T90"/>
      <c r="U90"/>
      <c r="V90"/>
      <c r="W90"/>
      <c r="X90"/>
      <c r="Y90" s="1">
        <v>99403.75</v>
      </c>
      <c r="Z90" s="1">
        <v>4970.19</v>
      </c>
      <c r="AA90" s="1">
        <v>99403.75</v>
      </c>
      <c r="AB90" s="1">
        <v>94433.56</v>
      </c>
    </row>
    <row r="91" spans="1:28" x14ac:dyDescent="0.25">
      <c r="A91" t="inlineStr">
        <is>
          <t>C2328</t>
        </is>
      </c>
      <c r="B91" t="inlineStr">
        <is>
          <t>TIMOTHY OLUMIDE</t>
        </is>
      </c>
      <c r="C91" t="inlineStr">
        <is>
          <t>ADEKANMBI</t>
        </is>
      </c>
      <c r="D91" t="inlineStr">
        <is>
          <t>WELDER</t>
        </is>
      </c>
      <c r="E91" t="inlineStr">
        <is>
          <t>AGEGE</t>
        </is>
      </c>
      <c r="F91" s="1">
        <v>13550</v>
      </c>
      <c r="G91">
        <v>55</v>
      </c>
      <c r="H91" t="inlineStr">
        <is>
          <t>M</t>
        </is>
      </c>
      <c r="I91">
        <v>21</v>
      </c>
      <c r="J91"/>
      <c r="K91">
        <v>24</v>
      </c>
      <c r="L91">
        <v>4</v>
      </c>
      <c r="M91"/>
      <c r="N91" s="1">
        <v>284550</v>
      </c>
      <c r="O91"/>
      <c r="P91" s="1">
        <v>60975</v>
      </c>
      <c r="Q91" s="1">
        <v>13550</v>
      </c>
      <c r="R91"/>
      <c r="S91" s="1">
        <v>10500</v>
      </c>
      <c r="T91"/>
      <c r="U91"/>
      <c r="V91"/>
      <c r="W91"/>
      <c r="X91"/>
      <c r="Y91" s="1">
        <v>402433.75</v>
      </c>
      <c r="Z91" s="1">
        <v>20121.69</v>
      </c>
      <c r="AA91" s="1">
        <v>402433.75</v>
      </c>
      <c r="AB91" s="1">
        <v>382312.06</v>
      </c>
    </row>
    <row r="92" spans="1:28" x14ac:dyDescent="0.25">
      <c r="A92" t="inlineStr">
        <is>
          <t>C2337</t>
        </is>
      </c>
      <c r="B92" t="inlineStr">
        <is>
          <t>SAHEED</t>
        </is>
      </c>
      <c r="C92" t="inlineStr">
        <is>
          <t>OLOWU</t>
        </is>
      </c>
      <c r="D92" t="inlineStr">
        <is>
          <t>FITTER</t>
        </is>
      </c>
      <c r="E92" t="inlineStr">
        <is>
          <t>IDI_ORO</t>
        </is>
      </c>
      <c r="F92" s="1">
        <v>14050</v>
      </c>
      <c r="G92">
        <v>65</v>
      </c>
      <c r="H92" t="inlineStr">
        <is>
          <t>M</t>
        </is>
      </c>
      <c r="I92">
        <v>20</v>
      </c>
      <c r="J92"/>
      <c r="K92">
        <v>17</v>
      </c>
      <c r="L92">
        <v>1</v>
      </c>
      <c r="M92"/>
      <c r="N92" s="1">
        <v>281000</v>
      </c>
      <c r="O92"/>
      <c r="P92" s="1">
        <v>44784.38</v>
      </c>
      <c r="Q92" s="1">
        <v>3512.5</v>
      </c>
      <c r="R92"/>
      <c r="S92" s="1">
        <v>10000</v>
      </c>
      <c r="T92"/>
      <c r="U92"/>
      <c r="V92"/>
      <c r="W92"/>
      <c r="X92"/>
      <c r="Y92" s="1">
        <v>370909.38</v>
      </c>
      <c r="Z92" s="1">
        <v>18545.47</v>
      </c>
      <c r="AA92" s="1">
        <v>370909.38</v>
      </c>
      <c r="AB92" s="1">
        <v>352363.91</v>
      </c>
    </row>
    <row r="93" spans="1:28" x14ac:dyDescent="0.25">
      <c r="A93" t="inlineStr">
        <is>
          <t>C2338</t>
        </is>
      </c>
      <c r="B93" t="inlineStr">
        <is>
          <t>OLADIPUPO</t>
        </is>
      </c>
      <c r="C93" t="inlineStr">
        <is>
          <t>AKANLE</t>
        </is>
      </c>
      <c r="D93" t="inlineStr">
        <is>
          <t>FITTER</t>
        </is>
      </c>
      <c r="E93" t="inlineStr">
        <is>
          <t>AGEGE</t>
        </is>
      </c>
      <c r="F93" s="1">
        <v>14050</v>
      </c>
      <c r="G93">
        <v>44</v>
      </c>
      <c r="H93" t="inlineStr">
        <is>
          <t>M</t>
        </is>
      </c>
      <c r="I93">
        <v>21</v>
      </c>
      <c r="J93"/>
      <c r="K93">
        <v>34</v>
      </c>
      <c r="L93"/>
      <c r="M93"/>
      <c r="N93" s="1">
        <v>295050</v>
      </c>
      <c r="O93"/>
      <c r="P93" s="1">
        <v>89568.75</v>
      </c>
      <c r="Q93"/>
      <c r="R93"/>
      <c r="S93" s="1">
        <v>10500</v>
      </c>
      <c r="T93"/>
      <c r="U93"/>
      <c r="V93"/>
      <c r="W93"/>
      <c r="X93"/>
      <c r="Y93" s="1">
        <v>398631.25</v>
      </c>
      <c r="Z93" s="1">
        <v>19931.56</v>
      </c>
      <c r="AA93" s="1">
        <v>398631.25</v>
      </c>
      <c r="AB93" s="1">
        <v>378699.69</v>
      </c>
    </row>
    <row r="94" spans="1:28" x14ac:dyDescent="0.25">
      <c r="A94" t="inlineStr">
        <is>
          <t>C2340</t>
        </is>
      </c>
      <c r="B94" t="inlineStr">
        <is>
          <t>IFEANYI ABEL</t>
        </is>
      </c>
      <c r="C94" t="inlineStr">
        <is>
          <t>OGBUM</t>
        </is>
      </c>
      <c r="D94" t="inlineStr">
        <is>
          <t>WELDER</t>
        </is>
      </c>
      <c r="E94" t="inlineStr">
        <is>
          <t>AGEGE</t>
        </is>
      </c>
      <c r="F94" s="1">
        <v>13550</v>
      </c>
      <c r="G94">
        <v>55</v>
      </c>
      <c r="H94" t="inlineStr">
        <is>
          <t>M</t>
        </is>
      </c>
      <c r="I94">
        <v>19</v>
      </c>
      <c r="J94"/>
      <c r="K94">
        <v>15</v>
      </c>
      <c r="L94">
        <v>4</v>
      </c>
      <c r="M94"/>
      <c r="N94" s="1">
        <v>257450</v>
      </c>
      <c r="O94"/>
      <c r="P94" s="1">
        <v>38109.38</v>
      </c>
      <c r="Q94" s="1">
        <v>13550</v>
      </c>
      <c r="R94"/>
      <c r="S94" s="1">
        <v>9500</v>
      </c>
      <c r="T94"/>
      <c r="U94"/>
      <c r="V94"/>
      <c r="W94"/>
      <c r="X94"/>
      <c r="Y94" s="1">
        <v>354516.88</v>
      </c>
      <c r="Z94" s="1">
        <v>17725.84</v>
      </c>
      <c r="AA94" s="1">
        <v>354516.88</v>
      </c>
      <c r="AB94" s="1">
        <v>336791.04</v>
      </c>
    </row>
    <row r="95" spans="1:28" x14ac:dyDescent="0.25">
      <c r="A95" t="inlineStr">
        <is>
          <t>C2341</t>
        </is>
      </c>
      <c r="B95" t="inlineStr">
        <is>
          <t>DANIEL</t>
        </is>
      </c>
      <c r="C95" t="inlineStr">
        <is>
          <t>UDECHUKWU</t>
        </is>
      </c>
      <c r="D95" t="inlineStr">
        <is>
          <t>DRILLER</t>
        </is>
      </c>
      <c r="E95" t="inlineStr">
        <is>
          <t>AGEGE</t>
        </is>
      </c>
      <c r="F95" s="1">
        <v>10250</v>
      </c>
      <c r="G95">
        <v>41</v>
      </c>
      <c r="H95" t="inlineStr">
        <is>
          <t>M</t>
        </is>
      </c>
      <c r="I95">
        <v>21</v>
      </c>
      <c r="J95"/>
      <c r="K95">
        <v>28</v>
      </c>
      <c r="L95">
        <v>4</v>
      </c>
      <c r="M95"/>
      <c r="N95" s="1">
        <v>215250</v>
      </c>
      <c r="O95"/>
      <c r="P95" s="1">
        <v>53812.5</v>
      </c>
      <c r="Q95" s="1">
        <v>10250</v>
      </c>
      <c r="R95"/>
      <c r="S95" s="1">
        <v>10500</v>
      </c>
      <c r="T95"/>
      <c r="U95"/>
      <c r="V95"/>
      <c r="W95"/>
      <c r="X95"/>
      <c r="Y95" s="1">
        <v>310312.5</v>
      </c>
      <c r="Z95" s="1">
        <v>15515.63</v>
      </c>
      <c r="AA95" s="1">
        <v>310312.5</v>
      </c>
      <c r="AB95" s="1">
        <v>294796.87</v>
      </c>
    </row>
    <row r="96" spans="1:28" x14ac:dyDescent="0.25">
      <c r="A96" t="inlineStr">
        <is>
          <t>C2342</t>
        </is>
      </c>
      <c r="B96" t="inlineStr">
        <is>
          <t>TAIWO</t>
        </is>
      </c>
      <c r="C96" t="inlineStr">
        <is>
          <t>OGUNBIYI</t>
        </is>
      </c>
      <c r="D96" t="inlineStr">
        <is>
          <t>CRANE OPERATOR &amp; RIGGER</t>
        </is>
      </c>
      <c r="E96" t="inlineStr">
        <is>
          <t>AGEGE</t>
        </is>
      </c>
      <c r="F96" s="1">
        <v>11575</v>
      </c>
      <c r="G96">
        <v>52</v>
      </c>
      <c r="H96" t="inlineStr">
        <is>
          <t>M</t>
        </is>
      </c>
      <c r="I96">
        <v>21</v>
      </c>
      <c r="J96"/>
      <c r="K96">
        <v>30</v>
      </c>
      <c r="L96">
        <v>1</v>
      </c>
      <c r="M96"/>
      <c r="N96" s="1">
        <v>243075</v>
      </c>
      <c r="O96"/>
      <c r="P96" s="1">
        <v>65109.38</v>
      </c>
      <c r="Q96" s="1">
        <v>2893.75</v>
      </c>
      <c r="R96"/>
      <c r="S96" s="1">
        <v>10500</v>
      </c>
      <c r="T96"/>
      <c r="U96"/>
      <c r="V96"/>
      <c r="W96"/>
      <c r="X96"/>
      <c r="Y96" s="1">
        <v>341834.38</v>
      </c>
      <c r="Z96" s="1">
        <v>17091.72</v>
      </c>
      <c r="AA96" s="1">
        <v>341834.38</v>
      </c>
      <c r="AB96" s="1">
        <v>324742.66</v>
      </c>
    </row>
    <row r="97" spans="1:28" x14ac:dyDescent="0.25">
      <c r="A97" t="inlineStr">
        <is>
          <t>C2343</t>
        </is>
      </c>
      <c r="B97" t="inlineStr">
        <is>
          <t>ADESOJI</t>
        </is>
      </c>
      <c r="C97" t="inlineStr">
        <is>
          <t>ADEYEYE</t>
        </is>
      </c>
      <c r="D97" t="inlineStr">
        <is>
          <t>FITTER</t>
        </is>
      </c>
      <c r="E97" t="inlineStr">
        <is>
          <t>AGEGE</t>
        </is>
      </c>
      <c r="F97" s="1">
        <v>14050</v>
      </c>
      <c r="G97">
        <v>48</v>
      </c>
      <c r="H97" t="inlineStr">
        <is>
          <t>M</t>
        </is>
      </c>
      <c r="I97">
        <v>21</v>
      </c>
      <c r="J97"/>
      <c r="K97">
        <v>34</v>
      </c>
      <c r="L97"/>
      <c r="M97"/>
      <c r="N97" s="1">
        <v>295050</v>
      </c>
      <c r="O97"/>
      <c r="P97" s="1">
        <v>89568.75</v>
      </c>
      <c r="Q97"/>
      <c r="R97"/>
      <c r="S97" s="1">
        <v>10500</v>
      </c>
      <c r="T97"/>
      <c r="U97"/>
      <c r="V97"/>
      <c r="W97"/>
      <c r="X97"/>
      <c r="Y97" s="1">
        <v>398631.25</v>
      </c>
      <c r="Z97" s="1">
        <v>19931.56</v>
      </c>
      <c r="AA97" s="1">
        <v>398631.25</v>
      </c>
      <c r="AB97" s="1">
        <v>378699.69</v>
      </c>
    </row>
    <row r="98" spans="1:28" x14ac:dyDescent="0.25">
      <c r="A98" t="inlineStr">
        <is>
          <t>C2383</t>
        </is>
      </c>
      <c r="B98" t="inlineStr">
        <is>
          <t>OYEWOLE</t>
        </is>
      </c>
      <c r="C98" t="inlineStr">
        <is>
          <t>ABIODUN</t>
        </is>
      </c>
      <c r="D98" t="inlineStr">
        <is>
          <t>FITTER</t>
        </is>
      </c>
      <c r="E98" t="inlineStr">
        <is>
          <t>AGEGE</t>
        </is>
      </c>
      <c r="F98" s="1">
        <v>14050</v>
      </c>
      <c r="G98">
        <v>61</v>
      </c>
      <c r="H98" t="inlineStr">
        <is>
          <t>M</t>
        </is>
      </c>
      <c r="I98">
        <v>21</v>
      </c>
      <c r="J98"/>
      <c r="K98">
        <v>36</v>
      </c>
      <c r="L98"/>
      <c r="M98"/>
      <c r="N98" s="1">
        <v>295050</v>
      </c>
      <c r="O98"/>
      <c r="P98" s="1">
        <v>94837.5</v>
      </c>
      <c r="Q98"/>
      <c r="R98"/>
      <c r="S98" s="1">
        <v>8500</v>
      </c>
      <c r="T98"/>
      <c r="U98"/>
      <c r="V98"/>
      <c r="W98"/>
      <c r="X98"/>
      <c r="Y98" s="1">
        <v>401900</v>
      </c>
      <c r="Z98" s="1">
        <v>20095</v>
      </c>
      <c r="AA98" s="1">
        <v>401900</v>
      </c>
      <c r="AB98" s="1">
        <v>381805</v>
      </c>
    </row>
    <row r="99" spans="1:28" x14ac:dyDescent="0.25">
      <c r="A99" t="inlineStr">
        <is>
          <t>C2387</t>
        </is>
      </c>
      <c r="B99" t="inlineStr">
        <is>
          <t>KOLAWOLE</t>
        </is>
      </c>
      <c r="C99" t="inlineStr">
        <is>
          <t>ADEKUNLE</t>
        </is>
      </c>
      <c r="D99" t="inlineStr">
        <is>
          <t>FITTER MATE</t>
        </is>
      </c>
      <c r="E99" t="inlineStr">
        <is>
          <t>IDI_ORO</t>
        </is>
      </c>
      <c r="F99" s="1">
        <v>10812</v>
      </c>
      <c r="G99">
        <v>32</v>
      </c>
      <c r="H99" t="inlineStr">
        <is>
          <t>M</t>
        </is>
      </c>
      <c r="I99">
        <v>21</v>
      </c>
      <c r="J99">
        <v>10.7</v>
      </c>
      <c r="K99">
        <v>17</v>
      </c>
      <c r="L99">
        <v>1</v>
      </c>
      <c r="M99"/>
      <c r="N99" s="1">
        <v>227052</v>
      </c>
      <c r="O99" s="1">
        <v>21691.57</v>
      </c>
      <c r="P99" s="1">
        <v>34463.25</v>
      </c>
      <c r="Q99" s="1">
        <v>2703</v>
      </c>
      <c r="R99"/>
      <c r="S99" s="1">
        <v>10500</v>
      </c>
      <c r="T99"/>
      <c r="U99"/>
      <c r="V99"/>
      <c r="W99"/>
      <c r="X99"/>
      <c r="Y99" s="1">
        <v>315330.82</v>
      </c>
      <c r="Z99" s="1">
        <v>15766.54</v>
      </c>
      <c r="AA99" s="1">
        <v>315330.82</v>
      </c>
      <c r="AB99" s="1">
        <v>299564.28</v>
      </c>
    </row>
    <row r="100" spans="1:28" x14ac:dyDescent="0.25">
      <c r="A100" t="inlineStr">
        <is>
          <t>C2395</t>
        </is>
      </c>
      <c r="B100" t="inlineStr">
        <is>
          <t>AKINGBADE</t>
        </is>
      </c>
      <c r="C100" t="inlineStr">
        <is>
          <t>AKEEM</t>
        </is>
      </c>
      <c r="D100" t="inlineStr">
        <is>
          <t>FITTER</t>
        </is>
      </c>
      <c r="E100" t="inlineStr">
        <is>
          <t>AGEGE</t>
        </is>
      </c>
      <c r="F100" s="1">
        <v>14050</v>
      </c>
      <c r="G100">
        <v>56</v>
      </c>
      <c r="H100" t="inlineStr">
        <is>
          <t>M</t>
        </is>
      </c>
      <c r="I100">
        <v>21</v>
      </c>
      <c r="J100"/>
      <c r="K100">
        <v>34</v>
      </c>
      <c r="L100"/>
      <c r="M100"/>
      <c r="N100" s="1">
        <v>295050</v>
      </c>
      <c r="O100"/>
      <c r="P100" s="1">
        <v>89568.75</v>
      </c>
      <c r="Q100"/>
      <c r="R100"/>
      <c r="S100" s="1">
        <v>10500</v>
      </c>
      <c r="T100"/>
      <c r="U100"/>
      <c r="V100"/>
      <c r="W100"/>
      <c r="X100"/>
      <c r="Y100" s="1">
        <v>398631.25</v>
      </c>
      <c r="Z100" s="1">
        <v>19931.56</v>
      </c>
      <c r="AA100" s="1">
        <v>398631.25</v>
      </c>
      <c r="AB100" s="1">
        <v>378699.69</v>
      </c>
    </row>
    <row r="101" spans="1:28" x14ac:dyDescent="0.25">
      <c r="A101" t="inlineStr">
        <is>
          <t>C2402</t>
        </is>
      </c>
      <c r="B101" t="inlineStr">
        <is>
          <t>MOHAMMED</t>
        </is>
      </c>
      <c r="C101" t="inlineStr">
        <is>
          <t>ALIYU</t>
        </is>
      </c>
      <c r="D101" t="inlineStr">
        <is>
          <t>SCAFFOLDER</t>
        </is>
      </c>
      <c r="E101" t="inlineStr">
        <is>
          <t>IDI_ORO</t>
        </is>
      </c>
      <c r="F101" s="1">
        <v>13250</v>
      </c>
      <c r="G101">
        <v>34</v>
      </c>
      <c r="H101" t="inlineStr">
        <is>
          <t>M</t>
        </is>
      </c>
      <c r="I101">
        <v>21</v>
      </c>
      <c r="J101"/>
      <c r="K101">
        <v>1</v>
      </c>
      <c r="L101"/>
      <c r="M101"/>
      <c r="N101" s="1">
        <v>278250</v>
      </c>
      <c r="O101"/>
      <c r="P101" s="1">
        <v>2484.38</v>
      </c>
      <c r="Q101"/>
      <c r="R101"/>
      <c r="S101" s="1">
        <v>10500</v>
      </c>
      <c r="T101"/>
      <c r="U101"/>
      <c r="V101"/>
      <c r="W101"/>
      <c r="X101"/>
      <c r="Y101" s="1">
        <v>294546.88</v>
      </c>
      <c r="Z101" s="1">
        <v>14727.34</v>
      </c>
      <c r="AA101" s="1">
        <v>294546.88</v>
      </c>
      <c r="AB101" s="1">
        <v>279819.54</v>
      </c>
    </row>
    <row r="102" spans="1:28" x14ac:dyDescent="0.25">
      <c r="A102" t="inlineStr">
        <is>
          <t>C2404</t>
        </is>
      </c>
      <c r="B102" t="inlineStr">
        <is>
          <t>MATHEW</t>
        </is>
      </c>
      <c r="C102" t="inlineStr">
        <is>
          <t>AMEH</t>
        </is>
      </c>
      <c r="D102" t="inlineStr">
        <is>
          <t>SCAFFOLDER</t>
        </is>
      </c>
      <c r="E102" t="inlineStr">
        <is>
          <t>IDI_ORO</t>
        </is>
      </c>
      <c r="F102" s="1">
        <v>13250</v>
      </c>
      <c r="G102">
        <v>40</v>
      </c>
      <c r="H102" t="inlineStr">
        <is>
          <t>M</t>
        </is>
      </c>
      <c r="I102">
        <v>21</v>
      </c>
      <c r="J102"/>
      <c r="K102">
        <v>1</v>
      </c>
      <c r="L102"/>
      <c r="M102"/>
      <c r="N102" s="1">
        <v>278250</v>
      </c>
      <c r="O102"/>
      <c r="P102" s="1">
        <v>2484.38</v>
      </c>
      <c r="Q102"/>
      <c r="R102"/>
      <c r="S102" s="1">
        <v>10500</v>
      </c>
      <c r="T102"/>
      <c r="U102"/>
      <c r="V102"/>
      <c r="W102"/>
      <c r="X102"/>
      <c r="Y102" s="1">
        <v>294546.88</v>
      </c>
      <c r="Z102" s="1">
        <v>14727.34</v>
      </c>
      <c r="AA102" s="1">
        <v>294546.88</v>
      </c>
      <c r="AB102" s="1">
        <v>279819.54</v>
      </c>
    </row>
    <row r="103" spans="1:28" x14ac:dyDescent="0.25">
      <c r="A103" t="inlineStr">
        <is>
          <t>C2410</t>
        </is>
      </c>
      <c r="B103" t="inlineStr">
        <is>
          <t>AYODELE</t>
        </is>
      </c>
      <c r="C103" t="inlineStr">
        <is>
          <t>AFENIFORO</t>
        </is>
      </c>
      <c r="D103" t="inlineStr">
        <is>
          <t>BANDSAW</t>
        </is>
      </c>
      <c r="E103" t="inlineStr">
        <is>
          <t>IDI - IDI_ORO</t>
        </is>
      </c>
      <c r="F103" s="1">
        <v>13550</v>
      </c>
      <c r="G103">
        <v>55</v>
      </c>
      <c r="H103" t="inlineStr">
        <is>
          <t>M</t>
        </is>
      </c>
      <c r="I103">
        <v>20</v>
      </c>
      <c r="J103"/>
      <c r="K103"/>
      <c r="L103">
        <v>10.8</v>
      </c>
      <c r="M103"/>
      <c r="N103" s="1">
        <v>271000</v>
      </c>
      <c r="O103"/>
      <c r="P103"/>
      <c r="Q103" s="1">
        <v>36585</v>
      </c>
      <c r="R103"/>
      <c r="S103" s="1">
        <v>10000</v>
      </c>
      <c r="T103"/>
      <c r="U103"/>
      <c r="V103"/>
      <c r="W103"/>
      <c r="X103"/>
      <c r="Y103" s="1">
        <v>317585</v>
      </c>
      <c r="Z103" s="1">
        <v>15879.25</v>
      </c>
      <c r="AA103" s="1">
        <v>317585</v>
      </c>
      <c r="AB103" s="1">
        <v>301705.75</v>
      </c>
    </row>
    <row r="104" spans="1:28" x14ac:dyDescent="0.25">
      <c r="A104" t="inlineStr">
        <is>
          <t>C2412</t>
        </is>
      </c>
      <c r="B104" t="inlineStr">
        <is>
          <t>OYELEYE</t>
        </is>
      </c>
      <c r="C104" t="inlineStr">
        <is>
          <t>BABATUNDE</t>
        </is>
      </c>
      <c r="D104" t="inlineStr">
        <is>
          <t>FITTER</t>
        </is>
      </c>
      <c r="E104" t="inlineStr">
        <is>
          <t>AGEGE</t>
        </is>
      </c>
      <c r="F104" s="1">
        <v>14050</v>
      </c>
      <c r="G104">
        <v>66</v>
      </c>
      <c r="H104" t="inlineStr">
        <is>
          <t>M</t>
        </is>
      </c>
      <c r="I104">
        <v>21</v>
      </c>
      <c r="J104"/>
      <c r="K104">
        <v>34</v>
      </c>
      <c r="L104"/>
      <c r="M104"/>
      <c r="N104" s="1">
        <v>295050</v>
      </c>
      <c r="O104"/>
      <c r="P104" s="1">
        <v>89568.75</v>
      </c>
      <c r="Q104"/>
      <c r="R104"/>
      <c r="S104" s="1">
        <v>10500</v>
      </c>
      <c r="T104"/>
      <c r="U104"/>
      <c r="V104"/>
      <c r="W104"/>
      <c r="X104"/>
      <c r="Y104" s="1">
        <v>398631.25</v>
      </c>
      <c r="Z104" s="1">
        <v>19931.56</v>
      </c>
      <c r="AA104" s="1">
        <v>398631.25</v>
      </c>
      <c r="AB104" s="1">
        <v>378699.69</v>
      </c>
    </row>
    <row r="105" spans="1:28" x14ac:dyDescent="0.25">
      <c r="A105" t="inlineStr">
        <is>
          <t>C2421</t>
        </is>
      </c>
      <c r="B105" t="inlineStr">
        <is>
          <t>OKPE</t>
        </is>
      </c>
      <c r="C105" t="inlineStr">
        <is>
          <t>DANIEL</t>
        </is>
      </c>
      <c r="D105" t="inlineStr">
        <is>
          <t>WELDER MATE</t>
        </is>
      </c>
      <c r="E105" t="inlineStr">
        <is>
          <t>IDI_ORO</t>
        </is>
      </c>
      <c r="F105" s="1">
        <v>23500</v>
      </c>
      <c r="G105">
        <v>27</v>
      </c>
      <c r="H105" t="inlineStr">
        <is>
          <t>M</t>
        </is>
      </c>
      <c r="I105">
        <v>21</v>
      </c>
      <c r="J105"/>
      <c r="K105">
        <v>7</v>
      </c>
      <c r="L105"/>
      <c r="M105"/>
      <c r="N105" s="1">
        <v>493500</v>
      </c>
      <c r="O105"/>
      <c r="P105" s="1">
        <v>30843.75</v>
      </c>
      <c r="Q105"/>
      <c r="R105"/>
      <c r="S105" s="1">
        <v>10500</v>
      </c>
      <c r="T105"/>
      <c r="U105"/>
      <c r="V105"/>
      <c r="W105"/>
      <c r="X105"/>
      <c r="Y105" s="1">
        <v>575968.75</v>
      </c>
      <c r="Z105" s="1">
        <v>28798.44</v>
      </c>
      <c r="AA105" s="1">
        <v>575968.75</v>
      </c>
      <c r="AB105" s="1">
        <v>547170.31</v>
      </c>
    </row>
    <row r="106" spans="1:28" x14ac:dyDescent="0.25">
      <c r="A106" t="inlineStr">
        <is>
          <t>C2422</t>
        </is>
      </c>
      <c r="B106" t="inlineStr">
        <is>
          <t>UDEH ANTHONY</t>
        </is>
      </c>
      <c r="C106" t="inlineStr">
        <is>
          <t>DAVID</t>
        </is>
      </c>
      <c r="D106" t="inlineStr">
        <is>
          <t>WELDER MATE</t>
        </is>
      </c>
      <c r="E106" t="inlineStr">
        <is>
          <t>IDI - IDI_ORO</t>
        </is>
      </c>
      <c r="F106" s="1">
        <v>13550</v>
      </c>
      <c r="G106">
        <v>30</v>
      </c>
      <c r="H106" t="inlineStr">
        <is>
          <t>M</t>
        </is>
      </c>
      <c r="I106">
        <v>21</v>
      </c>
      <c r="J106">
        <v>7.2</v>
      </c>
      <c r="K106">
        <v>19.9</v>
      </c>
      <c r="L106">
        <v>1</v>
      </c>
      <c r="M106"/>
      <c r="N106" s="1">
        <v>284550</v>
      </c>
      <c r="O106" s="1">
        <v>18292.5</v>
      </c>
      <c r="P106" s="1">
        <v>50558.44</v>
      </c>
      <c r="Q106" s="1">
        <v>3387.5</v>
      </c>
      <c r="R106"/>
      <c r="S106" s="1">
        <v>10500</v>
      </c>
      <c r="T106"/>
      <c r="U106"/>
      <c r="V106"/>
      <c r="W106"/>
      <c r="X106"/>
      <c r="Y106" s="1">
        <v>391000.94</v>
      </c>
      <c r="Z106" s="1">
        <v>19550.05</v>
      </c>
      <c r="AA106" s="1">
        <v>391000.94</v>
      </c>
      <c r="AB106" s="1">
        <v>371450.89</v>
      </c>
    </row>
    <row r="107" spans="1:28" x14ac:dyDescent="0.25">
      <c r="A107" t="inlineStr">
        <is>
          <t>C2427</t>
        </is>
      </c>
      <c r="B107" t="inlineStr">
        <is>
          <t>SIMON</t>
        </is>
      </c>
      <c r="C107" t="inlineStr">
        <is>
          <t>EBELE</t>
        </is>
      </c>
      <c r="D107" t="inlineStr">
        <is>
          <t>FITTER MATE</t>
        </is>
      </c>
      <c r="E107" t="inlineStr">
        <is>
          <t>IDI_ORO</t>
        </is>
      </c>
      <c r="F107" s="1">
        <v>8100</v>
      </c>
      <c r="G107">
        <v>38</v>
      </c>
      <c r="H107" t="inlineStr">
        <is>
          <t>M</t>
        </is>
      </c>
      <c r="I107">
        <v>21</v>
      </c>
      <c r="J107"/>
      <c r="K107">
        <v>28.8</v>
      </c>
      <c r="L107">
        <v>1</v>
      </c>
      <c r="M107"/>
      <c r="N107" s="1">
        <v>170100</v>
      </c>
      <c r="O107"/>
      <c r="P107" s="1">
        <v>43740</v>
      </c>
      <c r="Q107" s="1">
        <v>2025</v>
      </c>
      <c r="R107"/>
      <c r="S107" s="1">
        <v>10500</v>
      </c>
      <c r="T107"/>
      <c r="U107"/>
      <c r="V107"/>
      <c r="W107"/>
      <c r="X107"/>
      <c r="Y107" s="1">
        <v>244590</v>
      </c>
      <c r="Z107" s="1">
        <v>12229.5</v>
      </c>
      <c r="AA107" s="1">
        <v>244590</v>
      </c>
      <c r="AB107" s="1">
        <v>232360.5</v>
      </c>
    </row>
    <row r="108" spans="1:28" x14ac:dyDescent="0.25">
      <c r="A108" t="inlineStr">
        <is>
          <t>C2431</t>
        </is>
      </c>
      <c r="B108" t="inlineStr">
        <is>
          <t>EZEBIRO</t>
        </is>
      </c>
      <c r="C108" t="inlineStr">
        <is>
          <t>EMEKA</t>
        </is>
      </c>
      <c r="D108" t="inlineStr">
        <is>
          <t>MECHANIC</t>
        </is>
      </c>
      <c r="E108" t="inlineStr">
        <is>
          <t>AGEGE</t>
        </is>
      </c>
      <c r="F108" s="1">
        <v>10250</v>
      </c>
      <c r="G108">
        <v>45</v>
      </c>
      <c r="H108" t="inlineStr">
        <is>
          <t>M</t>
        </is>
      </c>
      <c r="I108">
        <v>21</v>
      </c>
      <c r="J108">
        <v>7.3</v>
      </c>
      <c r="K108">
        <v>28</v>
      </c>
      <c r="L108">
        <v>43</v>
      </c>
      <c r="M108"/>
      <c r="N108" s="1">
        <v>215250</v>
      </c>
      <c r="O108" s="1">
        <v>14029.69</v>
      </c>
      <c r="P108" s="1">
        <v>53812.5</v>
      </c>
      <c r="Q108" s="1">
        <v>110187.5</v>
      </c>
      <c r="R108"/>
      <c r="S108" s="1">
        <v>10500</v>
      </c>
      <c r="T108"/>
      <c r="U108"/>
      <c r="V108"/>
      <c r="W108"/>
      <c r="X108"/>
      <c r="Y108" s="1">
        <v>421717.19</v>
      </c>
      <c r="Z108" s="1">
        <v>21085.86</v>
      </c>
      <c r="AA108" s="1">
        <v>421717.19</v>
      </c>
      <c r="AB108" s="1">
        <v>400631.33</v>
      </c>
    </row>
    <row r="109" spans="1:28" x14ac:dyDescent="0.25">
      <c r="A109" t="inlineStr">
        <is>
          <t>C2438</t>
        </is>
      </c>
      <c r="B109" t="inlineStr">
        <is>
          <t>CHIBUZOR</t>
        </is>
      </c>
      <c r="C109" t="inlineStr">
        <is>
          <t>EZENWA</t>
        </is>
      </c>
      <c r="D109" t="inlineStr">
        <is>
          <t>FITTER MATE</t>
        </is>
      </c>
      <c r="E109" t="inlineStr">
        <is>
          <t>IDI_ORO</t>
        </is>
      </c>
      <c r="F109" s="1">
        <v>8100</v>
      </c>
      <c r="G109">
        <v>36</v>
      </c>
      <c r="H109" t="inlineStr">
        <is>
          <t>M</t>
        </is>
      </c>
      <c r="I109">
        <v>21</v>
      </c>
      <c r="J109">
        <v>10.5</v>
      </c>
      <c r="K109">
        <v>17</v>
      </c>
      <c r="L109">
        <v>1</v>
      </c>
      <c r="M109"/>
      <c r="N109" s="1">
        <v>170100</v>
      </c>
      <c r="O109" s="1">
        <v>15946.88</v>
      </c>
      <c r="P109" s="1">
        <v>25818.75</v>
      </c>
      <c r="Q109" s="1">
        <v>2025</v>
      </c>
      <c r="R109"/>
      <c r="S109" s="1">
        <v>10500</v>
      </c>
      <c r="T109"/>
      <c r="U109"/>
      <c r="V109"/>
      <c r="W109"/>
      <c r="X109"/>
      <c r="Y109" s="1">
        <v>238565.63</v>
      </c>
      <c r="Z109" s="1">
        <v>11928.28</v>
      </c>
      <c r="AA109" s="1">
        <v>238565.63</v>
      </c>
      <c r="AB109" s="1">
        <v>226637.35</v>
      </c>
    </row>
    <row r="110" spans="1:28" x14ac:dyDescent="0.25">
      <c r="A110" t="inlineStr">
        <is>
          <t>C2445</t>
        </is>
      </c>
      <c r="B110" t="inlineStr">
        <is>
          <t>GODWIN</t>
        </is>
      </c>
      <c r="C110" t="inlineStr">
        <is>
          <t>AKOR</t>
        </is>
      </c>
      <c r="D110" t="inlineStr">
        <is>
          <t>WELDER</t>
        </is>
      </c>
      <c r="E110" t="inlineStr">
        <is>
          <t>IDI_ORO</t>
        </is>
      </c>
      <c r="F110" s="1">
        <v>13550</v>
      </c>
      <c r="G110">
        <v>27</v>
      </c>
      <c r="H110" t="inlineStr">
        <is>
          <t>M</t>
        </is>
      </c>
      <c r="I110">
        <v>21</v>
      </c>
      <c r="J110">
        <v>7.7</v>
      </c>
      <c r="K110">
        <v>7</v>
      </c>
      <c r="L110"/>
      <c r="M110"/>
      <c r="N110" s="1">
        <v>284550</v>
      </c>
      <c r="O110" s="1">
        <v>19562.81</v>
      </c>
      <c r="P110" s="1">
        <v>17784.38</v>
      </c>
      <c r="Q110"/>
      <c r="R110"/>
      <c r="S110" s="1">
        <v>10500</v>
      </c>
      <c r="T110"/>
      <c r="U110"/>
      <c r="V110"/>
      <c r="W110"/>
      <c r="X110"/>
      <c r="Y110" s="1">
        <v>356109.69</v>
      </c>
      <c r="Z110" s="1">
        <v>17805.48</v>
      </c>
      <c r="AA110" s="1">
        <v>356109.69</v>
      </c>
      <c r="AB110" s="1">
        <v>338304.21</v>
      </c>
    </row>
    <row r="111" spans="1:28" x14ac:dyDescent="0.25">
      <c r="A111" t="inlineStr">
        <is>
          <t>C2449</t>
        </is>
      </c>
      <c r="B111" t="inlineStr">
        <is>
          <t>PETER</t>
        </is>
      </c>
      <c r="C111" t="inlineStr">
        <is>
          <t>ICHUKWU</t>
        </is>
      </c>
      <c r="D111" t="inlineStr">
        <is>
          <t>WELDER</t>
        </is>
      </c>
      <c r="E111" t="inlineStr">
        <is>
          <t>IDI_ORO</t>
        </is>
      </c>
      <c r="F111" s="1">
        <v>13550</v>
      </c>
      <c r="G111">
        <v>31</v>
      </c>
      <c r="H111" t="inlineStr">
        <is>
          <t>M</t>
        </is>
      </c>
      <c r="I111">
        <v>21</v>
      </c>
      <c r="J111"/>
      <c r="K111">
        <v>9</v>
      </c>
      <c r="L111"/>
      <c r="M111"/>
      <c r="N111" s="1">
        <v>284550</v>
      </c>
      <c r="O111"/>
      <c r="P111" s="1">
        <v>22865.63</v>
      </c>
      <c r="Q111"/>
      <c r="R111"/>
      <c r="S111" s="1">
        <v>10500</v>
      </c>
      <c r="T111"/>
      <c r="U111"/>
      <c r="V111"/>
      <c r="W111"/>
      <c r="X111"/>
      <c r="Y111" s="1">
        <v>348403.13</v>
      </c>
      <c r="Z111" s="1">
        <v>17420.16</v>
      </c>
      <c r="AA111" s="1">
        <v>348403.13</v>
      </c>
      <c r="AB111" s="1">
        <v>330982.97</v>
      </c>
    </row>
    <row r="112" spans="1:28" x14ac:dyDescent="0.25">
      <c r="A112" t="inlineStr">
        <is>
          <t>C2456</t>
        </is>
      </c>
      <c r="B112" t="inlineStr">
        <is>
          <t>OGAH</t>
        </is>
      </c>
      <c r="C112" t="inlineStr">
        <is>
          <t>IMONI</t>
        </is>
      </c>
      <c r="D112" t="inlineStr">
        <is>
          <t>RIGGER</t>
        </is>
      </c>
      <c r="E112" t="inlineStr">
        <is>
          <t>IDI_ORO</t>
        </is>
      </c>
      <c r="F112" s="1">
        <v>11575</v>
      </c>
      <c r="G112">
        <v>46</v>
      </c>
      <c r="H112" t="inlineStr">
        <is>
          <t>M</t>
        </is>
      </c>
      <c r="I112">
        <v>18</v>
      </c>
      <c r="J112">
        <v>28</v>
      </c>
      <c r="K112">
        <v>18.3</v>
      </c>
      <c r="L112">
        <v>35</v>
      </c>
      <c r="M112"/>
      <c r="N112" s="1">
        <v>208350</v>
      </c>
      <c r="O112" s="1">
        <v>60768.75</v>
      </c>
      <c r="P112" s="1">
        <v>39716.72</v>
      </c>
      <c r="Q112" s="1">
        <v>101281.25</v>
      </c>
      <c r="R112"/>
      <c r="S112" s="1">
        <v>9000</v>
      </c>
      <c r="T112"/>
      <c r="U112"/>
      <c r="V112"/>
      <c r="W112"/>
      <c r="X112"/>
      <c r="Y112" s="1">
        <v>419116.72</v>
      </c>
      <c r="Z112" s="1">
        <v>20955.84</v>
      </c>
      <c r="AA112" s="1">
        <v>419116.72</v>
      </c>
      <c r="AB112" s="1">
        <v>398160.88</v>
      </c>
    </row>
    <row r="113" spans="1:28" x14ac:dyDescent="0.25">
      <c r="A113" t="inlineStr">
        <is>
          <t>C2460</t>
        </is>
      </c>
      <c r="B113" t="inlineStr">
        <is>
          <t>AKPO</t>
        </is>
      </c>
      <c r="C113" t="inlineStr">
        <is>
          <t>JACOB</t>
        </is>
      </c>
      <c r="D113" t="inlineStr">
        <is>
          <t>ELECTRICIAN</t>
        </is>
      </c>
      <c r="E113" t="inlineStr">
        <is>
          <t>AGEGE</t>
        </is>
      </c>
      <c r="F113" s="1">
        <v>10250</v>
      </c>
      <c r="G113">
        <v>49</v>
      </c>
      <c r="H113" t="inlineStr">
        <is>
          <t>M</t>
        </is>
      </c>
      <c r="I113">
        <v>21</v>
      </c>
      <c r="J113">
        <v>6.6</v>
      </c>
      <c r="K113">
        <v>30</v>
      </c>
      <c r="L113">
        <v>37</v>
      </c>
      <c r="M113">
        <v>1</v>
      </c>
      <c r="N113" s="1">
        <v>215250</v>
      </c>
      <c r="O113" s="1">
        <v>12684.38</v>
      </c>
      <c r="P113" s="1">
        <v>57656.25</v>
      </c>
      <c r="Q113" s="1">
        <v>94812.5</v>
      </c>
      <c r="R113" s="1">
        <v>1500</v>
      </c>
      <c r="S113" s="1">
        <v>10500</v>
      </c>
      <c r="T113"/>
      <c r="U113"/>
      <c r="V113"/>
      <c r="W113"/>
      <c r="X113"/>
      <c r="Y113" s="1">
        <v>410340.63</v>
      </c>
      <c r="Z113" s="1">
        <v>20517.03</v>
      </c>
      <c r="AA113" s="1">
        <v>410340.63</v>
      </c>
      <c r="AB113" s="1">
        <v>389823.6</v>
      </c>
    </row>
    <row r="114" spans="1:28" x14ac:dyDescent="0.25">
      <c r="A114" t="inlineStr">
        <is>
          <t>C2462</t>
        </is>
      </c>
      <c r="B114" t="inlineStr">
        <is>
          <t>NASIRU</t>
        </is>
      </c>
      <c r="C114" t="inlineStr">
        <is>
          <t>JAMIU</t>
        </is>
      </c>
      <c r="D114" t="inlineStr">
        <is>
          <t>WELDER</t>
        </is>
      </c>
      <c r="E114" t="inlineStr">
        <is>
          <t>IDI_ORO</t>
        </is>
      </c>
      <c r="F114" s="1">
        <v>20100</v>
      </c>
      <c r="G114">
        <v>58</v>
      </c>
      <c r="H114" t="inlineStr">
        <is>
          <t>M</t>
        </is>
      </c>
      <c r="I114">
        <v>21</v>
      </c>
      <c r="J114">
        <v>6</v>
      </c>
      <c r="K114">
        <v>9</v>
      </c>
      <c r="L114"/>
      <c r="M114"/>
      <c r="N114" s="1">
        <v>422100</v>
      </c>
      <c r="O114" s="1">
        <v>22612.5</v>
      </c>
      <c r="P114" s="1">
        <v>33918.75</v>
      </c>
      <c r="Q114"/>
      <c r="R114"/>
      <c r="S114" s="1">
        <v>10500</v>
      </c>
      <c r="T114"/>
      <c r="U114"/>
      <c r="V114"/>
      <c r="W114"/>
      <c r="X114"/>
      <c r="Y114" s="1">
        <v>534356.25</v>
      </c>
      <c r="Z114" s="1">
        <v>26717.81</v>
      </c>
      <c r="AA114" s="1">
        <v>534356.25</v>
      </c>
      <c r="AB114" s="1">
        <v>507638.44</v>
      </c>
    </row>
    <row r="115" spans="1:28" x14ac:dyDescent="0.25">
      <c r="A115" t="inlineStr">
        <is>
          <t>C2463</t>
        </is>
      </c>
      <c r="B115" t="inlineStr">
        <is>
          <t>JANET</t>
        </is>
      </c>
      <c r="C115" t="inlineStr">
        <is>
          <t>JAMES</t>
        </is>
      </c>
      <c r="D115" t="inlineStr">
        <is>
          <t>WELDER</t>
        </is>
      </c>
      <c r="E115" t="inlineStr">
        <is>
          <t>IDI_ORO</t>
        </is>
      </c>
      <c r="F115" s="1">
        <v>13550</v>
      </c>
      <c r="G115">
        <v>38</v>
      </c>
      <c r="H115" t="inlineStr">
        <is>
          <t>F</t>
        </is>
      </c>
      <c r="I115">
        <v>21</v>
      </c>
      <c r="J115"/>
      <c r="K115">
        <v>9</v>
      </c>
      <c r="L115"/>
      <c r="M115"/>
      <c r="N115" s="1">
        <v>284550</v>
      </c>
      <c r="O115"/>
      <c r="P115" s="1">
        <v>22865.63</v>
      </c>
      <c r="Q115"/>
      <c r="R115"/>
      <c r="S115" s="1">
        <v>10500</v>
      </c>
      <c r="T115"/>
      <c r="U115"/>
      <c r="V115"/>
      <c r="W115"/>
      <c r="X115"/>
      <c r="Y115" s="1">
        <v>348403.13</v>
      </c>
      <c r="Z115" s="1">
        <v>17420.16</v>
      </c>
      <c r="AA115" s="1">
        <v>348403.13</v>
      </c>
      <c r="AB115" s="1">
        <v>330982.97</v>
      </c>
    </row>
    <row r="116" spans="1:28" x14ac:dyDescent="0.25">
      <c r="A116" t="inlineStr">
        <is>
          <t>C2469</t>
        </is>
      </c>
      <c r="B116" t="inlineStr">
        <is>
          <t>OBIEJE</t>
        </is>
      </c>
      <c r="C116" t="inlineStr">
        <is>
          <t>KINGSLEY</t>
        </is>
      </c>
      <c r="D116" t="inlineStr">
        <is>
          <t>6G WELDER</t>
        </is>
      </c>
      <c r="E116" t="inlineStr">
        <is>
          <t>IDI_ORO</t>
        </is>
      </c>
      <c r="F116" s="1">
        <v>16700</v>
      </c>
      <c r="G116">
        <v>54</v>
      </c>
      <c r="H116" t="inlineStr">
        <is>
          <t>M</t>
        </is>
      </c>
      <c r="I116">
        <v>21</v>
      </c>
      <c r="J116"/>
      <c r="K116">
        <v>9</v>
      </c>
      <c r="L116"/>
      <c r="M116"/>
      <c r="N116" s="1">
        <v>350700</v>
      </c>
      <c r="O116"/>
      <c r="P116" s="1">
        <v>28181.25</v>
      </c>
      <c r="Q116"/>
      <c r="R116"/>
      <c r="S116" s="1">
        <v>10500</v>
      </c>
      <c r="T116"/>
      <c r="U116"/>
      <c r="V116"/>
      <c r="W116"/>
      <c r="X116"/>
      <c r="Y116" s="1">
        <v>426956.25</v>
      </c>
      <c r="Z116" s="1">
        <v>21347.81</v>
      </c>
      <c r="AA116" s="1">
        <v>426956.25</v>
      </c>
      <c r="AB116" s="1">
        <v>405608.44</v>
      </c>
    </row>
    <row r="117" spans="1:28" x14ac:dyDescent="0.25">
      <c r="A117" t="inlineStr">
        <is>
          <t>C2470</t>
        </is>
      </c>
      <c r="B117" t="inlineStr">
        <is>
          <t>YEKINI</t>
        </is>
      </c>
      <c r="C117" t="inlineStr">
        <is>
          <t>LAWAL</t>
        </is>
      </c>
      <c r="D117" t="inlineStr">
        <is>
          <t>BURNER</t>
        </is>
      </c>
      <c r="E117" t="inlineStr">
        <is>
          <t>IDI_ORO</t>
        </is>
      </c>
      <c r="F117" s="1">
        <v>10250</v>
      </c>
      <c r="G117">
        <v>64</v>
      </c>
      <c r="H117" t="inlineStr">
        <is>
          <t>M</t>
        </is>
      </c>
      <c r="I117">
        <v>21</v>
      </c>
      <c r="J117"/>
      <c r="K117">
        <v>19.6</v>
      </c>
      <c r="L117">
        <v>1</v>
      </c>
      <c r="M117"/>
      <c r="N117" s="1">
        <v>215250</v>
      </c>
      <c r="O117"/>
      <c r="P117" s="1">
        <v>37668.75</v>
      </c>
      <c r="Q117" s="1">
        <v>2562.5</v>
      </c>
      <c r="R117"/>
      <c r="S117" s="1">
        <v>10500</v>
      </c>
      <c r="T117"/>
      <c r="U117"/>
      <c r="V117"/>
      <c r="W117"/>
      <c r="X117"/>
      <c r="Y117" s="1">
        <v>289043.75</v>
      </c>
      <c r="Z117" s="1">
        <v>14452.19</v>
      </c>
      <c r="AA117" s="1">
        <v>289043.75</v>
      </c>
      <c r="AB117" s="1">
        <v>274591.56</v>
      </c>
    </row>
    <row r="118" spans="1:28" x14ac:dyDescent="0.25">
      <c r="A118" t="inlineStr">
        <is>
          <t>C2477</t>
        </is>
      </c>
      <c r="B118" t="inlineStr">
        <is>
          <t>GAMBO SULE</t>
        </is>
      </c>
      <c r="C118" t="inlineStr">
        <is>
          <t>MOHAMMED</t>
        </is>
      </c>
      <c r="D118" t="inlineStr">
        <is>
          <t>SCAFFOLDER</t>
        </is>
      </c>
      <c r="E118" t="inlineStr">
        <is>
          <t>IDI_ORO</t>
        </is>
      </c>
      <c r="F118" s="1">
        <v>13250</v>
      </c>
      <c r="G118">
        <v>46</v>
      </c>
      <c r="H118" t="inlineStr">
        <is>
          <t>M</t>
        </is>
      </c>
      <c r="I118">
        <v>21</v>
      </c>
      <c r="J118"/>
      <c r="K118">
        <v>1</v>
      </c>
      <c r="L118"/>
      <c r="M118"/>
      <c r="N118" s="1">
        <v>278250</v>
      </c>
      <c r="O118"/>
      <c r="P118" s="1">
        <v>2484.38</v>
      </c>
      <c r="Q118"/>
      <c r="R118"/>
      <c r="S118" s="1">
        <v>10500</v>
      </c>
      <c r="T118"/>
      <c r="U118"/>
      <c r="V118"/>
      <c r="W118"/>
      <c r="X118"/>
      <c r="Y118" s="1">
        <v>294546.88</v>
      </c>
      <c r="Z118" s="1">
        <v>14727.34</v>
      </c>
      <c r="AA118" s="1">
        <v>294546.88</v>
      </c>
      <c r="AB118" s="1">
        <v>279819.54</v>
      </c>
    </row>
    <row r="119" spans="1:28" x14ac:dyDescent="0.25">
      <c r="A119" t="inlineStr">
        <is>
          <t>C2482</t>
        </is>
      </c>
      <c r="B119" t="inlineStr">
        <is>
          <t>RAPHAEL</t>
        </is>
      </c>
      <c r="C119" t="inlineStr">
        <is>
          <t>OBILIKWU</t>
        </is>
      </c>
      <c r="D119" t="inlineStr">
        <is>
          <t>WELDER</t>
        </is>
      </c>
      <c r="E119" t="inlineStr">
        <is>
          <t>IDI_ORO</t>
        </is>
      </c>
      <c r="F119" s="1">
        <v>13550</v>
      </c>
      <c r="G119">
        <v>27</v>
      </c>
      <c r="H119" t="inlineStr">
        <is>
          <t>M</t>
        </is>
      </c>
      <c r="I119">
        <v>21</v>
      </c>
      <c r="J119"/>
      <c r="K119">
        <v>9</v>
      </c>
      <c r="L119"/>
      <c r="M119"/>
      <c r="N119" s="1">
        <v>284550</v>
      </c>
      <c r="O119"/>
      <c r="P119" s="1">
        <v>22865.63</v>
      </c>
      <c r="Q119"/>
      <c r="R119"/>
      <c r="S119" s="1">
        <v>10500</v>
      </c>
      <c r="T119"/>
      <c r="U119"/>
      <c r="V119"/>
      <c r="W119"/>
      <c r="X119"/>
      <c r="Y119" s="1">
        <v>348403.13</v>
      </c>
      <c r="Z119" s="1">
        <v>17420.16</v>
      </c>
      <c r="AA119" s="1">
        <v>348403.13</v>
      </c>
      <c r="AB119" s="1">
        <v>330982.97</v>
      </c>
    </row>
    <row r="120" spans="1:28" x14ac:dyDescent="0.25">
      <c r="A120" t="inlineStr">
        <is>
          <t>C2483</t>
        </is>
      </c>
      <c r="B120" t="inlineStr">
        <is>
          <t>JOHN</t>
        </is>
      </c>
      <c r="C120" t="inlineStr">
        <is>
          <t>OBILIKWU</t>
        </is>
      </c>
      <c r="D120" t="inlineStr">
        <is>
          <t>GRINDER</t>
        </is>
      </c>
      <c r="E120" t="inlineStr">
        <is>
          <t>AGEGE</t>
        </is>
      </c>
      <c r="F120" s="1">
        <v>10250</v>
      </c>
      <c r="G120">
        <v>38</v>
      </c>
      <c r="H120" t="inlineStr">
        <is>
          <t>M</t>
        </is>
      </c>
      <c r="I120">
        <v>21</v>
      </c>
      <c r="J120"/>
      <c r="K120">
        <v>24</v>
      </c>
      <c r="L120">
        <v>4</v>
      </c>
      <c r="M120"/>
      <c r="N120" s="1">
        <v>215250</v>
      </c>
      <c r="O120"/>
      <c r="P120" s="1">
        <v>46125</v>
      </c>
      <c r="Q120" s="1">
        <v>10250</v>
      </c>
      <c r="R120"/>
      <c r="S120" s="1">
        <v>10500</v>
      </c>
      <c r="T120"/>
      <c r="U120"/>
      <c r="V120"/>
      <c r="W120"/>
      <c r="X120"/>
      <c r="Y120" s="1">
        <v>302625</v>
      </c>
      <c r="Z120" s="1">
        <v>15131.25</v>
      </c>
      <c r="AA120" s="1">
        <v>302625</v>
      </c>
      <c r="AB120" s="1">
        <v>287493.75</v>
      </c>
    </row>
    <row r="121" spans="1:28" x14ac:dyDescent="0.25">
      <c r="A121" t="inlineStr">
        <is>
          <t>C2484</t>
        </is>
      </c>
      <c r="B121" t="inlineStr">
        <is>
          <t>ONUOHA</t>
        </is>
      </c>
      <c r="C121" t="inlineStr">
        <is>
          <t>OBINNA</t>
        </is>
      </c>
      <c r="D121" t="inlineStr">
        <is>
          <t>FITTER</t>
        </is>
      </c>
      <c r="E121" t="inlineStr">
        <is>
          <t>AGEGE</t>
        </is>
      </c>
      <c r="F121" s="1">
        <v>14050</v>
      </c>
      <c r="G121">
        <v>49</v>
      </c>
      <c r="H121" t="inlineStr">
        <is>
          <t>M</t>
        </is>
      </c>
      <c r="I121">
        <v>21</v>
      </c>
      <c r="J121"/>
      <c r="K121">
        <v>28</v>
      </c>
      <c r="L121"/>
      <c r="M121"/>
      <c r="N121" s="1">
        <v>295050</v>
      </c>
      <c r="O121"/>
      <c r="P121" s="1">
        <v>73762.5</v>
      </c>
      <c r="Q121"/>
      <c r="R121"/>
      <c r="S121" s="1">
        <v>10500</v>
      </c>
      <c r="T121"/>
      <c r="U121"/>
      <c r="V121"/>
      <c r="W121"/>
      <c r="X121"/>
      <c r="Y121" s="1">
        <v>382825</v>
      </c>
      <c r="Z121" s="1">
        <v>19141.25</v>
      </c>
      <c r="AA121" s="1">
        <v>382825</v>
      </c>
      <c r="AB121" s="1">
        <v>363683.75</v>
      </c>
    </row>
    <row r="122" spans="1:28" x14ac:dyDescent="0.25">
      <c r="A122" t="inlineStr">
        <is>
          <t>C2491</t>
        </is>
      </c>
      <c r="B122" t="inlineStr">
        <is>
          <t>AYODELE</t>
        </is>
      </c>
      <c r="C122" t="inlineStr">
        <is>
          <t>OGUNYEMI</t>
        </is>
      </c>
      <c r="D122" t="inlineStr">
        <is>
          <t>FITTER</t>
        </is>
      </c>
      <c r="E122" t="inlineStr">
        <is>
          <t>AGEGE</t>
        </is>
      </c>
      <c r="F122" s="1">
        <v>14050</v>
      </c>
      <c r="G122">
        <v>70</v>
      </c>
      <c r="H122" t="inlineStr">
        <is>
          <t>M</t>
        </is>
      </c>
      <c r="I122">
        <v>21</v>
      </c>
      <c r="J122"/>
      <c r="K122">
        <v>34</v>
      </c>
      <c r="L122"/>
      <c r="M122"/>
      <c r="N122" s="1">
        <v>295050</v>
      </c>
      <c r="O122"/>
      <c r="P122" s="1">
        <v>89568.75</v>
      </c>
      <c r="Q122"/>
      <c r="R122"/>
      <c r="S122" s="1">
        <v>10500</v>
      </c>
      <c r="T122"/>
      <c r="U122"/>
      <c r="V122"/>
      <c r="W122"/>
      <c r="X122"/>
      <c r="Y122" s="1">
        <v>398631.25</v>
      </c>
      <c r="Z122" s="1">
        <v>19931.56</v>
      </c>
      <c r="AA122" s="1">
        <v>398631.25</v>
      </c>
      <c r="AB122" s="1">
        <v>378699.69</v>
      </c>
    </row>
    <row r="123" spans="1:28" x14ac:dyDescent="0.25">
      <c r="A123" t="inlineStr">
        <is>
          <t>C2492</t>
        </is>
      </c>
      <c r="B123" t="inlineStr">
        <is>
          <t>TIMOTHY</t>
        </is>
      </c>
      <c r="C123" t="inlineStr">
        <is>
          <t>OGWUA</t>
        </is>
      </c>
      <c r="D123" t="inlineStr">
        <is>
          <t>ELECTRICIAN</t>
        </is>
      </c>
      <c r="E123" t="inlineStr">
        <is>
          <t>IDI_ORO</t>
        </is>
      </c>
      <c r="F123" s="1">
        <v>10250</v>
      </c>
      <c r="G123">
        <v>48</v>
      </c>
      <c r="H123" t="inlineStr">
        <is>
          <t>M</t>
        </is>
      </c>
      <c r="I123">
        <v>21</v>
      </c>
      <c r="J123"/>
      <c r="K123">
        <v>30.5</v>
      </c>
      <c r="L123">
        <v>24.5</v>
      </c>
      <c r="M123">
        <v>4</v>
      </c>
      <c r="N123" s="1">
        <v>215250</v>
      </c>
      <c r="O123"/>
      <c r="P123" s="1">
        <v>58617.19</v>
      </c>
      <c r="Q123" s="1">
        <v>62781.25</v>
      </c>
      <c r="R123" s="1">
        <v>6000</v>
      </c>
      <c r="S123" s="1">
        <v>13000</v>
      </c>
      <c r="T123"/>
      <c r="U123"/>
      <c r="V123"/>
      <c r="W123"/>
      <c r="X123"/>
      <c r="Y123" s="1">
        <v>373585.94</v>
      </c>
      <c r="Z123" s="1">
        <v>18679.3</v>
      </c>
      <c r="AA123" s="1">
        <v>373585.94</v>
      </c>
      <c r="AB123" s="1">
        <v>354906.64</v>
      </c>
    </row>
    <row r="124" spans="1:28" x14ac:dyDescent="0.25">
      <c r="A124" t="inlineStr">
        <is>
          <t>C2507</t>
        </is>
      </c>
      <c r="B124" t="inlineStr">
        <is>
          <t>CHINEMERE</t>
        </is>
      </c>
      <c r="C124" t="inlineStr">
        <is>
          <t>ONWUNTA</t>
        </is>
      </c>
      <c r="D124" t="inlineStr">
        <is>
          <t>6G WELDER</t>
        </is>
      </c>
      <c r="E124" t="inlineStr">
        <is>
          <t>IDI_ORO</t>
        </is>
      </c>
      <c r="F124" s="1">
        <v>16700</v>
      </c>
      <c r="G124">
        <v>62</v>
      </c>
      <c r="H124" t="inlineStr">
        <is>
          <t>M</t>
        </is>
      </c>
      <c r="I124">
        <v>21</v>
      </c>
      <c r="J124"/>
      <c r="K124">
        <v>9</v>
      </c>
      <c r="L124"/>
      <c r="M124"/>
      <c r="N124" s="1">
        <v>350700</v>
      </c>
      <c r="O124"/>
      <c r="P124" s="1">
        <v>28181.25</v>
      </c>
      <c r="Q124"/>
      <c r="R124"/>
      <c r="S124" s="1">
        <v>10500</v>
      </c>
      <c r="T124"/>
      <c r="U124"/>
      <c r="V124"/>
      <c r="W124"/>
      <c r="X124"/>
      <c r="Y124" s="1">
        <v>426956.25</v>
      </c>
      <c r="Z124" s="1">
        <v>21347.81</v>
      </c>
      <c r="AA124" s="1">
        <v>426956.25</v>
      </c>
      <c r="AB124" s="1">
        <v>405608.44</v>
      </c>
    </row>
    <row r="125" spans="1:28" x14ac:dyDescent="0.25">
      <c r="A125" t="inlineStr">
        <is>
          <t>C2513</t>
        </is>
      </c>
      <c r="B125" t="inlineStr">
        <is>
          <t>OLAYIWOLA</t>
        </is>
      </c>
      <c r="C125" t="inlineStr">
        <is>
          <t>OWOLABI</t>
        </is>
      </c>
      <c r="D125" t="inlineStr">
        <is>
          <t>FITTER</t>
        </is>
      </c>
      <c r="E125" t="inlineStr">
        <is>
          <t>IDI_ORO</t>
        </is>
      </c>
      <c r="F125" s="1">
        <v>14050</v>
      </c>
      <c r="G125">
        <v>62</v>
      </c>
      <c r="H125" t="inlineStr">
        <is>
          <t>M</t>
        </is>
      </c>
      <c r="I125">
        <v>21</v>
      </c>
      <c r="J125"/>
      <c r="K125">
        <v>26</v>
      </c>
      <c r="L125">
        <v>1</v>
      </c>
      <c r="M125"/>
      <c r="N125" s="1">
        <v>295050</v>
      </c>
      <c r="O125"/>
      <c r="P125" s="1">
        <v>68493.75</v>
      </c>
      <c r="Q125" s="1">
        <v>3512.5</v>
      </c>
      <c r="R125"/>
      <c r="S125" s="1">
        <v>10500</v>
      </c>
      <c r="T125"/>
      <c r="U125"/>
      <c r="V125"/>
      <c r="W125"/>
      <c r="X125"/>
      <c r="Y125" s="1">
        <v>409168.75</v>
      </c>
      <c r="Z125" s="1">
        <v>20458.44</v>
      </c>
      <c r="AA125" s="1">
        <v>409168.75</v>
      </c>
      <c r="AB125" s="1">
        <v>388710.31</v>
      </c>
    </row>
    <row r="126" spans="1:28" x14ac:dyDescent="0.25">
      <c r="A126" t="inlineStr">
        <is>
          <t>C2515</t>
        </is>
      </c>
      <c r="B126" t="inlineStr">
        <is>
          <t>KAZEEM</t>
        </is>
      </c>
      <c r="C126" t="inlineStr">
        <is>
          <t>OYEWOLE</t>
        </is>
      </c>
      <c r="D126" t="inlineStr">
        <is>
          <t>RIGGER</t>
        </is>
      </c>
      <c r="E126" t="inlineStr">
        <is>
          <t>IDI_ORO</t>
        </is>
      </c>
      <c r="F126" s="1">
        <v>11575</v>
      </c>
      <c r="G126">
        <v>46</v>
      </c>
      <c r="H126" t="inlineStr">
        <is>
          <t>M</t>
        </is>
      </c>
      <c r="I126">
        <v>21</v>
      </c>
      <c r="J126">
        <v>1</v>
      </c>
      <c r="K126">
        <v>16</v>
      </c>
      <c r="L126">
        <v>2</v>
      </c>
      <c r="M126"/>
      <c r="N126" s="1">
        <v>243075</v>
      </c>
      <c r="O126" s="1">
        <v>2170.31</v>
      </c>
      <c r="P126" s="1">
        <v>34725</v>
      </c>
      <c r="Q126" s="1">
        <v>5787.5</v>
      </c>
      <c r="R126"/>
      <c r="S126" s="1">
        <v>10500</v>
      </c>
      <c r="T126"/>
      <c r="U126"/>
      <c r="V126"/>
      <c r="W126"/>
      <c r="X126"/>
      <c r="Y126" s="1">
        <v>316514.06</v>
      </c>
      <c r="Z126" s="1">
        <v>15825.7</v>
      </c>
      <c r="AA126" s="1">
        <v>316514.06</v>
      </c>
      <c r="AB126" s="1">
        <v>300688.36</v>
      </c>
    </row>
    <row r="127" spans="1:28" x14ac:dyDescent="0.25">
      <c r="A127" t="inlineStr">
        <is>
          <t>C2516</t>
        </is>
      </c>
      <c r="B127" t="inlineStr">
        <is>
          <t>NDUBUISI</t>
        </is>
      </c>
      <c r="C127" t="inlineStr">
        <is>
          <t>OZILI</t>
        </is>
      </c>
      <c r="D127" t="inlineStr">
        <is>
          <t>RIGGER</t>
        </is>
      </c>
      <c r="E127" t="inlineStr">
        <is>
          <t>AGEGE</t>
        </is>
      </c>
      <c r="F127" s="1">
        <v>11575</v>
      </c>
      <c r="G127">
        <v>43</v>
      </c>
      <c r="H127" t="inlineStr">
        <is>
          <t>M</t>
        </is>
      </c>
      <c r="I127">
        <v>21</v>
      </c>
      <c r="J127"/>
      <c r="K127">
        <v>30</v>
      </c>
      <c r="L127">
        <v>1</v>
      </c>
      <c r="M127"/>
      <c r="N127" s="1">
        <v>243075</v>
      </c>
      <c r="O127"/>
      <c r="P127" s="1">
        <v>65109.38</v>
      </c>
      <c r="Q127" s="1">
        <v>2893.75</v>
      </c>
      <c r="R127"/>
      <c r="S127" s="1">
        <v>10500</v>
      </c>
      <c r="T127"/>
      <c r="U127"/>
      <c r="V127"/>
      <c r="W127"/>
      <c r="X127"/>
      <c r="Y127" s="1">
        <v>324471.88</v>
      </c>
      <c r="Z127" s="1">
        <v>16223.59</v>
      </c>
      <c r="AA127" s="1">
        <v>324471.88</v>
      </c>
      <c r="AB127" s="1">
        <v>308248.29</v>
      </c>
    </row>
    <row r="128" spans="1:28" x14ac:dyDescent="0.25">
      <c r="A128" t="inlineStr">
        <is>
          <t>C2523</t>
        </is>
      </c>
      <c r="B128" t="inlineStr">
        <is>
          <t>OMOGBOLAHAN</t>
        </is>
      </c>
      <c r="C128" t="inlineStr">
        <is>
          <t>RASAK</t>
        </is>
      </c>
      <c r="D128" t="inlineStr">
        <is>
          <t>ELECTRICIAN</t>
        </is>
      </c>
      <c r="E128" t="inlineStr">
        <is>
          <t>AGEGE</t>
        </is>
      </c>
      <c r="F128" s="1">
        <v>10250</v>
      </c>
      <c r="G128">
        <v>29</v>
      </c>
      <c r="H128" t="inlineStr">
        <is>
          <t>M</t>
        </is>
      </c>
      <c r="I128">
        <v>21</v>
      </c>
      <c r="J128">
        <v>7.3</v>
      </c>
      <c r="K128">
        <v>28</v>
      </c>
      <c r="L128">
        <v>37</v>
      </c>
      <c r="M128"/>
      <c r="N128" s="1">
        <v>215250</v>
      </c>
      <c r="O128" s="1">
        <v>14029.69</v>
      </c>
      <c r="P128" s="1">
        <v>53812.5</v>
      </c>
      <c r="Q128" s="1">
        <v>94812.5</v>
      </c>
      <c r="R128"/>
      <c r="S128" s="1">
        <v>10500</v>
      </c>
      <c r="T128"/>
      <c r="U128"/>
      <c r="V128"/>
      <c r="W128"/>
      <c r="X128"/>
      <c r="Y128" s="1">
        <v>406342.19</v>
      </c>
      <c r="Z128" s="1">
        <v>20317.11</v>
      </c>
      <c r="AA128" s="1">
        <v>406342.19</v>
      </c>
      <c r="AB128" s="1">
        <v>386025.08</v>
      </c>
    </row>
    <row r="129" spans="1:28" x14ac:dyDescent="0.25">
      <c r="A129" t="inlineStr">
        <is>
          <t>C2526</t>
        </is>
      </c>
      <c r="B129" t="inlineStr">
        <is>
          <t>ABLE</t>
        </is>
      </c>
      <c r="C129" t="inlineStr">
        <is>
          <t>ROMANUS</t>
        </is>
      </c>
      <c r="D129" t="inlineStr">
        <is>
          <t>FITTER MATE</t>
        </is>
      </c>
      <c r="E129" t="inlineStr">
        <is>
          <t>IDI_ORO</t>
        </is>
      </c>
      <c r="F129" s="1">
        <v>10812</v>
      </c>
      <c r="G129">
        <v>25</v>
      </c>
      <c r="H129" t="inlineStr">
        <is>
          <t>M</t>
        </is>
      </c>
      <c r="I129">
        <v>21</v>
      </c>
      <c r="J129">
        <v>10.9</v>
      </c>
      <c r="K129">
        <v>24.2</v>
      </c>
      <c r="L129">
        <v>1</v>
      </c>
      <c r="M129"/>
      <c r="N129" s="1">
        <v>227052</v>
      </c>
      <c r="O129" s="1">
        <v>22097.03</v>
      </c>
      <c r="P129" s="1">
        <v>49059.45</v>
      </c>
      <c r="Q129" s="1">
        <v>2703</v>
      </c>
      <c r="R129"/>
      <c r="S129" s="1">
        <v>10500</v>
      </c>
      <c r="T129"/>
      <c r="U129"/>
      <c r="V129"/>
      <c r="W129"/>
      <c r="X129"/>
      <c r="Y129" s="1">
        <v>330332.48</v>
      </c>
      <c r="Z129" s="1">
        <v>16516.62</v>
      </c>
      <c r="AA129" s="1">
        <v>330332.48</v>
      </c>
      <c r="AB129" s="1">
        <v>313815.86</v>
      </c>
    </row>
    <row r="130" spans="1:28" x14ac:dyDescent="0.25">
      <c r="A130" t="inlineStr">
        <is>
          <t>C2534</t>
        </is>
      </c>
      <c r="B130" t="inlineStr">
        <is>
          <t>OVAT</t>
        </is>
      </c>
      <c r="C130" t="inlineStr">
        <is>
          <t>STANLEY</t>
        </is>
      </c>
      <c r="D130" t="inlineStr">
        <is>
          <t>WELDER</t>
        </is>
      </c>
      <c r="E130" t="inlineStr">
        <is>
          <t>AGEGE</t>
        </is>
      </c>
      <c r="F130" s="1">
        <v>19800</v>
      </c>
      <c r="G130">
        <v>46</v>
      </c>
      <c r="H130" t="inlineStr">
        <is>
          <t>M</t>
        </is>
      </c>
      <c r="I130"/>
      <c r="J130"/>
      <c r="K130"/>
      <c r="L130">
        <v>18</v>
      </c>
      <c r="M130"/>
      <c r="N130"/>
      <c r="O130"/>
      <c r="P130"/>
      <c r="Q130" s="1">
        <v>89100</v>
      </c>
      <c r="R130"/>
      <c r="S130"/>
      <c r="T130"/>
      <c r="U130"/>
      <c r="V130"/>
      <c r="W130"/>
      <c r="X130"/>
      <c r="Y130" s="1">
        <v>89100</v>
      </c>
      <c r="Z130" s="1">
        <v>4455</v>
      </c>
      <c r="AA130" s="1">
        <v>89100</v>
      </c>
      <c r="AB130" s="1">
        <v>84645</v>
      </c>
    </row>
    <row r="131" spans="1:28" x14ac:dyDescent="0.25">
      <c r="A131" t="inlineStr">
        <is>
          <t>C2536</t>
        </is>
      </c>
      <c r="B131" t="inlineStr">
        <is>
          <t>EMMANUEL</t>
        </is>
      </c>
      <c r="C131" t="inlineStr">
        <is>
          <t>SUNDAY</t>
        </is>
      </c>
      <c r="D131" t="inlineStr">
        <is>
          <t>FITTER MATE</t>
        </is>
      </c>
      <c r="E131" t="inlineStr">
        <is>
          <t>IDI_ORO</t>
        </is>
      </c>
      <c r="F131" s="1">
        <v>10812</v>
      </c>
      <c r="G131">
        <v>31</v>
      </c>
      <c r="H131" t="inlineStr">
        <is>
          <t>M</t>
        </is>
      </c>
      <c r="I131">
        <v>21</v>
      </c>
      <c r="J131"/>
      <c r="K131">
        <v>26.4</v>
      </c>
      <c r="L131">
        <v>1</v>
      </c>
      <c r="M131"/>
      <c r="N131" s="1">
        <v>227052</v>
      </c>
      <c r="O131"/>
      <c r="P131" s="1">
        <v>53519.4</v>
      </c>
      <c r="Q131" s="1">
        <v>2703</v>
      </c>
      <c r="R131"/>
      <c r="S131" s="1">
        <v>10500</v>
      </c>
      <c r="T131"/>
      <c r="U131"/>
      <c r="V131"/>
      <c r="W131"/>
      <c r="X131"/>
      <c r="Y131" s="1">
        <v>318101.4</v>
      </c>
      <c r="Z131" s="1">
        <v>15905.07</v>
      </c>
      <c r="AA131" s="1">
        <v>318101.4</v>
      </c>
      <c r="AB131" s="1">
        <v>302196.33</v>
      </c>
    </row>
    <row r="132" spans="1:28" x14ac:dyDescent="0.25">
      <c r="A132" t="inlineStr">
        <is>
          <t>C2537</t>
        </is>
      </c>
      <c r="B132" t="inlineStr">
        <is>
          <t>SIMIRE</t>
        </is>
      </c>
      <c r="C132" t="inlineStr">
        <is>
          <t>SUNDAY</t>
        </is>
      </c>
      <c r="D132" t="inlineStr">
        <is>
          <t>ELECTRICIAN</t>
        </is>
      </c>
      <c r="E132" t="inlineStr">
        <is>
          <t>IDI_ORO</t>
        </is>
      </c>
      <c r="F132" s="1">
        <v>10250</v>
      </c>
      <c r="G132">
        <v>55</v>
      </c>
      <c r="H132" t="inlineStr">
        <is>
          <t>M</t>
        </is>
      </c>
      <c r="I132">
        <v>21</v>
      </c>
      <c r="J132">
        <v>2</v>
      </c>
      <c r="K132">
        <v>24</v>
      </c>
      <c r="L132">
        <v>10</v>
      </c>
      <c r="M132">
        <v>6</v>
      </c>
      <c r="N132" s="1">
        <v>215250</v>
      </c>
      <c r="O132" s="1">
        <v>3843.75</v>
      </c>
      <c r="P132" s="1">
        <v>46125</v>
      </c>
      <c r="Q132" s="1">
        <v>25625</v>
      </c>
      <c r="R132" s="1">
        <v>9000</v>
      </c>
      <c r="S132" s="1">
        <v>10500</v>
      </c>
      <c r="T132"/>
      <c r="U132"/>
      <c r="V132"/>
      <c r="W132"/>
      <c r="X132"/>
      <c r="Y132" s="1">
        <v>328281.25</v>
      </c>
      <c r="Z132" s="1">
        <v>16414.06</v>
      </c>
      <c r="AA132" s="1">
        <v>328281.25</v>
      </c>
      <c r="AB132" s="1">
        <v>311867.19</v>
      </c>
    </row>
    <row r="133" spans="1:28" x14ac:dyDescent="0.25">
      <c r="A133" t="inlineStr">
        <is>
          <t>C2555</t>
        </is>
      </c>
      <c r="B133" t="inlineStr">
        <is>
          <t>UDENZI JUDE</t>
        </is>
      </c>
      <c r="C133" t="inlineStr">
        <is>
          <t>EZE</t>
        </is>
      </c>
      <c r="D133" t="inlineStr">
        <is>
          <t>ELECTRICIAN</t>
        </is>
      </c>
      <c r="E133" t="inlineStr">
        <is>
          <t>AGEGE</t>
        </is>
      </c>
      <c r="F133" s="1">
        <v>10250</v>
      </c>
      <c r="G133">
        <v>64</v>
      </c>
      <c r="H133" t="inlineStr">
        <is>
          <t>M</t>
        </is>
      </c>
      <c r="I133">
        <v>21</v>
      </c>
      <c r="J133">
        <v>6.8</v>
      </c>
      <c r="K133">
        <v>28</v>
      </c>
      <c r="L133">
        <v>41</v>
      </c>
      <c r="M133"/>
      <c r="N133" s="1">
        <v>215250</v>
      </c>
      <c r="O133" s="1">
        <v>13068.75</v>
      </c>
      <c r="P133" s="1">
        <v>53812.5</v>
      </c>
      <c r="Q133" s="1">
        <v>105062.5</v>
      </c>
      <c r="R133"/>
      <c r="S133" s="1">
        <v>10500</v>
      </c>
      <c r="T133"/>
      <c r="U133"/>
      <c r="V133"/>
      <c r="W133"/>
      <c r="X133"/>
      <c r="Y133" s="1">
        <v>415631.25</v>
      </c>
      <c r="Z133" s="1">
        <v>20781.56</v>
      </c>
      <c r="AA133" s="1">
        <v>415631.25</v>
      </c>
      <c r="AB133" s="1">
        <v>394849.69</v>
      </c>
    </row>
    <row r="134" spans="1:28" x14ac:dyDescent="0.25">
      <c r="A134" t="inlineStr">
        <is>
          <t>C2585</t>
        </is>
      </c>
      <c r="B134" t="inlineStr">
        <is>
          <t>EMMANUEL</t>
        </is>
      </c>
      <c r="C134" t="inlineStr">
        <is>
          <t>AZIEKWE</t>
        </is>
      </c>
      <c r="D134" t="inlineStr">
        <is>
          <t>3G SMAW WELDER</t>
        </is>
      </c>
      <c r="E134" t="inlineStr">
        <is>
          <t>AGEGE</t>
        </is>
      </c>
      <c r="F134" s="1">
        <v>13550</v>
      </c>
      <c r="G134">
        <v>45</v>
      </c>
      <c r="H134" t="inlineStr">
        <is>
          <t>M</t>
        </is>
      </c>
      <c r="I134">
        <v>21</v>
      </c>
      <c r="J134"/>
      <c r="K134">
        <v>28</v>
      </c>
      <c r="L134">
        <v>13</v>
      </c>
      <c r="M134"/>
      <c r="N134" s="1">
        <v>284550</v>
      </c>
      <c r="O134"/>
      <c r="P134" s="1">
        <v>71137.5</v>
      </c>
      <c r="Q134" s="1">
        <v>44037.5</v>
      </c>
      <c r="R134"/>
      <c r="S134" s="1">
        <v>10500</v>
      </c>
      <c r="T134"/>
      <c r="U134"/>
      <c r="V134"/>
      <c r="W134"/>
      <c r="X134"/>
      <c r="Y134" s="1">
        <v>443422.5</v>
      </c>
      <c r="Z134" s="1">
        <v>22171.13</v>
      </c>
      <c r="AA134" s="1">
        <v>443422.5</v>
      </c>
      <c r="AB134" s="1">
        <v>421251.37</v>
      </c>
    </row>
    <row r="135" spans="1:28" x14ac:dyDescent="0.25">
      <c r="A135" t="inlineStr">
        <is>
          <t>C2597</t>
        </is>
      </c>
      <c r="B135" t="inlineStr">
        <is>
          <t>OYABUGBE</t>
        </is>
      </c>
      <c r="C135" t="inlineStr">
        <is>
          <t>IRIKEFE</t>
        </is>
      </c>
      <c r="D135" t="inlineStr">
        <is>
          <t>WELDER</t>
        </is>
      </c>
      <c r="E135" t="inlineStr">
        <is>
          <t>IDI_ORO</t>
        </is>
      </c>
      <c r="F135" s="1">
        <v>20100</v>
      </c>
      <c r="G135">
        <v>48</v>
      </c>
      <c r="H135" t="inlineStr">
        <is>
          <t>M</t>
        </is>
      </c>
      <c r="I135">
        <v>21</v>
      </c>
      <c r="J135">
        <v>2</v>
      </c>
      <c r="K135">
        <v>9</v>
      </c>
      <c r="L135"/>
      <c r="M135"/>
      <c r="N135" s="1">
        <v>422100</v>
      </c>
      <c r="O135" s="1">
        <v>7537.5</v>
      </c>
      <c r="P135" s="1">
        <v>33918.75</v>
      </c>
      <c r="Q135"/>
      <c r="R135"/>
      <c r="S135" s="1">
        <v>10500</v>
      </c>
      <c r="T135"/>
      <c r="U135"/>
      <c r="V135"/>
      <c r="W135"/>
      <c r="X135"/>
      <c r="Y135" s="1">
        <v>519281.25</v>
      </c>
      <c r="Z135" s="1">
        <v>25964.06</v>
      </c>
      <c r="AA135" s="1">
        <v>519281.25</v>
      </c>
      <c r="AB135" s="1">
        <v>493317.19</v>
      </c>
    </row>
    <row r="136" spans="1:28" x14ac:dyDescent="0.25">
      <c r="A136" t="inlineStr">
        <is>
          <t>C2604</t>
        </is>
      </c>
      <c r="B136" t="inlineStr">
        <is>
          <t>PATRICK OHEME</t>
        </is>
      </c>
      <c r="C136" t="inlineStr">
        <is>
          <t>ADAH</t>
        </is>
      </c>
      <c r="D136" t="inlineStr">
        <is>
          <t>FITTER MATE</t>
        </is>
      </c>
      <c r="E136" t="inlineStr">
        <is>
          <t>IDI_ORO</t>
        </is>
      </c>
      <c r="F136" s="1">
        <v>13050</v>
      </c>
      <c r="G136">
        <v>38</v>
      </c>
      <c r="H136" t="inlineStr">
        <is>
          <t>M</t>
        </is>
      </c>
      <c r="I136">
        <v>21</v>
      </c>
      <c r="J136"/>
      <c r="K136">
        <v>24.2</v>
      </c>
      <c r="L136">
        <v>1</v>
      </c>
      <c r="M136"/>
      <c r="N136" s="1">
        <v>274050</v>
      </c>
      <c r="O136"/>
      <c r="P136" s="1">
        <v>59214.38</v>
      </c>
      <c r="Q136" s="1">
        <v>3262.5</v>
      </c>
      <c r="R136"/>
      <c r="S136" s="1">
        <v>10500</v>
      </c>
      <c r="T136"/>
      <c r="U136"/>
      <c r="V136"/>
      <c r="W136"/>
      <c r="X136"/>
      <c r="Y136" s="1">
        <v>376389.38</v>
      </c>
      <c r="Z136" s="1">
        <v>18819.47</v>
      </c>
      <c r="AA136" s="1">
        <v>376389.38</v>
      </c>
      <c r="AB136" s="1">
        <v>357569.91</v>
      </c>
    </row>
    <row r="137" spans="1:28" x14ac:dyDescent="0.25">
      <c r="A137" t="inlineStr">
        <is>
          <t>C2605</t>
        </is>
      </c>
      <c r="B137" t="inlineStr">
        <is>
          <t>FRIDAY</t>
        </is>
      </c>
      <c r="C137" t="inlineStr">
        <is>
          <t>ONAJI</t>
        </is>
      </c>
      <c r="D137" t="inlineStr">
        <is>
          <t>WELDER</t>
        </is>
      </c>
      <c r="E137" t="inlineStr">
        <is>
          <t>IDI_ORO</t>
        </is>
      </c>
      <c r="F137" s="1">
        <v>13550</v>
      </c>
      <c r="G137">
        <v>38</v>
      </c>
      <c r="H137" t="inlineStr">
        <is>
          <t>M</t>
        </is>
      </c>
      <c r="I137">
        <v>21</v>
      </c>
      <c r="J137"/>
      <c r="K137">
        <v>7</v>
      </c>
      <c r="L137"/>
      <c r="M137"/>
      <c r="N137" s="1">
        <v>284550</v>
      </c>
      <c r="O137"/>
      <c r="P137" s="1">
        <v>17784.38</v>
      </c>
      <c r="Q137"/>
      <c r="R137"/>
      <c r="S137" s="1">
        <v>10500</v>
      </c>
      <c r="T137"/>
      <c r="U137"/>
      <c r="V137"/>
      <c r="W137"/>
      <c r="X137"/>
      <c r="Y137" s="1">
        <v>343321.88</v>
      </c>
      <c r="Z137" s="1">
        <v>17166.09</v>
      </c>
      <c r="AA137" s="1">
        <v>343321.88</v>
      </c>
      <c r="AB137" s="1">
        <v>326155.79</v>
      </c>
    </row>
    <row r="138" spans="1:28" x14ac:dyDescent="0.25">
      <c r="A138" t="inlineStr">
        <is>
          <t>C2607</t>
        </is>
      </c>
      <c r="B138" t="inlineStr">
        <is>
          <t>RASAK ADEKUNLE</t>
        </is>
      </c>
      <c r="C138" t="inlineStr">
        <is>
          <t>ADEOSUN</t>
        </is>
      </c>
      <c r="D138" t="inlineStr">
        <is>
          <t>RIGGER</t>
        </is>
      </c>
      <c r="E138" t="inlineStr">
        <is>
          <t>AGEGE</t>
        </is>
      </c>
      <c r="F138" s="1">
        <v>13150</v>
      </c>
      <c r="G138">
        <v>63</v>
      </c>
      <c r="H138" t="inlineStr">
        <is>
          <t>M</t>
        </is>
      </c>
      <c r="I138">
        <v>21</v>
      </c>
      <c r="J138"/>
      <c r="K138">
        <v>30</v>
      </c>
      <c r="L138">
        <v>1</v>
      </c>
      <c r="M138"/>
      <c r="N138" s="1">
        <v>276150</v>
      </c>
      <c r="O138"/>
      <c r="P138" s="1">
        <v>73968.75</v>
      </c>
      <c r="Q138" s="1">
        <v>3287.5</v>
      </c>
      <c r="R138"/>
      <c r="S138" s="1">
        <v>10500</v>
      </c>
      <c r="T138"/>
      <c r="U138"/>
      <c r="V138"/>
      <c r="W138"/>
      <c r="X138"/>
      <c r="Y138" s="1">
        <v>367193.75</v>
      </c>
      <c r="Z138" s="1">
        <v>18359.69</v>
      </c>
      <c r="AA138" s="1">
        <v>367193.75</v>
      </c>
      <c r="AB138" s="1">
        <v>348834.06</v>
      </c>
    </row>
    <row r="139" spans="1:28" x14ac:dyDescent="0.25">
      <c r="A139" t="inlineStr">
        <is>
          <t>C2614</t>
        </is>
      </c>
      <c r="B139" t="inlineStr">
        <is>
          <t>IDOWU</t>
        </is>
      </c>
      <c r="C139" t="inlineStr">
        <is>
          <t>ADELEKE</t>
        </is>
      </c>
      <c r="D139" t="inlineStr">
        <is>
          <t>FITTER</t>
        </is>
      </c>
      <c r="E139" t="inlineStr">
        <is>
          <t>AGEGE</t>
        </is>
      </c>
      <c r="F139" s="1">
        <v>14050</v>
      </c>
      <c r="G139">
        <v>42</v>
      </c>
      <c r="H139" t="inlineStr">
        <is>
          <t>M</t>
        </is>
      </c>
      <c r="I139">
        <v>21</v>
      </c>
      <c r="J139"/>
      <c r="K139">
        <v>28</v>
      </c>
      <c r="L139"/>
      <c r="M139"/>
      <c r="N139" s="1">
        <v>295050</v>
      </c>
      <c r="O139"/>
      <c r="P139" s="1">
        <v>73762.5</v>
      </c>
      <c r="Q139"/>
      <c r="R139"/>
      <c r="S139" s="1">
        <v>10500</v>
      </c>
      <c r="T139"/>
      <c r="U139"/>
      <c r="V139"/>
      <c r="W139"/>
      <c r="X139"/>
      <c r="Y139" s="1">
        <v>382825</v>
      </c>
      <c r="Z139" s="1">
        <v>19141.25</v>
      </c>
      <c r="AA139" s="1">
        <v>382825</v>
      </c>
      <c r="AB139" s="1">
        <v>363683.75</v>
      </c>
    </row>
    <row r="140" spans="1:28" x14ac:dyDescent="0.25">
      <c r="A140" t="inlineStr">
        <is>
          <t>C2615</t>
        </is>
      </c>
      <c r="B140" t="inlineStr">
        <is>
          <t>CECILIA</t>
        </is>
      </c>
      <c r="C140" t="inlineStr">
        <is>
          <t>HART</t>
        </is>
      </c>
      <c r="D140" t="inlineStr">
        <is>
          <t>FITTER</t>
        </is>
      </c>
      <c r="E140" t="inlineStr">
        <is>
          <t>IDI_ORO</t>
        </is>
      </c>
      <c r="F140" s="1">
        <v>14050</v>
      </c>
      <c r="G140">
        <v>54</v>
      </c>
      <c r="H140" t="inlineStr">
        <is>
          <t>F</t>
        </is>
      </c>
      <c r="I140">
        <v>21</v>
      </c>
      <c r="J140"/>
      <c r="K140">
        <v>17</v>
      </c>
      <c r="L140">
        <v>1</v>
      </c>
      <c r="M140"/>
      <c r="N140" s="1">
        <v>295050</v>
      </c>
      <c r="O140"/>
      <c r="P140" s="1">
        <v>44784.38</v>
      </c>
      <c r="Q140" s="1">
        <v>3512.5</v>
      </c>
      <c r="R140"/>
      <c r="S140" s="1">
        <v>10500</v>
      </c>
      <c r="T140"/>
      <c r="U140"/>
      <c r="V140"/>
      <c r="W140"/>
      <c r="X140"/>
      <c r="Y140" s="1">
        <v>385459.38</v>
      </c>
      <c r="Z140" s="1">
        <v>19272.97</v>
      </c>
      <c r="AA140" s="1">
        <v>385459.38</v>
      </c>
      <c r="AB140" s="1">
        <v>366186.41</v>
      </c>
    </row>
    <row r="141" spans="1:28" x14ac:dyDescent="0.25">
      <c r="A141" t="inlineStr">
        <is>
          <t>C2622</t>
        </is>
      </c>
      <c r="B141" t="inlineStr">
        <is>
          <t>AUDU</t>
        </is>
      </c>
      <c r="C141" t="inlineStr">
        <is>
          <t>JOHN</t>
        </is>
      </c>
      <c r="D141" t="inlineStr">
        <is>
          <t>RIGGER</t>
        </is>
      </c>
      <c r="E141" t="inlineStr">
        <is>
          <t>IDI_ORO</t>
        </is>
      </c>
      <c r="F141" s="1">
        <v>11575</v>
      </c>
      <c r="G141">
        <v>39</v>
      </c>
      <c r="H141" t="inlineStr">
        <is>
          <t>M</t>
        </is>
      </c>
      <c r="I141">
        <v>21</v>
      </c>
      <c r="J141"/>
      <c r="K141">
        <v>17</v>
      </c>
      <c r="L141">
        <v>10</v>
      </c>
      <c r="M141"/>
      <c r="N141" s="1">
        <v>243075</v>
      </c>
      <c r="O141"/>
      <c r="P141" s="1">
        <v>36895.31</v>
      </c>
      <c r="Q141" s="1">
        <v>28937.5</v>
      </c>
      <c r="R141"/>
      <c r="S141" s="1">
        <v>10500</v>
      </c>
      <c r="T141"/>
      <c r="U141"/>
      <c r="V141"/>
      <c r="W141"/>
      <c r="X141"/>
      <c r="Y141" s="1">
        <v>345451.56</v>
      </c>
      <c r="Z141" s="1">
        <v>17272.58</v>
      </c>
      <c r="AA141" s="1">
        <v>345451.56</v>
      </c>
      <c r="AB141" s="1">
        <v>328178.98</v>
      </c>
    </row>
    <row r="142" spans="1:28" x14ac:dyDescent="0.25">
      <c r="A142" t="inlineStr">
        <is>
          <t>C2623</t>
        </is>
      </c>
      <c r="B142" t="inlineStr">
        <is>
          <t>MONDAY</t>
        </is>
      </c>
      <c r="C142" t="inlineStr">
        <is>
          <t>NWACHUKWU</t>
        </is>
      </c>
      <c r="D142" t="inlineStr">
        <is>
          <t>6G WELDER</t>
        </is>
      </c>
      <c r="E142" t="inlineStr">
        <is>
          <t>IDI_ORO</t>
        </is>
      </c>
      <c r="F142" s="1">
        <v>16700</v>
      </c>
      <c r="G142">
        <v>53</v>
      </c>
      <c r="H142" t="inlineStr">
        <is>
          <t>M</t>
        </is>
      </c>
      <c r="I142">
        <v>21</v>
      </c>
      <c r="J142"/>
      <c r="K142">
        <v>9</v>
      </c>
      <c r="L142"/>
      <c r="M142"/>
      <c r="N142" s="1">
        <v>350700</v>
      </c>
      <c r="O142"/>
      <c r="P142" s="1">
        <v>28181.25</v>
      </c>
      <c r="Q142"/>
      <c r="R142"/>
      <c r="S142" s="1">
        <v>10500</v>
      </c>
      <c r="T142"/>
      <c r="U142"/>
      <c r="V142"/>
      <c r="W142"/>
      <c r="X142"/>
      <c r="Y142" s="1">
        <v>426956.25</v>
      </c>
      <c r="Z142" s="1">
        <v>21347.81</v>
      </c>
      <c r="AA142" s="1">
        <v>426956.25</v>
      </c>
      <c r="AB142" s="1">
        <v>405608.44</v>
      </c>
    </row>
    <row r="143" spans="1:28" x14ac:dyDescent="0.25">
      <c r="A143" t="inlineStr">
        <is>
          <t>C2626</t>
        </is>
      </c>
      <c r="B143" t="inlineStr">
        <is>
          <t>BONIFACE</t>
        </is>
      </c>
      <c r="C143" t="inlineStr">
        <is>
          <t>OKPE</t>
        </is>
      </c>
      <c r="D143" t="inlineStr">
        <is>
          <t>SCAFFOLDER</t>
        </is>
      </c>
      <c r="E143" t="inlineStr">
        <is>
          <t>IDI_ORO</t>
        </is>
      </c>
      <c r="F143" s="1">
        <v>13250</v>
      </c>
      <c r="G143">
        <v>56</v>
      </c>
      <c r="H143" t="inlineStr">
        <is>
          <t>M</t>
        </is>
      </c>
      <c r="I143">
        <v>21</v>
      </c>
      <c r="J143"/>
      <c r="K143">
        <v>1</v>
      </c>
      <c r="L143"/>
      <c r="M143"/>
      <c r="N143" s="1">
        <v>278250</v>
      </c>
      <c r="O143"/>
      <c r="P143" s="1">
        <v>2484.38</v>
      </c>
      <c r="Q143"/>
      <c r="R143"/>
      <c r="S143" s="1">
        <v>10500</v>
      </c>
      <c r="T143"/>
      <c r="U143"/>
      <c r="V143"/>
      <c r="W143"/>
      <c r="X143"/>
      <c r="Y143" s="1">
        <v>294546.88</v>
      </c>
      <c r="Z143" s="1">
        <v>14727.34</v>
      </c>
      <c r="AA143" s="1">
        <v>294546.88</v>
      </c>
      <c r="AB143" s="1">
        <v>279819.54</v>
      </c>
    </row>
    <row r="144" spans="1:28" x14ac:dyDescent="0.25">
      <c r="A144" t="inlineStr">
        <is>
          <t>C2632</t>
        </is>
      </c>
      <c r="B144" t="inlineStr">
        <is>
          <t>AYUBA</t>
        </is>
      </c>
      <c r="C144" t="inlineStr">
        <is>
          <t>OGUNBONA</t>
        </is>
      </c>
      <c r="D144" t="inlineStr">
        <is>
          <t>CNC OPERATOR</t>
        </is>
      </c>
      <c r="E144" t="inlineStr">
        <is>
          <t>AGEGE</t>
        </is>
      </c>
      <c r="F144" s="1">
        <v>11750</v>
      </c>
      <c r="G144">
        <v>34</v>
      </c>
      <c r="H144" t="inlineStr">
        <is>
          <t>M</t>
        </is>
      </c>
      <c r="I144">
        <v>21</v>
      </c>
      <c r="J144"/>
      <c r="K144">
        <v>3</v>
      </c>
      <c r="L144"/>
      <c r="M144"/>
      <c r="N144" s="1">
        <v>246750</v>
      </c>
      <c r="O144"/>
      <c r="P144" s="1">
        <v>6609.38</v>
      </c>
      <c r="Q144"/>
      <c r="R144"/>
      <c r="S144" s="1">
        <v>10500</v>
      </c>
      <c r="T144"/>
      <c r="U144"/>
      <c r="V144"/>
      <c r="W144"/>
      <c r="X144"/>
      <c r="Y144" s="1">
        <v>284421.88</v>
      </c>
      <c r="Z144" s="1">
        <v>14221.09</v>
      </c>
      <c r="AA144" s="1">
        <v>284421.88</v>
      </c>
      <c r="AB144" s="1">
        <v>270200.79</v>
      </c>
    </row>
    <row r="145" spans="1:28" x14ac:dyDescent="0.25">
      <c r="A145" t="inlineStr">
        <is>
          <t>C2633</t>
        </is>
      </c>
      <c r="B145" t="inlineStr">
        <is>
          <t>SUNDAY</t>
        </is>
      </c>
      <c r="C145" t="inlineStr">
        <is>
          <t>KENECHUKWU</t>
        </is>
      </c>
      <c r="D145" t="inlineStr">
        <is>
          <t>CNC OPERATOR</t>
        </is>
      </c>
      <c r="E145" t="inlineStr">
        <is>
          <t>AGEGE</t>
        </is>
      </c>
      <c r="F145" s="1">
        <v>11750</v>
      </c>
      <c r="G145">
        <v>47</v>
      </c>
      <c r="H145" t="inlineStr">
        <is>
          <t>M</t>
        </is>
      </c>
      <c r="I145">
        <v>21</v>
      </c>
      <c r="J145"/>
      <c r="K145">
        <v>3</v>
      </c>
      <c r="L145"/>
      <c r="M145"/>
      <c r="N145" s="1">
        <v>246750</v>
      </c>
      <c r="O145"/>
      <c r="P145" s="1">
        <v>6609.38</v>
      </c>
      <c r="Q145"/>
      <c r="R145"/>
      <c r="S145" s="1">
        <v>10500</v>
      </c>
      <c r="T145"/>
      <c r="U145"/>
      <c r="V145"/>
      <c r="W145"/>
      <c r="X145"/>
      <c r="Y145" s="1">
        <v>266796.88</v>
      </c>
      <c r="Z145" s="1">
        <v>13339.84</v>
      </c>
      <c r="AA145" s="1">
        <v>266796.88</v>
      </c>
      <c r="AB145" s="1">
        <v>253457.04</v>
      </c>
    </row>
    <row r="146" spans="1:28" x14ac:dyDescent="0.25">
      <c r="A146" t="inlineStr">
        <is>
          <t>C2647</t>
        </is>
      </c>
      <c r="B146" t="inlineStr">
        <is>
          <t>KABIRU ADESHINA</t>
        </is>
      </c>
      <c r="C146" t="inlineStr">
        <is>
          <t>ADEYEMI</t>
        </is>
      </c>
      <c r="D146" t="inlineStr">
        <is>
          <t>SWAW + FCAW</t>
        </is>
      </c>
      <c r="E146" t="inlineStr">
        <is>
          <t>AGEGE</t>
        </is>
      </c>
      <c r="F146" s="1">
        <v>20100</v>
      </c>
      <c r="G146">
        <v>44</v>
      </c>
      <c r="H146" t="inlineStr">
        <is>
          <t>M</t>
        </is>
      </c>
      <c r="I146">
        <v>21</v>
      </c>
      <c r="J146"/>
      <c r="K146">
        <v>30</v>
      </c>
      <c r="L146">
        <v>4</v>
      </c>
      <c r="M146"/>
      <c r="N146" s="1">
        <v>422100</v>
      </c>
      <c r="O146"/>
      <c r="P146" s="1">
        <v>113062.5</v>
      </c>
      <c r="Q146" s="1">
        <v>20100</v>
      </c>
      <c r="R146"/>
      <c r="S146" s="1">
        <v>10500</v>
      </c>
      <c r="T146"/>
      <c r="U146"/>
      <c r="V146"/>
      <c r="W146"/>
      <c r="X146"/>
      <c r="Y146" s="1">
        <v>611490</v>
      </c>
      <c r="Z146" s="1">
        <v>30574.5</v>
      </c>
      <c r="AA146" s="1">
        <v>611490</v>
      </c>
      <c r="AB146" s="1">
        <v>580915.5</v>
      </c>
    </row>
    <row r="147" spans="1:28" x14ac:dyDescent="0.25">
      <c r="A147" t="inlineStr">
        <is>
          <t>C2663</t>
        </is>
      </c>
      <c r="B147" t="inlineStr">
        <is>
          <t>JEREMIAH</t>
        </is>
      </c>
      <c r="C147" t="inlineStr">
        <is>
          <t>DAVID</t>
        </is>
      </c>
      <c r="D147" t="inlineStr">
        <is>
          <t>3G WELDER</t>
        </is>
      </c>
      <c r="E147" t="inlineStr">
        <is>
          <t>AGEGE</t>
        </is>
      </c>
      <c r="F147" s="1">
        <v>20100</v>
      </c>
      <c r="G147">
        <v>82</v>
      </c>
      <c r="H147" t="inlineStr">
        <is>
          <t>M</t>
        </is>
      </c>
      <c r="I147">
        <v>1</v>
      </c>
      <c r="J147"/>
      <c r="K147">
        <v>8</v>
      </c>
      <c r="L147">
        <v>18</v>
      </c>
      <c r="M147"/>
      <c r="N147" s="1">
        <v>20100</v>
      </c>
      <c r="O147"/>
      <c r="P147" s="1">
        <v>30150</v>
      </c>
      <c r="Q147" s="1">
        <v>90450</v>
      </c>
      <c r="R147"/>
      <c r="S147" s="1">
        <v>500</v>
      </c>
      <c r="T147"/>
      <c r="U147"/>
      <c r="V147"/>
      <c r="W147"/>
      <c r="X147"/>
      <c r="Y147" s="1">
        <v>181400</v>
      </c>
      <c r="Z147" s="1">
        <v>9070</v>
      </c>
      <c r="AA147" s="1">
        <v>181400</v>
      </c>
      <c r="AB147" s="1">
        <v>172330</v>
      </c>
    </row>
    <row r="148" spans="1:28" x14ac:dyDescent="0.25">
      <c r="A148" t="inlineStr">
        <is>
          <t>C2664</t>
        </is>
      </c>
      <c r="B148" t="inlineStr">
        <is>
          <t>IME JIMMY</t>
        </is>
      </c>
      <c r="C148" t="inlineStr">
        <is>
          <t>UDO</t>
        </is>
      </c>
      <c r="D148" t="inlineStr">
        <is>
          <t>3G WELDER</t>
        </is>
      </c>
      <c r="E148" t="inlineStr">
        <is>
          <t>AGEGE</t>
        </is>
      </c>
      <c r="F148" s="1">
        <v>13550</v>
      </c>
      <c r="G148">
        <v>47</v>
      </c>
      <c r="H148" t="inlineStr">
        <is>
          <t>M</t>
        </is>
      </c>
      <c r="I148">
        <v>21</v>
      </c>
      <c r="J148"/>
      <c r="K148">
        <v>22</v>
      </c>
      <c r="L148">
        <v>4</v>
      </c>
      <c r="M148"/>
      <c r="N148" s="1">
        <v>284550</v>
      </c>
      <c r="O148"/>
      <c r="P148" s="1">
        <v>55893.75</v>
      </c>
      <c r="Q148" s="1">
        <v>13550</v>
      </c>
      <c r="R148"/>
      <c r="S148" s="1">
        <v>10500</v>
      </c>
      <c r="T148"/>
      <c r="U148"/>
      <c r="V148"/>
      <c r="W148"/>
      <c r="X148"/>
      <c r="Y148" s="1">
        <v>397352.5</v>
      </c>
      <c r="Z148" s="1">
        <v>19867.63</v>
      </c>
      <c r="AA148" s="1">
        <v>397352.5</v>
      </c>
      <c r="AB148" s="1">
        <v>377484.87</v>
      </c>
    </row>
    <row r="149" spans="1:28" x14ac:dyDescent="0.25">
      <c r="A149" t="inlineStr">
        <is>
          <t>C2665</t>
        </is>
      </c>
      <c r="B149" t="inlineStr">
        <is>
          <t>CHRISTOPHER</t>
        </is>
      </c>
      <c r="C149" t="inlineStr">
        <is>
          <t>OSAUZO</t>
        </is>
      </c>
      <c r="D149" t="inlineStr">
        <is>
          <t>6G WELDER</t>
        </is>
      </c>
      <c r="E149" t="inlineStr">
        <is>
          <t>IDI_ORO</t>
        </is>
      </c>
      <c r="F149" s="1">
        <v>16700</v>
      </c>
      <c r="G149">
        <v>46</v>
      </c>
      <c r="H149" t="inlineStr">
        <is>
          <t>M</t>
        </is>
      </c>
      <c r="I149">
        <v>21</v>
      </c>
      <c r="J149"/>
      <c r="K149">
        <v>9</v>
      </c>
      <c r="L149"/>
      <c r="M149"/>
      <c r="N149" s="1">
        <v>350700</v>
      </c>
      <c r="O149"/>
      <c r="P149" s="1">
        <v>28181.25</v>
      </c>
      <c r="Q149"/>
      <c r="R149"/>
      <c r="S149" s="1">
        <v>10500</v>
      </c>
      <c r="T149"/>
      <c r="U149"/>
      <c r="V149"/>
      <c r="W149"/>
      <c r="X149"/>
      <c r="Y149" s="1">
        <v>426956.25</v>
      </c>
      <c r="Z149" s="1">
        <v>21347.81</v>
      </c>
      <c r="AA149" s="1">
        <v>426956.25</v>
      </c>
      <c r="AB149" s="1">
        <v>405608.44</v>
      </c>
    </row>
    <row r="150" spans="1:28" x14ac:dyDescent="0.25">
      <c r="A150" t="inlineStr">
        <is>
          <t>C2690</t>
        </is>
      </c>
      <c r="B150" t="inlineStr">
        <is>
          <t>PETER OLAMILEKAN</t>
        </is>
      </c>
      <c r="C150" t="inlineStr">
        <is>
          <t>OJO</t>
        </is>
      </c>
      <c r="D150" t="inlineStr">
        <is>
          <t>FITTER</t>
        </is>
      </c>
      <c r="E150" t="inlineStr">
        <is>
          <t>AGEGE</t>
        </is>
      </c>
      <c r="F150" s="1">
        <v>14050</v>
      </c>
      <c r="G150">
        <v>41</v>
      </c>
      <c r="H150" t="inlineStr">
        <is>
          <t>M</t>
        </is>
      </c>
      <c r="I150">
        <v>21</v>
      </c>
      <c r="J150"/>
      <c r="K150">
        <v>34</v>
      </c>
      <c r="L150"/>
      <c r="M150"/>
      <c r="N150" s="1">
        <v>295050</v>
      </c>
      <c r="O150"/>
      <c r="P150" s="1">
        <v>89568.75</v>
      </c>
      <c r="Q150"/>
      <c r="R150"/>
      <c r="S150" s="1">
        <v>10500</v>
      </c>
      <c r="T150"/>
      <c r="U150"/>
      <c r="V150"/>
      <c r="W150"/>
      <c r="X150"/>
      <c r="Y150" s="1">
        <v>398631.25</v>
      </c>
      <c r="Z150" s="1">
        <v>19931.56</v>
      </c>
      <c r="AA150" s="1">
        <v>398631.25</v>
      </c>
      <c r="AB150" s="1">
        <v>378699.69</v>
      </c>
    </row>
    <row r="151" spans="1:28" x14ac:dyDescent="0.25">
      <c r="A151" t="inlineStr">
        <is>
          <t>C2697</t>
        </is>
      </c>
      <c r="B151" t="inlineStr">
        <is>
          <t>YERIMA</t>
        </is>
      </c>
      <c r="C151" t="inlineStr">
        <is>
          <t>SUNDAY</t>
        </is>
      </c>
      <c r="D151" t="inlineStr">
        <is>
          <t>FITTER</t>
        </is>
      </c>
      <c r="E151" t="inlineStr">
        <is>
          <t>AGEGE</t>
        </is>
      </c>
      <c r="F151" s="1">
        <v>14050</v>
      </c>
      <c r="G151">
        <v>39</v>
      </c>
      <c r="H151" t="inlineStr">
        <is>
          <t>M</t>
        </is>
      </c>
      <c r="I151">
        <v>21</v>
      </c>
      <c r="J151"/>
      <c r="K151">
        <v>30</v>
      </c>
      <c r="L151"/>
      <c r="M151"/>
      <c r="N151" s="1">
        <v>295050</v>
      </c>
      <c r="O151"/>
      <c r="P151" s="1">
        <v>79031.25</v>
      </c>
      <c r="Q151"/>
      <c r="R151"/>
      <c r="S151" s="1">
        <v>10500</v>
      </c>
      <c r="T151"/>
      <c r="U151"/>
      <c r="V151"/>
      <c r="W151"/>
      <c r="X151"/>
      <c r="Y151" s="1">
        <v>388093.75</v>
      </c>
      <c r="Z151" s="1">
        <v>19404.69</v>
      </c>
      <c r="AA151" s="1">
        <v>388093.75</v>
      </c>
      <c r="AB151" s="1">
        <v>368689.06</v>
      </c>
    </row>
    <row r="152" spans="1:28" x14ac:dyDescent="0.25">
      <c r="A152" t="inlineStr">
        <is>
          <t>C2699</t>
        </is>
      </c>
      <c r="B152" t="inlineStr">
        <is>
          <t>AKINLABI KOLAJO</t>
        </is>
      </c>
      <c r="C152" t="inlineStr">
        <is>
          <t>AKINMOLADUN</t>
        </is>
      </c>
      <c r="D152" t="inlineStr">
        <is>
          <t>FITTER</t>
        </is>
      </c>
      <c r="E152" t="inlineStr">
        <is>
          <t>AGEGE</t>
        </is>
      </c>
      <c r="F152" s="1">
        <v>14050</v>
      </c>
      <c r="G152">
        <v>54</v>
      </c>
      <c r="H152" t="inlineStr">
        <is>
          <t>M</t>
        </is>
      </c>
      <c r="I152">
        <v>21</v>
      </c>
      <c r="J152"/>
      <c r="K152">
        <v>32</v>
      </c>
      <c r="L152"/>
      <c r="M152"/>
      <c r="N152" s="1">
        <v>295050</v>
      </c>
      <c r="O152"/>
      <c r="P152" s="1">
        <v>84300</v>
      </c>
      <c r="Q152"/>
      <c r="R152"/>
      <c r="S152" s="1">
        <v>10500</v>
      </c>
      <c r="T152"/>
      <c r="U152"/>
      <c r="V152"/>
      <c r="W152"/>
      <c r="X152"/>
      <c r="Y152" s="1">
        <v>393362.5</v>
      </c>
      <c r="Z152" s="1">
        <v>19668.13</v>
      </c>
      <c r="AA152" s="1">
        <v>393362.5</v>
      </c>
      <c r="AB152" s="1">
        <v>373694.37</v>
      </c>
    </row>
    <row r="153" spans="1:28" x14ac:dyDescent="0.25">
      <c r="A153" t="inlineStr">
        <is>
          <t>C2704</t>
        </is>
      </c>
      <c r="B153" t="inlineStr">
        <is>
          <t>OLALEKAN AKANBI</t>
        </is>
      </c>
      <c r="C153" t="inlineStr">
        <is>
          <t>ADEBISI</t>
        </is>
      </c>
      <c r="D153" t="inlineStr">
        <is>
          <t>FITTER</t>
        </is>
      </c>
      <c r="E153" t="inlineStr">
        <is>
          <t>AGEGE</t>
        </is>
      </c>
      <c r="F153" s="1">
        <v>14050</v>
      </c>
      <c r="G153">
        <v>45</v>
      </c>
      <c r="H153" t="inlineStr">
        <is>
          <t>M</t>
        </is>
      </c>
      <c r="I153">
        <v>21</v>
      </c>
      <c r="J153"/>
      <c r="K153">
        <v>36</v>
      </c>
      <c r="L153"/>
      <c r="M153"/>
      <c r="N153" s="1">
        <v>295050</v>
      </c>
      <c r="O153"/>
      <c r="P153" s="1">
        <v>94837.5</v>
      </c>
      <c r="Q153"/>
      <c r="R153"/>
      <c r="S153" s="1">
        <v>10500</v>
      </c>
      <c r="T153"/>
      <c r="U153"/>
      <c r="V153"/>
      <c r="W153"/>
      <c r="X153"/>
      <c r="Y153" s="1">
        <v>403900</v>
      </c>
      <c r="Z153" s="1">
        <v>20195</v>
      </c>
      <c r="AA153" s="1">
        <v>403900</v>
      </c>
      <c r="AB153" s="1">
        <v>383705</v>
      </c>
    </row>
    <row r="154" spans="1:28" x14ac:dyDescent="0.25">
      <c r="A154" t="inlineStr">
        <is>
          <t>C2722</t>
        </is>
      </c>
      <c r="B154" t="inlineStr">
        <is>
          <t>SUNDAY SOLOMON</t>
        </is>
      </c>
      <c r="C154" t="inlineStr">
        <is>
          <t>ADENIJI</t>
        </is>
      </c>
      <c r="D154" t="inlineStr">
        <is>
          <t>RIGGER</t>
        </is>
      </c>
      <c r="E154" t="inlineStr">
        <is>
          <t>AGEGE</t>
        </is>
      </c>
      <c r="F154" s="1">
        <v>13150</v>
      </c>
      <c r="G154">
        <v>52</v>
      </c>
      <c r="H154" t="inlineStr">
        <is>
          <t>M</t>
        </is>
      </c>
      <c r="I154">
        <v>20</v>
      </c>
      <c r="J154"/>
      <c r="K154"/>
      <c r="L154"/>
      <c r="M154"/>
      <c r="N154" s="1">
        <v>263000</v>
      </c>
      <c r="O154"/>
      <c r="P154"/>
      <c r="Q154"/>
      <c r="R154"/>
      <c r="S154" s="1">
        <v>10000</v>
      </c>
      <c r="T154"/>
      <c r="U154"/>
      <c r="V154"/>
      <c r="W154"/>
      <c r="X154"/>
      <c r="Y154" s="1">
        <v>273000</v>
      </c>
      <c r="Z154" s="1">
        <v>13650</v>
      </c>
      <c r="AA154" s="1">
        <v>273000</v>
      </c>
      <c r="AB154" s="1">
        <v>259350</v>
      </c>
    </row>
    <row r="155" spans="1:28" x14ac:dyDescent="0.25">
      <c r="A155" t="inlineStr">
        <is>
          <t>C2724</t>
        </is>
      </c>
      <c r="B155" t="inlineStr">
        <is>
          <t>MOSES</t>
        </is>
      </c>
      <c r="C155" t="inlineStr">
        <is>
          <t>AMANOKHAI</t>
        </is>
      </c>
      <c r="D155" t="inlineStr">
        <is>
          <t>FITTER MATE</t>
        </is>
      </c>
      <c r="E155" t="inlineStr">
        <is>
          <t>IDI_ORO</t>
        </is>
      </c>
      <c r="F155" s="1">
        <v>11575</v>
      </c>
      <c r="G155">
        <v>33</v>
      </c>
      <c r="H155" t="inlineStr">
        <is>
          <t>M</t>
        </is>
      </c>
      <c r="I155">
        <v>21</v>
      </c>
      <c r="J155">
        <v>13</v>
      </c>
      <c r="K155">
        <v>7</v>
      </c>
      <c r="L155"/>
      <c r="M155"/>
      <c r="N155" s="1">
        <v>243075</v>
      </c>
      <c r="O155" s="1">
        <v>28214.06</v>
      </c>
      <c r="P155" s="1">
        <v>15192.19</v>
      </c>
      <c r="Q155"/>
      <c r="R155"/>
      <c r="S155" s="1">
        <v>10500</v>
      </c>
      <c r="T155"/>
      <c r="U155"/>
      <c r="V155"/>
      <c r="W155"/>
      <c r="X155"/>
      <c r="Y155" s="1">
        <v>323025</v>
      </c>
      <c r="Z155" s="1">
        <v>16151.25</v>
      </c>
      <c r="AA155" s="1">
        <v>323025</v>
      </c>
      <c r="AB155" s="1">
        <v>306873.75</v>
      </c>
    </row>
    <row r="156" spans="1:28" x14ac:dyDescent="0.25">
      <c r="A156" t="inlineStr">
        <is>
          <t>C2725</t>
        </is>
      </c>
      <c r="B156" t="inlineStr">
        <is>
          <t>HENRY AUDU</t>
        </is>
      </c>
      <c r="C156" t="inlineStr">
        <is>
          <t>AMODU</t>
        </is>
      </c>
      <c r="D156" t="inlineStr">
        <is>
          <t>RIGGER AND CRANE OPERATOR</t>
        </is>
      </c>
      <c r="E156" t="inlineStr">
        <is>
          <t>IDI_ORO</t>
        </is>
      </c>
      <c r="F156" s="1">
        <v>11575</v>
      </c>
      <c r="G156">
        <v>51</v>
      </c>
      <c r="H156" t="inlineStr">
        <is>
          <t>M</t>
        </is>
      </c>
      <c r="I156">
        <v>21</v>
      </c>
      <c r="J156"/>
      <c r="K156">
        <v>17</v>
      </c>
      <c r="L156">
        <v>10</v>
      </c>
      <c r="M156"/>
      <c r="N156" s="1">
        <v>243075</v>
      </c>
      <c r="O156"/>
      <c r="P156" s="1">
        <v>36895.31</v>
      </c>
      <c r="Q156" s="1">
        <v>28937.5</v>
      </c>
      <c r="R156"/>
      <c r="S156" s="1">
        <v>10500</v>
      </c>
      <c r="T156"/>
      <c r="U156"/>
      <c r="V156"/>
      <c r="W156"/>
      <c r="X156"/>
      <c r="Y156" s="1">
        <v>345451.56</v>
      </c>
      <c r="Z156" s="1">
        <v>17272.58</v>
      </c>
      <c r="AA156" s="1">
        <v>345451.56</v>
      </c>
      <c r="AB156" s="1">
        <v>328178.98</v>
      </c>
    </row>
    <row r="157" spans="1:28" x14ac:dyDescent="0.25">
      <c r="A157" t="inlineStr">
        <is>
          <t>C2728</t>
        </is>
      </c>
      <c r="B157" t="inlineStr">
        <is>
          <t>CHRISTIAN AMOS</t>
        </is>
      </c>
      <c r="C157" t="inlineStr">
        <is>
          <t>UDOH</t>
        </is>
      </c>
      <c r="D157" t="inlineStr">
        <is>
          <t>FITTER MATE</t>
        </is>
      </c>
      <c r="E157" t="inlineStr">
        <is>
          <t>IDI_ORO</t>
        </is>
      </c>
      <c r="F157" s="1">
        <v>8100</v>
      </c>
      <c r="G157">
        <v>36</v>
      </c>
      <c r="H157" t="inlineStr">
        <is>
          <t>M</t>
        </is>
      </c>
      <c r="I157">
        <v>21</v>
      </c>
      <c r="J157">
        <v>10.9</v>
      </c>
      <c r="K157">
        <v>21.7</v>
      </c>
      <c r="L157">
        <v>1</v>
      </c>
      <c r="M157"/>
      <c r="N157" s="1">
        <v>170100</v>
      </c>
      <c r="O157" s="1">
        <v>16554.38</v>
      </c>
      <c r="P157" s="1">
        <v>32956.88</v>
      </c>
      <c r="Q157" s="1">
        <v>2025</v>
      </c>
      <c r="R157"/>
      <c r="S157" s="1">
        <v>10500</v>
      </c>
      <c r="T157"/>
      <c r="U157"/>
      <c r="V157"/>
      <c r="W157"/>
      <c r="X157"/>
      <c r="Y157" s="1">
        <v>246311.26</v>
      </c>
      <c r="Z157" s="1">
        <v>12315.56</v>
      </c>
      <c r="AA157" s="1">
        <v>246311.26</v>
      </c>
      <c r="AB157" s="1">
        <v>233995.7</v>
      </c>
    </row>
    <row r="158" spans="1:28" x14ac:dyDescent="0.25">
      <c r="A158" t="inlineStr">
        <is>
          <t>C2751</t>
        </is>
      </c>
      <c r="B158" t="inlineStr">
        <is>
          <t>FUAD SAYO</t>
        </is>
      </c>
      <c r="C158" t="inlineStr">
        <is>
          <t>ODUNNIYI</t>
        </is>
      </c>
      <c r="D158" t="inlineStr">
        <is>
          <t>FITTER-MATE</t>
        </is>
      </c>
      <c r="E158" t="inlineStr">
        <is>
          <t>AGEGE</t>
        </is>
      </c>
      <c r="F158" s="1">
        <v>8100</v>
      </c>
      <c r="G158">
        <v>20</v>
      </c>
      <c r="H158" t="inlineStr">
        <is>
          <t>M</t>
        </is>
      </c>
      <c r="I158">
        <v>21</v>
      </c>
      <c r="J158"/>
      <c r="K158">
        <v>28</v>
      </c>
      <c r="L158">
        <v>4</v>
      </c>
      <c r="M158"/>
      <c r="N158" s="1">
        <v>170100</v>
      </c>
      <c r="O158"/>
      <c r="P158" s="1">
        <v>42525</v>
      </c>
      <c r="Q158" s="1">
        <v>8100</v>
      </c>
      <c r="R158"/>
      <c r="S158" s="1">
        <v>10500</v>
      </c>
      <c r="T158"/>
      <c r="U158"/>
      <c r="V158"/>
      <c r="W158"/>
      <c r="X158"/>
      <c r="Y158" s="1">
        <v>252690</v>
      </c>
      <c r="Z158" s="1">
        <v>12634.5</v>
      </c>
      <c r="AA158" s="1">
        <v>252690</v>
      </c>
      <c r="AB158" s="1">
        <v>240055.5</v>
      </c>
    </row>
    <row r="159" spans="1:28" x14ac:dyDescent="0.25">
      <c r="A159" t="inlineStr">
        <is>
          <t>C2757</t>
        </is>
      </c>
      <c r="B159" t="inlineStr">
        <is>
          <t>BENJAMIN CHUKS</t>
        </is>
      </c>
      <c r="C159" t="inlineStr">
        <is>
          <t>OKONYIA</t>
        </is>
      </c>
      <c r="D159" t="inlineStr">
        <is>
          <t>FITTER</t>
        </is>
      </c>
      <c r="E159" t="inlineStr">
        <is>
          <t>AGEGE</t>
        </is>
      </c>
      <c r="F159" s="1">
        <v>14050</v>
      </c>
      <c r="G159">
        <v>56</v>
      </c>
      <c r="H159" t="inlineStr">
        <is>
          <t>M</t>
        </is>
      </c>
      <c r="I159">
        <v>21</v>
      </c>
      <c r="J159"/>
      <c r="K159">
        <v>30</v>
      </c>
      <c r="L159"/>
      <c r="M159"/>
      <c r="N159" s="1">
        <v>295050</v>
      </c>
      <c r="O159"/>
      <c r="P159" s="1">
        <v>79031.25</v>
      </c>
      <c r="Q159"/>
      <c r="R159"/>
      <c r="S159" s="1">
        <v>10500</v>
      </c>
      <c r="T159"/>
      <c r="U159"/>
      <c r="V159"/>
      <c r="W159"/>
      <c r="X159"/>
      <c r="Y159" s="1">
        <v>388093.75</v>
      </c>
      <c r="Z159" s="1">
        <v>19404.69</v>
      </c>
      <c r="AA159" s="1">
        <v>388093.75</v>
      </c>
      <c r="AB159" s="1">
        <v>368689.06</v>
      </c>
    </row>
    <row r="160" spans="1:28" x14ac:dyDescent="0.25">
      <c r="A160" t="inlineStr">
        <is>
          <t>C2760</t>
        </is>
      </c>
      <c r="B160" t="inlineStr">
        <is>
          <t>TEMIDAYO JOHNSON</t>
        </is>
      </c>
      <c r="C160" t="inlineStr">
        <is>
          <t>AJAYI</t>
        </is>
      </c>
      <c r="D160" t="inlineStr">
        <is>
          <t>GRINDER</t>
        </is>
      </c>
      <c r="E160" t="inlineStr">
        <is>
          <t>AGEGE</t>
        </is>
      </c>
      <c r="F160" s="1">
        <v>10250</v>
      </c>
      <c r="G160">
        <v>46</v>
      </c>
      <c r="H160" t="inlineStr">
        <is>
          <t>M</t>
        </is>
      </c>
      <c r="I160">
        <v>21</v>
      </c>
      <c r="J160"/>
      <c r="K160">
        <v>30</v>
      </c>
      <c r="L160">
        <v>4</v>
      </c>
      <c r="M160"/>
      <c r="N160" s="1">
        <v>215250</v>
      </c>
      <c r="O160"/>
      <c r="P160" s="1">
        <v>57656.25</v>
      </c>
      <c r="Q160" s="1">
        <v>10250</v>
      </c>
      <c r="R160"/>
      <c r="S160" s="1">
        <v>10500</v>
      </c>
      <c r="T160"/>
      <c r="U160"/>
      <c r="V160"/>
      <c r="W160"/>
      <c r="X160"/>
      <c r="Y160" s="1">
        <v>314156.25</v>
      </c>
      <c r="Z160" s="1">
        <v>15707.81</v>
      </c>
      <c r="AA160" s="1">
        <v>314156.25</v>
      </c>
      <c r="AB160" s="1">
        <v>298448.44</v>
      </c>
    </row>
    <row r="161" spans="1:28" x14ac:dyDescent="0.25">
      <c r="A161" t="inlineStr">
        <is>
          <t>C2762</t>
        </is>
      </c>
      <c r="B161" t="inlineStr">
        <is>
          <t>SUNDAY</t>
        </is>
      </c>
      <c r="C161" t="inlineStr">
        <is>
          <t>OWOLABI</t>
        </is>
      </c>
      <c r="D161" t="inlineStr">
        <is>
          <t>JCJT08 - BLASTER/PAINTER</t>
        </is>
      </c>
      <c r="E161" t="inlineStr">
        <is>
          <t>IDI_ORO</t>
        </is>
      </c>
      <c r="F161" s="1">
        <v>12750</v>
      </c>
      <c r="G161">
        <v>52</v>
      </c>
      <c r="H161" t="inlineStr">
        <is>
          <t>M</t>
        </is>
      </c>
      <c r="I161">
        <v>21</v>
      </c>
      <c r="J161"/>
      <c r="K161">
        <v>1</v>
      </c>
      <c r="L161">
        <v>12.8</v>
      </c>
      <c r="M161"/>
      <c r="N161" s="1">
        <v>267750</v>
      </c>
      <c r="O161"/>
      <c r="P161" s="1">
        <v>2390.63</v>
      </c>
      <c r="Q161" s="1">
        <v>40800</v>
      </c>
      <c r="R161"/>
      <c r="S161" s="1">
        <v>10500</v>
      </c>
      <c r="T161"/>
      <c r="U161"/>
      <c r="V161"/>
      <c r="W161"/>
      <c r="X161"/>
      <c r="Y161" s="1">
        <v>355865.63</v>
      </c>
      <c r="Z161" s="1">
        <v>17793.28</v>
      </c>
      <c r="AA161" s="1">
        <v>355865.63</v>
      </c>
      <c r="AB161" s="1">
        <v>338072.35</v>
      </c>
    </row>
    <row r="162" spans="1:28" x14ac:dyDescent="0.25">
      <c r="A162" t="inlineStr">
        <is>
          <t>C2776</t>
        </is>
      </c>
      <c r="B162" t="inlineStr">
        <is>
          <t>OLANREWAJU ISAIAH</t>
        </is>
      </c>
      <c r="C162" t="inlineStr">
        <is>
          <t>SUNDAY</t>
        </is>
      </c>
      <c r="D162" t="inlineStr">
        <is>
          <t>WELDER MATE</t>
        </is>
      </c>
      <c r="E162" t="inlineStr">
        <is>
          <t>IDI_ORO</t>
        </is>
      </c>
      <c r="F162" s="1">
        <v>11575</v>
      </c>
      <c r="G162">
        <v>29</v>
      </c>
      <c r="H162" t="inlineStr">
        <is>
          <t>M</t>
        </is>
      </c>
      <c r="I162">
        <v>21</v>
      </c>
      <c r="J162"/>
      <c r="K162">
        <v>9</v>
      </c>
      <c r="L162"/>
      <c r="M162"/>
      <c r="N162" s="1">
        <v>243075</v>
      </c>
      <c r="O162"/>
      <c r="P162" s="1">
        <v>19532.81</v>
      </c>
      <c r="Q162"/>
      <c r="R162"/>
      <c r="S162" s="1">
        <v>10500</v>
      </c>
      <c r="T162"/>
      <c r="U162"/>
      <c r="V162"/>
      <c r="W162"/>
      <c r="X162"/>
      <c r="Y162" s="1">
        <v>296257.81</v>
      </c>
      <c r="Z162" s="1">
        <v>14812.89</v>
      </c>
      <c r="AA162" s="1">
        <v>296257.81</v>
      </c>
      <c r="AB162" s="1">
        <v>281444.92</v>
      </c>
    </row>
    <row r="163" spans="1:28" x14ac:dyDescent="0.25">
      <c r="A163" t="inlineStr">
        <is>
          <t>C2790</t>
        </is>
      </c>
      <c r="B163" t="inlineStr">
        <is>
          <t>OLUWASEYI</t>
        </is>
      </c>
      <c r="C163" t="inlineStr">
        <is>
          <t>ADEBANJO</t>
        </is>
      </c>
      <c r="D163" t="inlineStr">
        <is>
          <t>BLASTER/PAINTER</t>
        </is>
      </c>
      <c r="E163" t="inlineStr">
        <is>
          <t>AGEGE</t>
        </is>
      </c>
      <c r="F163" s="1">
        <v>12750</v>
      </c>
      <c r="G163">
        <v>43</v>
      </c>
      <c r="H163" t="inlineStr">
        <is>
          <t>M</t>
        </is>
      </c>
      <c r="I163">
        <v>21</v>
      </c>
      <c r="J163"/>
      <c r="K163">
        <v>8</v>
      </c>
      <c r="L163">
        <v>1</v>
      </c>
      <c r="M163"/>
      <c r="N163" s="1">
        <v>267750</v>
      </c>
      <c r="O163"/>
      <c r="P163" s="1">
        <v>19125</v>
      </c>
      <c r="Q163" s="1">
        <v>3187.5</v>
      </c>
      <c r="R163"/>
      <c r="S163" s="1">
        <v>10500</v>
      </c>
      <c r="T163"/>
      <c r="U163"/>
      <c r="V163"/>
      <c r="W163"/>
      <c r="X163"/>
      <c r="Y163" s="1">
        <v>322875</v>
      </c>
      <c r="Z163" s="1">
        <v>16143.75</v>
      </c>
      <c r="AA163" s="1">
        <v>322875</v>
      </c>
      <c r="AB163" s="1">
        <v>306731.25</v>
      </c>
    </row>
    <row r="164" spans="1:28" x14ac:dyDescent="0.25">
      <c r="A164" t="inlineStr">
        <is>
          <t>C2795</t>
        </is>
      </c>
      <c r="B164" t="inlineStr">
        <is>
          <t>BABA</t>
        </is>
      </c>
      <c r="C164" t="inlineStr">
        <is>
          <t>IDOKO</t>
        </is>
      </c>
      <c r="D164" t="inlineStr">
        <is>
          <t>SCAFFOLDER</t>
        </is>
      </c>
      <c r="E164" t="inlineStr">
        <is>
          <t>AGEGE</t>
        </is>
      </c>
      <c r="F164" s="1">
        <v>13250</v>
      </c>
      <c r="G164">
        <v>49</v>
      </c>
      <c r="H164" t="inlineStr">
        <is>
          <t>M</t>
        </is>
      </c>
      <c r="I164">
        <v>21</v>
      </c>
      <c r="J164"/>
      <c r="K164">
        <v>1</v>
      </c>
      <c r="L164">
        <v>8</v>
      </c>
      <c r="M164"/>
      <c r="N164" s="1">
        <v>278250</v>
      </c>
      <c r="O164"/>
      <c r="P164" s="1">
        <v>2484.38</v>
      </c>
      <c r="Q164" s="1">
        <v>26500</v>
      </c>
      <c r="R164"/>
      <c r="S164" s="1">
        <v>10500</v>
      </c>
      <c r="T164"/>
      <c r="U164"/>
      <c r="V164"/>
      <c r="W164"/>
      <c r="X164"/>
      <c r="Y164" s="1">
        <v>321046.88</v>
      </c>
      <c r="Z164" s="1">
        <v>16052.34</v>
      </c>
      <c r="AA164" s="1">
        <v>321046.88</v>
      </c>
      <c r="AB164" s="1">
        <v>304994.54</v>
      </c>
    </row>
    <row r="165" spans="1:28" x14ac:dyDescent="0.25">
      <c r="A165" t="inlineStr">
        <is>
          <t>C2805</t>
        </is>
      </c>
      <c r="B165" t="inlineStr">
        <is>
          <t>VERONICA</t>
        </is>
      </c>
      <c r="C165" t="inlineStr">
        <is>
          <t>UZOMA</t>
        </is>
      </c>
      <c r="D165" t="inlineStr">
        <is>
          <t>6G GTAW</t>
        </is>
      </c>
      <c r="E165" t="inlineStr">
        <is>
          <t>IDI_ORO</t>
        </is>
      </c>
      <c r="F165" s="1">
        <v>21000</v>
      </c>
      <c r="G165">
        <v>44</v>
      </c>
      <c r="H165" t="inlineStr">
        <is>
          <t>F</t>
        </is>
      </c>
      <c r="I165">
        <v>21</v>
      </c>
      <c r="J165"/>
      <c r="K165">
        <v>9</v>
      </c>
      <c r="L165"/>
      <c r="M165"/>
      <c r="N165" s="1">
        <v>441000</v>
      </c>
      <c r="O165"/>
      <c r="P165" s="1">
        <v>35437.5</v>
      </c>
      <c r="Q165"/>
      <c r="R165"/>
      <c r="S165" s="1">
        <v>10500</v>
      </c>
      <c r="T165"/>
      <c r="U165"/>
      <c r="V165"/>
      <c r="W165"/>
      <c r="X165"/>
      <c r="Y165" s="1">
        <v>534187.5</v>
      </c>
      <c r="Z165" s="1">
        <v>26709.38</v>
      </c>
      <c r="AA165" s="1">
        <v>534187.5</v>
      </c>
      <c r="AB165" s="1">
        <v>507478.12</v>
      </c>
    </row>
    <row r="166" spans="1:28" x14ac:dyDescent="0.25">
      <c r="A166" t="inlineStr">
        <is>
          <t>C2808</t>
        </is>
      </c>
      <c r="B166" t="inlineStr">
        <is>
          <t>CHIJOKE</t>
        </is>
      </c>
      <c r="C166" t="inlineStr">
        <is>
          <t>UZOMA</t>
        </is>
      </c>
      <c r="D166" t="inlineStr">
        <is>
          <t>HYDROTESTER</t>
        </is>
      </c>
      <c r="E166" t="inlineStr">
        <is>
          <t>IDI_ORO</t>
        </is>
      </c>
      <c r="F166" s="1">
        <v>16000</v>
      </c>
      <c r="G166">
        <v>37</v>
      </c>
      <c r="H166" t="inlineStr">
        <is>
          <t>M</t>
        </is>
      </c>
      <c r="I166">
        <v>19</v>
      </c>
      <c r="J166">
        <v>5.9</v>
      </c>
      <c r="K166">
        <v>19.6</v>
      </c>
      <c r="L166">
        <v>1</v>
      </c>
      <c r="M166"/>
      <c r="N166" s="1">
        <v>304000</v>
      </c>
      <c r="O166" s="1">
        <v>17700</v>
      </c>
      <c r="P166" s="1">
        <v>58800</v>
      </c>
      <c r="Q166" s="1">
        <v>4000</v>
      </c>
      <c r="R166"/>
      <c r="S166" s="1">
        <v>9500</v>
      </c>
      <c r="T166"/>
      <c r="U166"/>
      <c r="V166"/>
      <c r="W166"/>
      <c r="X166"/>
      <c r="Y166" s="1">
        <v>422000</v>
      </c>
      <c r="Z166" s="1">
        <v>21100</v>
      </c>
      <c r="AA166" s="1">
        <v>422000</v>
      </c>
      <c r="AB166" s="1">
        <v>400900</v>
      </c>
    </row>
    <row r="167" spans="1:28" x14ac:dyDescent="0.25">
      <c r="A167" t="inlineStr">
        <is>
          <t>C2810</t>
        </is>
      </c>
      <c r="B167" t="inlineStr">
        <is>
          <t>NITEDO</t>
        </is>
      </c>
      <c r="C167" t="inlineStr">
        <is>
          <t>EKWERE</t>
        </is>
      </c>
      <c r="D167" t="inlineStr">
        <is>
          <t>FITTER</t>
        </is>
      </c>
      <c r="E167" t="inlineStr">
        <is>
          <t>AGEGE</t>
        </is>
      </c>
      <c r="F167" s="1">
        <v>14050</v>
      </c>
      <c r="G167">
        <v>60</v>
      </c>
      <c r="H167" t="inlineStr">
        <is>
          <t>M</t>
        </is>
      </c>
      <c r="I167">
        <v>21</v>
      </c>
      <c r="J167"/>
      <c r="K167"/>
      <c r="L167"/>
      <c r="M167"/>
      <c r="N167" s="1">
        <v>295050</v>
      </c>
      <c r="O167"/>
      <c r="P167"/>
      <c r="Q167"/>
      <c r="R167"/>
      <c r="S167" s="1">
        <v>10500</v>
      </c>
      <c r="T167"/>
      <c r="U167"/>
      <c r="V167"/>
      <c r="W167"/>
      <c r="X167"/>
      <c r="Y167" s="1">
        <v>305550</v>
      </c>
      <c r="Z167" s="1">
        <v>15277.5</v>
      </c>
      <c r="AA167" s="1">
        <v>305550</v>
      </c>
      <c r="AB167" s="1">
        <v>290272.5</v>
      </c>
    </row>
    <row r="168" spans="1:28" x14ac:dyDescent="0.25">
      <c r="A168" t="inlineStr">
        <is>
          <t>C2812</t>
        </is>
      </c>
      <c r="B168" t="inlineStr">
        <is>
          <t>WASIU</t>
        </is>
      </c>
      <c r="C168" t="inlineStr">
        <is>
          <t>ONABANJO</t>
        </is>
      </c>
      <c r="D168" t="inlineStr">
        <is>
          <t>FITTER-MATE</t>
        </is>
      </c>
      <c r="E168" t="inlineStr">
        <is>
          <t>AGEGE</t>
        </is>
      </c>
      <c r="F168" s="1">
        <v>8100</v>
      </c>
      <c r="G168">
        <v>53</v>
      </c>
      <c r="H168" t="inlineStr">
        <is>
          <t>M</t>
        </is>
      </c>
      <c r="I168">
        <v>21</v>
      </c>
      <c r="J168"/>
      <c r="K168">
        <v>28</v>
      </c>
      <c r="L168">
        <v>4</v>
      </c>
      <c r="M168"/>
      <c r="N168" s="1">
        <v>170100</v>
      </c>
      <c r="O168"/>
      <c r="P168" s="1">
        <v>42525</v>
      </c>
      <c r="Q168" s="1">
        <v>8100</v>
      </c>
      <c r="R168"/>
      <c r="S168" s="1">
        <v>10500</v>
      </c>
      <c r="T168"/>
      <c r="U168"/>
      <c r="V168"/>
      <c r="W168"/>
      <c r="X168"/>
      <c r="Y168" s="1">
        <v>249855</v>
      </c>
      <c r="Z168" s="1">
        <v>12492.75</v>
      </c>
      <c r="AA168" s="1">
        <v>249855</v>
      </c>
      <c r="AB168" s="1">
        <v>237362.25</v>
      </c>
    </row>
    <row r="169" spans="1:28" x14ac:dyDescent="0.25">
      <c r="A169" t="inlineStr">
        <is>
          <t>C2813</t>
        </is>
      </c>
      <c r="B169" t="inlineStr">
        <is>
          <t>GIDEON</t>
        </is>
      </c>
      <c r="C169" t="inlineStr">
        <is>
          <t>AKINGBOYE</t>
        </is>
      </c>
      <c r="D169" t="inlineStr">
        <is>
          <t>FITTER</t>
        </is>
      </c>
      <c r="E169" t="inlineStr">
        <is>
          <t>AGEGE</t>
        </is>
      </c>
      <c r="F169" s="1">
        <v>14050</v>
      </c>
      <c r="G169">
        <v>51</v>
      </c>
      <c r="H169" t="inlineStr">
        <is>
          <t>M</t>
        </is>
      </c>
      <c r="I169">
        <v>21</v>
      </c>
      <c r="J169"/>
      <c r="K169">
        <v>32</v>
      </c>
      <c r="L169"/>
      <c r="M169"/>
      <c r="N169" s="1">
        <v>295050</v>
      </c>
      <c r="O169"/>
      <c r="P169" s="1">
        <v>84300</v>
      </c>
      <c r="Q169"/>
      <c r="R169"/>
      <c r="S169" s="1">
        <v>10500</v>
      </c>
      <c r="T169"/>
      <c r="U169"/>
      <c r="V169"/>
      <c r="W169"/>
      <c r="X169"/>
      <c r="Y169" s="1">
        <v>393362.5</v>
      </c>
      <c r="Z169" s="1">
        <v>19668.13</v>
      </c>
      <c r="AA169" s="1">
        <v>393362.5</v>
      </c>
      <c r="AB169" s="1">
        <v>373694.37</v>
      </c>
    </row>
    <row r="170" spans="1:28" x14ac:dyDescent="0.25">
      <c r="A170" t="inlineStr">
        <is>
          <t>C2814</t>
        </is>
      </c>
      <c r="B170" t="inlineStr">
        <is>
          <t>AYOMIDE</t>
        </is>
      </c>
      <c r="C170" t="inlineStr">
        <is>
          <t>FASHINA</t>
        </is>
      </c>
      <c r="D170" t="inlineStr">
        <is>
          <t>FITTER-MATE</t>
        </is>
      </c>
      <c r="E170" t="inlineStr">
        <is>
          <t>AGEGE</t>
        </is>
      </c>
      <c r="F170" s="1">
        <v>8100</v>
      </c>
      <c r="G170">
        <v>21</v>
      </c>
      <c r="H170" t="inlineStr">
        <is>
          <t>M</t>
        </is>
      </c>
      <c r="I170">
        <v>21</v>
      </c>
      <c r="J170"/>
      <c r="K170">
        <v>24</v>
      </c>
      <c r="L170">
        <v>4</v>
      </c>
      <c r="M170"/>
      <c r="N170" s="1">
        <v>170100</v>
      </c>
      <c r="O170"/>
      <c r="P170" s="1">
        <v>36450</v>
      </c>
      <c r="Q170" s="1">
        <v>8100</v>
      </c>
      <c r="R170"/>
      <c r="S170" s="1">
        <v>10500</v>
      </c>
      <c r="T170"/>
      <c r="U170"/>
      <c r="V170"/>
      <c r="W170"/>
      <c r="X170"/>
      <c r="Y170" s="1">
        <v>243375</v>
      </c>
      <c r="Z170" s="1">
        <v>12168.75</v>
      </c>
      <c r="AA170" s="1">
        <v>243375</v>
      </c>
      <c r="AB170" s="1">
        <v>231206.25</v>
      </c>
    </row>
    <row r="171" spans="1:28" x14ac:dyDescent="0.25">
      <c r="A171" t="inlineStr">
        <is>
          <t>C2815</t>
        </is>
      </c>
      <c r="B171" t="inlineStr">
        <is>
          <t>PAUL</t>
        </is>
      </c>
      <c r="C171" t="inlineStr">
        <is>
          <t>OKPUTU</t>
        </is>
      </c>
      <c r="D171" t="inlineStr">
        <is>
          <t>FITTER MATE</t>
        </is>
      </c>
      <c r="E171" t="inlineStr">
        <is>
          <t>AGEGE</t>
        </is>
      </c>
      <c r="F171" s="1">
        <v>8100</v>
      </c>
      <c r="G171"/>
      <c r="H171" t="inlineStr">
        <is>
          <t>M</t>
        </is>
      </c>
      <c r="I171">
        <v>21</v>
      </c>
      <c r="J171"/>
      <c r="K171">
        <v>22</v>
      </c>
      <c r="L171">
        <v>4</v>
      </c>
      <c r="M171"/>
      <c r="N171" s="1">
        <v>170100</v>
      </c>
      <c r="O171"/>
      <c r="P171" s="1">
        <v>33412.5</v>
      </c>
      <c r="Q171" s="1">
        <v>8100</v>
      </c>
      <c r="R171"/>
      <c r="S171" s="1">
        <v>10500</v>
      </c>
      <c r="T171"/>
      <c r="U171"/>
      <c r="V171"/>
      <c r="W171"/>
      <c r="X171"/>
      <c r="Y171" s="1">
        <v>240742.5</v>
      </c>
      <c r="Z171" s="1">
        <v>12037.13</v>
      </c>
      <c r="AA171" s="1">
        <v>240742.5</v>
      </c>
      <c r="AB171" s="1">
        <v>228705.37</v>
      </c>
    </row>
    <row r="172" spans="1:28" x14ac:dyDescent="0.25">
      <c r="A172" t="inlineStr">
        <is>
          <t>C2816</t>
        </is>
      </c>
      <c r="B172" t="inlineStr">
        <is>
          <t>CHIBUZO</t>
        </is>
      </c>
      <c r="C172" t="inlineStr">
        <is>
          <t>ANANU</t>
        </is>
      </c>
      <c r="D172" t="inlineStr">
        <is>
          <t>TACK WELDER</t>
        </is>
      </c>
      <c r="E172" t="inlineStr">
        <is>
          <t>AGEGE</t>
        </is>
      </c>
      <c r="F172" s="1">
        <v>11575</v>
      </c>
      <c r="G172"/>
      <c r="H172" t="inlineStr">
        <is>
          <t>F</t>
        </is>
      </c>
      <c r="I172">
        <v>20</v>
      </c>
      <c r="J172"/>
      <c r="K172">
        <v>14</v>
      </c>
      <c r="L172">
        <v>9</v>
      </c>
      <c r="M172"/>
      <c r="N172" s="1">
        <v>231500</v>
      </c>
      <c r="O172"/>
      <c r="P172" s="1">
        <v>30384.38</v>
      </c>
      <c r="Q172" s="1">
        <v>26043.75</v>
      </c>
      <c r="R172"/>
      <c r="S172" s="1">
        <v>10000</v>
      </c>
      <c r="T172"/>
      <c r="U172"/>
      <c r="V172"/>
      <c r="W172"/>
      <c r="X172"/>
      <c r="Y172" s="1">
        <v>297928.13</v>
      </c>
      <c r="Z172" s="1">
        <v>14896.41</v>
      </c>
      <c r="AA172" s="1">
        <v>297928.13</v>
      </c>
      <c r="AB172" s="1">
        <v>283031.72</v>
      </c>
    </row>
    <row r="173" spans="1:28" x14ac:dyDescent="0.25">
      <c r="A173" t="inlineStr">
        <is>
          <t>C2817</t>
        </is>
      </c>
      <c r="B173" t="inlineStr">
        <is>
          <t>SAMUEL</t>
        </is>
      </c>
      <c r="C173" t="inlineStr">
        <is>
          <t>FATOYINBO</t>
        </is>
      </c>
      <c r="D173" t="inlineStr">
        <is>
          <t>FITTER MATE</t>
        </is>
      </c>
      <c r="E173" t="inlineStr">
        <is>
          <t>AGEGE</t>
        </is>
      </c>
      <c r="F173" s="1">
        <v>8100</v>
      </c>
      <c r="G173"/>
      <c r="H173" t="inlineStr">
        <is>
          <t>M</t>
        </is>
      </c>
      <c r="I173">
        <v>21</v>
      </c>
      <c r="J173"/>
      <c r="K173">
        <v>24</v>
      </c>
      <c r="L173">
        <v>4</v>
      </c>
      <c r="M173"/>
      <c r="N173" s="1">
        <v>170100</v>
      </c>
      <c r="O173"/>
      <c r="P173" s="1">
        <v>36450</v>
      </c>
      <c r="Q173" s="1">
        <v>8100</v>
      </c>
      <c r="R173"/>
      <c r="S173" s="1">
        <v>10500</v>
      </c>
      <c r="T173"/>
      <c r="U173"/>
      <c r="V173"/>
      <c r="W173"/>
      <c r="X173"/>
      <c r="Y173" s="1">
        <v>241350</v>
      </c>
      <c r="Z173" s="1">
        <v>12067.5</v>
      </c>
      <c r="AA173" s="1">
        <v>241350</v>
      </c>
      <c r="AB173" s="1">
        <v>229282.5</v>
      </c>
    </row>
    <row r="174" spans="1:28" x14ac:dyDescent="0.25">
      <c r="A174" t="inlineStr">
        <is>
          <t>C2818</t>
        </is>
      </c>
      <c r="B174" t="inlineStr">
        <is>
          <t>PETER</t>
        </is>
      </c>
      <c r="C174" t="inlineStr">
        <is>
          <t>ODJEGBA</t>
        </is>
      </c>
      <c r="D174" t="inlineStr">
        <is>
          <t>3G SMAW WELDER</t>
        </is>
      </c>
      <c r="E174" t="inlineStr">
        <is>
          <t>AGEGE</t>
        </is>
      </c>
      <c r="F174" s="1">
        <v>13550</v>
      </c>
      <c r="G174"/>
      <c r="H174" t="inlineStr">
        <is>
          <t>M</t>
        </is>
      </c>
      <c r="I174">
        <v>21</v>
      </c>
      <c r="J174"/>
      <c r="K174">
        <v>22</v>
      </c>
      <c r="L174">
        <v>4</v>
      </c>
      <c r="M174"/>
      <c r="N174" s="1">
        <v>284550</v>
      </c>
      <c r="O174"/>
      <c r="P174" s="1">
        <v>55893.75</v>
      </c>
      <c r="Q174" s="1">
        <v>13550</v>
      </c>
      <c r="R174"/>
      <c r="S174" s="1">
        <v>10500</v>
      </c>
      <c r="T174"/>
      <c r="U174"/>
      <c r="V174"/>
      <c r="W174"/>
      <c r="X174"/>
      <c r="Y174" s="1">
        <v>391593.75</v>
      </c>
      <c r="Z174" s="1">
        <v>19579.69</v>
      </c>
      <c r="AA174" s="1">
        <v>391593.75</v>
      </c>
      <c r="AB174" s="1">
        <v>372014.06</v>
      </c>
    </row>
    <row r="175" spans="1:28" x14ac:dyDescent="0.25">
      <c r="A175" t="inlineStr">
        <is>
          <t>C2820</t>
        </is>
      </c>
      <c r="B175" t="inlineStr">
        <is>
          <t>BILIKISU</t>
        </is>
      </c>
      <c r="C175" t="inlineStr">
        <is>
          <t>SAMAILA</t>
        </is>
      </c>
      <c r="D175" t="inlineStr">
        <is>
          <t>HELPER</t>
        </is>
      </c>
      <c r="E175" t="inlineStr">
        <is>
          <t>IDI_ORO</t>
        </is>
      </c>
      <c r="F175" s="1">
        <v>8100</v>
      </c>
      <c r="G175"/>
      <c r="H175" t="inlineStr">
        <is>
          <t>F</t>
        </is>
      </c>
      <c r="I175">
        <v>21</v>
      </c>
      <c r="J175"/>
      <c r="K175">
        <v>1</v>
      </c>
      <c r="L175">
        <v>11.3</v>
      </c>
      <c r="M175"/>
      <c r="N175" s="1">
        <v>170100</v>
      </c>
      <c r="O175"/>
      <c r="P175" s="1">
        <v>1518.75</v>
      </c>
      <c r="Q175" s="1">
        <v>22882.5</v>
      </c>
      <c r="R175"/>
      <c r="S175" s="1">
        <v>10500</v>
      </c>
      <c r="T175"/>
      <c r="U175"/>
      <c r="V175"/>
      <c r="W175"/>
      <c r="X175"/>
      <c r="Y175" s="1">
        <v>223833.75</v>
      </c>
      <c r="Z175" s="1">
        <v>11191.69</v>
      </c>
      <c r="AA175" s="1">
        <v>223833.75</v>
      </c>
      <c r="AB175" s="1">
        <v>212642.06</v>
      </c>
    </row>
    <row r="176" spans="1:28" x14ac:dyDescent="0.25">
      <c r="A176" t="inlineStr">
        <is>
          <t>C2823</t>
        </is>
      </c>
      <c r="B176" t="inlineStr">
        <is>
          <t>VALINS</t>
        </is>
      </c>
      <c r="C176" t="inlineStr">
        <is>
          <t>AMADI</t>
        </is>
      </c>
      <c r="D176" t="inlineStr">
        <is>
          <t>FITTER</t>
        </is>
      </c>
      <c r="E176" t="inlineStr">
        <is>
          <t>AGEGE</t>
        </is>
      </c>
      <c r="F176" s="1">
        <v>14050</v>
      </c>
      <c r="G176"/>
      <c r="H176" t="inlineStr">
        <is>
          <t>M</t>
        </is>
      </c>
      <c r="I176"/>
      <c r="J176"/>
      <c r="K176"/>
      <c r="L176">
        <v>13</v>
      </c>
      <c r="M176"/>
      <c r="N176"/>
      <c r="O176"/>
      <c r="P176"/>
      <c r="Q176" s="1">
        <v>45662.5</v>
      </c>
      <c r="R176"/>
      <c r="S176"/>
      <c r="T176"/>
      <c r="U176"/>
      <c r="V176"/>
      <c r="W176"/>
      <c r="X176"/>
      <c r="Y176" s="1">
        <v>45662.5</v>
      </c>
      <c r="Z176" s="1">
        <v>2283.13</v>
      </c>
      <c r="AA176" s="1">
        <v>45662.5</v>
      </c>
      <c r="AB176" s="1">
        <v>43379.37</v>
      </c>
    </row>
    <row r="177" spans="1:28" x14ac:dyDescent="0.25">
      <c r="A177" t="inlineStr">
        <is>
          <t>C2824</t>
        </is>
      </c>
      <c r="B177" t="inlineStr">
        <is>
          <t>SALAWU</t>
        </is>
      </c>
      <c r="C177" t="inlineStr">
        <is>
          <t>MUYIDEEN</t>
        </is>
      </c>
      <c r="D177" t="inlineStr">
        <is>
          <t>SMAW +FCAW WELDER</t>
        </is>
      </c>
      <c r="E177" t="inlineStr">
        <is>
          <t>AGEGE</t>
        </is>
      </c>
      <c r="F177" s="1">
        <v>20100</v>
      </c>
      <c r="G177"/>
      <c r="H177" t="inlineStr">
        <is>
          <t>M</t>
        </is>
      </c>
      <c r="I177">
        <v>17</v>
      </c>
      <c r="J177"/>
      <c r="K177">
        <v>14</v>
      </c>
      <c r="L177"/>
      <c r="M177"/>
      <c r="N177" s="1">
        <v>341700</v>
      </c>
      <c r="O177"/>
      <c r="P177" s="1">
        <v>52762.5</v>
      </c>
      <c r="Q177"/>
      <c r="R177"/>
      <c r="S177" s="1">
        <v>8500</v>
      </c>
      <c r="T177"/>
      <c r="U177"/>
      <c r="V177"/>
      <c r="W177"/>
      <c r="X177"/>
      <c r="Y177" s="1">
        <v>402962.5</v>
      </c>
      <c r="Z177" s="1">
        <v>20148.13</v>
      </c>
      <c r="AA177" s="1">
        <v>402962.5</v>
      </c>
      <c r="AB177" s="1">
        <v>382814.37</v>
      </c>
    </row>
    <row r="178" spans="1:28" x14ac:dyDescent="0.25">
      <c r="A178" t="inlineStr">
        <is>
          <t>C2825</t>
        </is>
      </c>
      <c r="B178" t="inlineStr">
        <is>
          <t>ISMAIL</t>
        </is>
      </c>
      <c r="C178" t="inlineStr">
        <is>
          <t>AKANDE</t>
        </is>
      </c>
      <c r="D178" t="inlineStr">
        <is>
          <t>3G SMAW WELDER</t>
        </is>
      </c>
      <c r="E178" t="inlineStr">
        <is>
          <t>AGEGE</t>
        </is>
      </c>
      <c r="F178" s="1">
        <v>13550</v>
      </c>
      <c r="G178">
        <v>47</v>
      </c>
      <c r="H178" t="inlineStr">
        <is>
          <t>M</t>
        </is>
      </c>
      <c r="I178">
        <v>21</v>
      </c>
      <c r="J178"/>
      <c r="K178">
        <v>26</v>
      </c>
      <c r="L178">
        <v>13</v>
      </c>
      <c r="M178"/>
      <c r="N178" s="1">
        <v>284550</v>
      </c>
      <c r="O178"/>
      <c r="P178" s="1">
        <v>66056.25</v>
      </c>
      <c r="Q178" s="1">
        <v>44037.5</v>
      </c>
      <c r="R178"/>
      <c r="S178" s="1">
        <v>10500</v>
      </c>
      <c r="T178"/>
      <c r="U178"/>
      <c r="V178"/>
      <c r="W178"/>
      <c r="X178"/>
      <c r="Y178" s="1">
        <v>439018.75</v>
      </c>
      <c r="Z178" s="1">
        <v>21950.94</v>
      </c>
      <c r="AA178" s="1">
        <v>439018.75</v>
      </c>
      <c r="AB178" s="1">
        <v>417067.81</v>
      </c>
    </row>
    <row r="179" spans="1:28" x14ac:dyDescent="0.25">
      <c r="A179" t="inlineStr">
        <is>
          <t>C2826</t>
        </is>
      </c>
      <c r="B179" t="inlineStr">
        <is>
          <t>TUNDE</t>
        </is>
      </c>
      <c r="C179" t="inlineStr">
        <is>
          <t>OYEWOLE</t>
        </is>
      </c>
      <c r="D179" t="inlineStr">
        <is>
          <t>BLASTER/PAINTER</t>
        </is>
      </c>
      <c r="E179" t="inlineStr">
        <is>
          <t>IDI_ORO</t>
        </is>
      </c>
      <c r="F179" s="1">
        <v>12750</v>
      </c>
      <c r="G179">
        <v>38</v>
      </c>
      <c r="H179" t="inlineStr">
        <is>
          <t>M</t>
        </is>
      </c>
      <c r="I179">
        <v>21</v>
      </c>
      <c r="J179"/>
      <c r="K179">
        <v>1</v>
      </c>
      <c r="L179">
        <v>12.9</v>
      </c>
      <c r="M179"/>
      <c r="N179" s="1">
        <v>267750</v>
      </c>
      <c r="O179"/>
      <c r="P179" s="1">
        <v>2390.63</v>
      </c>
      <c r="Q179" s="1">
        <v>41118.75</v>
      </c>
      <c r="R179"/>
      <c r="S179" s="1">
        <v>10500</v>
      </c>
      <c r="T179"/>
      <c r="U179"/>
      <c r="V179"/>
      <c r="W179"/>
      <c r="X179"/>
      <c r="Y179" s="1">
        <v>356503.13</v>
      </c>
      <c r="Z179" s="1">
        <v>17825.16</v>
      </c>
      <c r="AA179" s="1">
        <v>356503.13</v>
      </c>
      <c r="AB179" s="1">
        <v>338677.97</v>
      </c>
    </row>
    <row r="180" spans="1:28" x14ac:dyDescent="0.25">
      <c r="A180" t="inlineStr">
        <is>
          <t>C2827</t>
        </is>
      </c>
      <c r="B180" t="inlineStr">
        <is>
          <t>CHARLES</t>
        </is>
      </c>
      <c r="C180" t="inlineStr">
        <is>
          <t>AKAKA</t>
        </is>
      </c>
      <c r="D180" t="inlineStr">
        <is>
          <t>Blaster</t>
        </is>
      </c>
      <c r="E180" t="inlineStr">
        <is>
          <t>IDI_ORO</t>
        </is>
      </c>
      <c r="F180" s="1">
        <v>12750</v>
      </c>
      <c r="G180">
        <v>44</v>
      </c>
      <c r="H180" t="inlineStr">
        <is>
          <t>M</t>
        </is>
      </c>
      <c r="I180">
        <v>21</v>
      </c>
      <c r="J180"/>
      <c r="K180"/>
      <c r="L180"/>
      <c r="M180"/>
      <c r="N180" s="1">
        <v>267750</v>
      </c>
      <c r="O180"/>
      <c r="P180"/>
      <c r="Q180"/>
      <c r="R180"/>
      <c r="S180" s="1">
        <v>10500</v>
      </c>
      <c r="T180"/>
      <c r="U180"/>
      <c r="V180"/>
      <c r="W180"/>
      <c r="X180"/>
      <c r="Y180" s="1">
        <v>278250</v>
      </c>
      <c r="Z180" s="1">
        <v>13912.5</v>
      </c>
      <c r="AA180" s="1">
        <v>278250</v>
      </c>
      <c r="AB180" s="1">
        <v>264337.5</v>
      </c>
    </row>
    <row r="181" spans="1:28" x14ac:dyDescent="0.25">
      <c r="A181" t="inlineStr">
        <is>
          <t>C2829</t>
        </is>
      </c>
      <c r="B181" t="inlineStr">
        <is>
          <t>CHRISTIAN</t>
        </is>
      </c>
      <c r="C181" t="inlineStr">
        <is>
          <t>OGUWA</t>
        </is>
      </c>
      <c r="D181" t="inlineStr">
        <is>
          <t>WELDER</t>
        </is>
      </c>
      <c r="E181" t="inlineStr">
        <is>
          <t>IDI_ORO</t>
        </is>
      </c>
      <c r="F181" s="1">
        <v>13550</v>
      </c>
      <c r="G181"/>
      <c r="H181"/>
      <c r="I181">
        <v>21</v>
      </c>
      <c r="J181"/>
      <c r="K181">
        <v>9</v>
      </c>
      <c r="L181"/>
      <c r="M181"/>
      <c r="N181" s="1">
        <v>284550</v>
      </c>
      <c r="O181"/>
      <c r="P181" s="1">
        <v>22865.63</v>
      </c>
      <c r="Q181"/>
      <c r="R181"/>
      <c r="S181" s="1">
        <v>10500</v>
      </c>
      <c r="T181"/>
      <c r="U181"/>
      <c r="V181"/>
      <c r="W181"/>
      <c r="X181"/>
      <c r="Y181" s="1">
        <v>317915.63</v>
      </c>
      <c r="Z181" s="1">
        <v>15895.78</v>
      </c>
      <c r="AA181" s="1">
        <v>317915.63</v>
      </c>
      <c r="AB181" s="1">
        <v>302019.85</v>
      </c>
    </row>
    <row r="182" spans="1:28" x14ac:dyDescent="0.25">
      <c r="A182">
        <f>SUBTOTAL(103,Table4[Contractor Code])</f>
        <v>180</v>
      </c>
      <c r="I182">
        <f>SUBTOTAL(109,Table4[Total Weekday])</f>
        <v>3551</v>
      </c>
      <c r="J182">
        <f>SUBTOTAL(109,Table4[Weekday OVT])</f>
        <v>320.8</v>
      </c>
      <c r="K182">
        <f>SUBTOTAL(109,Table4[Total Saturday])</f>
        <v>3251.4</v>
      </c>
      <c r="L182">
        <f>SUBTOTAL(109,Table4[Total Sunday])</f>
        <v>1046.4</v>
      </c>
      <c r="M182">
        <f>SUBTOTAL(109,Table4[Night Worked])</f>
        <v>16</v>
      </c>
      <c r="N182" s="1">
        <f>SUBTOTAL(109,Table4[Wkd Earning])</f>
        <v>46564656</v>
      </c>
      <c r="O182" s="1">
        <f>SUBTOTAL(109,Table4[Wkd Ovt Amt])</f>
        <v>756548.31</v>
      </c>
      <c r="P182" s="1">
        <f>SUBTOTAL(109,Table4[Sat Ovt Amt])</f>
        <v>7757535.93</v>
      </c>
      <c r="Q182" s="1">
        <f>SUBTOTAL(109,Table4[Sun Ovt Amt])</f>
        <v>3139215.25</v>
      </c>
      <c r="R182" s="1">
        <f>SUBTOTAL(109,Table4[Night Amt])</f>
        <v>24000</v>
      </c>
      <c r="S182" s="1">
        <f>SUBTOTAL(109,Table4[Meal Allowance])</f>
        <v>1775500</v>
      </c>
      <c r="T182" s="1">
        <f>SUBTOTAL(109,Table4[Transport])</f>
        <v>0</v>
      </c>
      <c r="U182" s="1">
        <f>SUBTOTAL(109,Table4[Site Allowance])</f>
        <v>0</v>
      </c>
      <c r="V182" s="1">
        <f>SUBTOTAL(109,Table4[TCM Meal])</f>
        <v>0</v>
      </c>
      <c r="W182" s="1">
        <f>SUBTOTAL(109,Table4[TCM TRANSPORT])</f>
        <v>0</v>
      </c>
      <c r="X182" s="1"/>
      <c r="Y182" s="1">
        <f>SUBTOTAL(109,Table4[Total Earnings])</f>
        <v>63654567</v>
      </c>
      <c r="Z182" s="1">
        <f>SUBTOTAL(109,Table4[WHT])</f>
        <v>3182728.36</v>
      </c>
      <c r="AA182" s="1">
        <f>SUBTOTAL(109,Table4[Gross Amount])</f>
        <v>63654567</v>
      </c>
      <c r="AB182" s="1">
        <f>SUBTOTAL(109,Table4[Amount Payable])</f>
        <v>60471838.64</v>
      </c>
    </row>
  </sheetData>
  <phoneticPr fontId="8" type="noConversion"/>
  <conditionalFormatting sqref="A1:A1048576">
    <cfRule type="duplicateValues" dxfId="0" priority="1"/>
  </conditionalFormatting>
  <pageMargins left="0.7" right="0.7" top="0.75" bottom="0.75" header="0.3" footer="0.3"/>
  <ignoredErrors>
    <ignoredError sqref="S8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D79F-9980-4695-8AFE-774F3A8F07E9}">
  <dimension ref="A1:Y9"/>
  <sheetViews>
    <sheetView topLeftCell="L1" zoomScale="79" zoomScaleNormal="79" workbookViewId="0">
      <selection activeCell="A2" sqref="A2:A8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18.21875" bestFit="1" customWidth="1"/>
    <col min="4" max="4" width="29.5546875" bestFit="1" customWidth="1"/>
    <col min="5" max="5" width="12.44140625" bestFit="1" customWidth="1"/>
    <col min="6" max="7" width="10.44140625" customWidth="1"/>
    <col min="8" max="8" width="17.109375" bestFit="1" customWidth="1"/>
    <col min="9" max="9" width="16" bestFit="1" customWidth="1"/>
    <col min="10" max="10" width="16.77734375" bestFit="1" customWidth="1"/>
    <col min="11" max="11" width="15.33203125" bestFit="1" customWidth="1"/>
    <col min="12" max="13" width="16" bestFit="1" customWidth="1"/>
    <col min="14" max="14" width="15" bestFit="1" customWidth="1"/>
    <col min="15" max="15" width="15.44140625" bestFit="1" customWidth="1"/>
    <col min="16" max="16" width="14" bestFit="1" customWidth="1"/>
    <col min="17" max="17" width="14.5546875" bestFit="1" customWidth="1"/>
    <col min="18" max="18" width="10.21875" bestFit="1" customWidth="1"/>
    <col min="19" max="19" width="12.6640625" bestFit="1" customWidth="1"/>
    <col min="20" max="20" width="18" bestFit="1" customWidth="1"/>
    <col min="21" max="21" width="12.109375" bestFit="1" customWidth="1"/>
    <col min="22" max="22" width="16" bestFit="1" customWidth="1"/>
    <col min="23" max="23" width="12" bestFit="1" customWidth="1"/>
    <col min="24" max="24" width="14.33203125" bestFit="1" customWidth="1"/>
    <col min="25" max="25" width="13.21875" bestFit="1" customWidth="1"/>
  </cols>
  <sheetData>
    <row r="1" spans="1:25" x14ac:dyDescent="0.3">
      <c r="A1" t="s">
        <v>798</v>
      </c>
      <c r="B1" t="s">
        <v>799</v>
      </c>
      <c r="C1" t="s">
        <v>800</v>
      </c>
      <c r="D1" t="s">
        <v>801</v>
      </c>
      <c r="E1" t="s">
        <v>821</v>
      </c>
      <c r="F1" t="s">
        <v>1</v>
      </c>
      <c r="G1" t="s">
        <v>2</v>
      </c>
      <c r="H1" t="s">
        <v>823</v>
      </c>
      <c r="I1" t="s">
        <v>827</v>
      </c>
      <c r="J1" t="s">
        <v>824</v>
      </c>
      <c r="K1" t="s">
        <v>825</v>
      </c>
      <c r="L1" t="s">
        <v>826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833</v>
      </c>
      <c r="S1" t="s">
        <v>834</v>
      </c>
      <c r="T1" t="s">
        <v>835</v>
      </c>
      <c r="U1" t="s">
        <v>836</v>
      </c>
      <c r="V1" t="s">
        <v>837</v>
      </c>
      <c r="W1" t="s">
        <v>838</v>
      </c>
      <c r="X1" t="s">
        <v>839</v>
      </c>
      <c r="Y1" t="s">
        <v>3</v>
      </c>
    </row>
    <row r="2" spans="1:25" x14ac:dyDescent="0.25">
      <c r="A2" t="inlineStr">
        <is>
          <t>C2394</t>
        </is>
      </c>
      <c r="B2" t="inlineStr">
        <is>
          <t>IDOWU</t>
        </is>
      </c>
      <c r="C2" t="inlineStr">
        <is>
          <t>HAMMED</t>
        </is>
      </c>
      <c r="D2" t="inlineStr">
        <is>
          <t>KETTLE</t>
        </is>
      </c>
      <c r="E2" s="1">
        <v>9500</v>
      </c>
      <c r="F2">
        <v>34</v>
      </c>
      <c r="G2" t="inlineStr">
        <is>
          <t>M</t>
        </is>
      </c>
      <c r="H2">
        <v>21</v>
      </c>
      <c r="I2"/>
      <c r="J2">
        <v>1</v>
      </c>
      <c r="K2"/>
      <c r="L2">
        <v>1</v>
      </c>
      <c r="M2"/>
      <c r="N2" s="1">
        <v>199500</v>
      </c>
      <c r="O2"/>
      <c r="P2" s="1">
        <v>1781.25</v>
      </c>
      <c r="Q2"/>
      <c r="R2" s="1">
        <v>2375</v>
      </c>
      <c r="S2"/>
      <c r="T2" s="1">
        <v>10500</v>
      </c>
      <c r="U2"/>
      <c r="V2" s="1">
        <v>214156.25</v>
      </c>
      <c r="W2" s="1">
        <v>10707.81</v>
      </c>
      <c r="X2" s="1">
        <v>214156.25</v>
      </c>
      <c r="Y2" s="1">
        <v>203448.44</v>
      </c>
    </row>
    <row r="3" spans="1:25" x14ac:dyDescent="0.25">
      <c r="A3" t="inlineStr">
        <is>
          <t>C2396</t>
        </is>
      </c>
      <c r="B3" t="inlineStr">
        <is>
          <t>MUSBAU</t>
        </is>
      </c>
      <c r="C3" t="inlineStr">
        <is>
          <t>AKINDELE</t>
        </is>
      </c>
      <c r="D3" t="inlineStr">
        <is>
          <t>KETTLE</t>
        </is>
      </c>
      <c r="E3" s="1">
        <v>9500</v>
      </c>
      <c r="F3">
        <v>36</v>
      </c>
      <c r="G3" t="inlineStr">
        <is>
          <t>M</t>
        </is>
      </c>
      <c r="H3">
        <v>21</v>
      </c>
      <c r="I3"/>
      <c r="J3">
        <v>1</v>
      </c>
      <c r="K3"/>
      <c r="L3">
        <v>1</v>
      </c>
      <c r="M3"/>
      <c r="N3" s="1">
        <v>199500</v>
      </c>
      <c r="O3"/>
      <c r="P3" s="1">
        <v>1781.25</v>
      </c>
      <c r="Q3"/>
      <c r="R3" s="1">
        <v>2375</v>
      </c>
      <c r="S3"/>
      <c r="T3" s="1">
        <v>10500</v>
      </c>
      <c r="U3"/>
      <c r="V3" s="1">
        <v>214156.25</v>
      </c>
      <c r="W3" s="1">
        <v>10707.81</v>
      </c>
      <c r="X3" s="1">
        <v>214156.25</v>
      </c>
      <c r="Y3" s="1">
        <v>203448.44</v>
      </c>
    </row>
    <row r="4" spans="1:25" x14ac:dyDescent="0.25">
      <c r="A4" t="inlineStr">
        <is>
          <t>C2408</t>
        </is>
      </c>
      <c r="B4" t="inlineStr">
        <is>
          <t>LAWRENCE</t>
        </is>
      </c>
      <c r="C4" t="inlineStr">
        <is>
          <t>ANTHONY</t>
        </is>
      </c>
      <c r="D4" t="inlineStr">
        <is>
          <t>SKIMMER TECHNICIAN</t>
        </is>
      </c>
      <c r="E4" s="1">
        <v>10000</v>
      </c>
      <c r="F4">
        <v>47</v>
      </c>
      <c r="G4" t="inlineStr">
        <is>
          <t>M</t>
        </is>
      </c>
      <c r="H4">
        <v>21</v>
      </c>
      <c r="I4"/>
      <c r="J4">
        <v>1</v>
      </c>
      <c r="K4"/>
      <c r="L4">
        <v>1</v>
      </c>
      <c r="M4"/>
      <c r="N4" s="1">
        <v>210000</v>
      </c>
      <c r="O4"/>
      <c r="P4" s="1">
        <v>1875</v>
      </c>
      <c r="Q4"/>
      <c r="R4" s="1">
        <v>2500</v>
      </c>
      <c r="S4"/>
      <c r="T4" s="1">
        <v>10500</v>
      </c>
      <c r="U4"/>
      <c r="V4" s="1">
        <v>224875</v>
      </c>
      <c r="W4" s="1">
        <v>11243.75</v>
      </c>
      <c r="X4" s="1">
        <v>224875</v>
      </c>
      <c r="Y4" s="1">
        <v>213631.25</v>
      </c>
    </row>
    <row r="5" spans="1:25" x14ac:dyDescent="0.25">
      <c r="A5" t="inlineStr">
        <is>
          <t>C2443</t>
        </is>
      </c>
      <c r="B5" t="inlineStr">
        <is>
          <t>ADEBIYI</t>
        </is>
      </c>
      <c r="C5" t="inlineStr">
        <is>
          <t>GANIYU</t>
        </is>
      </c>
      <c r="D5" t="inlineStr">
        <is>
          <t>KETTLE</t>
        </is>
      </c>
      <c r="E5" s="1">
        <v>9500</v>
      </c>
      <c r="F5">
        <v>37</v>
      </c>
      <c r="G5" t="inlineStr">
        <is>
          <t>M</t>
        </is>
      </c>
      <c r="H5">
        <v>21</v>
      </c>
      <c r="I5"/>
      <c r="J5">
        <v>1</v>
      </c>
      <c r="K5"/>
      <c r="L5">
        <v>1</v>
      </c>
      <c r="M5"/>
      <c r="N5" s="1">
        <v>199500</v>
      </c>
      <c r="O5"/>
      <c r="P5" s="1">
        <v>1781.25</v>
      </c>
      <c r="Q5"/>
      <c r="R5" s="1">
        <v>2375</v>
      </c>
      <c r="S5"/>
      <c r="T5" s="1">
        <v>10500</v>
      </c>
      <c r="U5"/>
      <c r="V5" s="1">
        <v>214156.25</v>
      </c>
      <c r="W5" s="1">
        <v>10707.81</v>
      </c>
      <c r="X5" s="1">
        <v>214156.25</v>
      </c>
      <c r="Y5" s="1">
        <v>203448.44</v>
      </c>
    </row>
    <row r="6" spans="1:25" x14ac:dyDescent="0.25">
      <c r="A6" t="inlineStr">
        <is>
          <t>C2506</t>
        </is>
      </c>
      <c r="B6" t="inlineStr">
        <is>
          <t>MICHAEL</t>
        </is>
      </c>
      <c r="C6" t="inlineStr">
        <is>
          <t>ONOJA</t>
        </is>
      </c>
      <c r="D6" t="inlineStr">
        <is>
          <t>KETTLE</t>
        </is>
      </c>
      <c r="E6" s="1">
        <v>9500</v>
      </c>
      <c r="F6">
        <v>29</v>
      </c>
      <c r="G6" t="inlineStr">
        <is>
          <t>M</t>
        </is>
      </c>
      <c r="H6">
        <v>21</v>
      </c>
      <c r="I6"/>
      <c r="J6">
        <v>1</v>
      </c>
      <c r="K6"/>
      <c r="L6">
        <v>1</v>
      </c>
      <c r="M6"/>
      <c r="N6" s="1">
        <v>199500</v>
      </c>
      <c r="O6"/>
      <c r="P6" s="1">
        <v>1781.25</v>
      </c>
      <c r="Q6"/>
      <c r="R6" s="1">
        <v>2375</v>
      </c>
      <c r="S6"/>
      <c r="T6" s="1">
        <v>10500</v>
      </c>
      <c r="U6"/>
      <c r="V6" s="1">
        <v>214156.25</v>
      </c>
      <c r="W6" s="1">
        <v>10707.81</v>
      </c>
      <c r="X6" s="1">
        <v>214156.25</v>
      </c>
      <c r="Y6" s="1">
        <v>203448.44</v>
      </c>
    </row>
    <row r="7" spans="1:25" x14ac:dyDescent="0.25">
      <c r="A7" t="inlineStr">
        <is>
          <t>C2512</t>
        </is>
      </c>
      <c r="B7" t="inlineStr">
        <is>
          <t>SUNDAY</t>
        </is>
      </c>
      <c r="C7" t="inlineStr">
        <is>
          <t>OVAT</t>
        </is>
      </c>
      <c r="D7" t="inlineStr">
        <is>
          <t>QC ASSISTANCE</t>
        </is>
      </c>
      <c r="E7" s="1">
        <v>8600</v>
      </c>
      <c r="F7">
        <v>25</v>
      </c>
      <c r="G7" t="inlineStr">
        <is>
          <t>M</t>
        </is>
      </c>
      <c r="H7">
        <v>21</v>
      </c>
      <c r="I7"/>
      <c r="J7">
        <v>1</v>
      </c>
      <c r="K7"/>
      <c r="L7">
        <v>1</v>
      </c>
      <c r="M7"/>
      <c r="N7" s="1">
        <v>180600</v>
      </c>
      <c r="O7"/>
      <c r="P7" s="1">
        <v>1612.5</v>
      </c>
      <c r="Q7"/>
      <c r="R7" s="1">
        <v>2150</v>
      </c>
      <c r="S7"/>
      <c r="T7" s="1">
        <v>10500</v>
      </c>
      <c r="U7"/>
      <c r="V7" s="1">
        <v>194862.5</v>
      </c>
      <c r="W7" s="1">
        <v>9743.13</v>
      </c>
      <c r="X7" s="1">
        <v>194862.5</v>
      </c>
      <c r="Y7" s="1">
        <v>185119.37</v>
      </c>
    </row>
    <row r="8" spans="1:25" x14ac:dyDescent="0.25">
      <c r="A8" t="inlineStr">
        <is>
          <t>C2522</t>
        </is>
      </c>
      <c r="B8" t="inlineStr">
        <is>
          <t>JAMIU</t>
        </is>
      </c>
      <c r="C8" t="inlineStr">
        <is>
          <t>RASAK</t>
        </is>
      </c>
      <c r="D8" t="inlineStr">
        <is>
          <t>KETTLE</t>
        </is>
      </c>
      <c r="E8" s="1">
        <v>9500</v>
      </c>
      <c r="F8">
        <v>42</v>
      </c>
      <c r="G8" t="inlineStr">
        <is>
          <t>M</t>
        </is>
      </c>
      <c r="H8">
        <v>21</v>
      </c>
      <c r="I8"/>
      <c r="J8">
        <v>1</v>
      </c>
      <c r="K8"/>
      <c r="L8">
        <v>1</v>
      </c>
      <c r="M8"/>
      <c r="N8" s="1">
        <v>199500</v>
      </c>
      <c r="O8"/>
      <c r="P8" s="1">
        <v>1781.25</v>
      </c>
      <c r="Q8"/>
      <c r="R8" s="1">
        <v>2375</v>
      </c>
      <c r="S8"/>
      <c r="T8" s="1">
        <v>10500</v>
      </c>
      <c r="U8"/>
      <c r="V8" s="1">
        <v>214156.25</v>
      </c>
      <c r="W8" s="1">
        <v>10707.81</v>
      </c>
      <c r="X8" s="1">
        <v>214156.25</v>
      </c>
      <c r="Y8" s="1">
        <v>203448.44</v>
      </c>
    </row>
    <row r="9" spans="1:25" x14ac:dyDescent="0.25">
      <c r="A9">
        <f>SUBTOTAL(103,Table52[Contractor Code])</f>
        <v>7</v>
      </c>
      <c r="E9" s="1">
        <f>SUBTOTAL(109,Table52[Daily Rate])</f>
        <v>66100</v>
      </c>
      <c r="H9">
        <f>SUBTOTAL(109,Table52[Total Weekday])</f>
        <v>147</v>
      </c>
      <c r="I9">
        <f>SUBTOTAL(109,Table52[Weekday OVT])</f>
        <v>0</v>
      </c>
      <c r="J9">
        <f>SUBTOTAL(109,Table52[Total Saturday])</f>
        <v>7</v>
      </c>
      <c r="N9" s="1">
        <f>SUBTOTAL(109,Table52[Wkd Earning])</f>
        <v>1388100</v>
      </c>
      <c r="O9" s="1">
        <f>SUBTOTAL(109,Table52[Wkd Ovt Amt])</f>
        <v>0</v>
      </c>
      <c r="P9" s="1">
        <f>SUBTOTAL(109,Table52[Sat Ovt Amt])</f>
        <v>12393.75</v>
      </c>
      <c r="Q9" s="1">
        <f>SUBTOTAL(109,Table52[Sun Ovt Amt])</f>
        <v>0</v>
      </c>
      <c r="R9" s="1">
        <f>SUBTOTAL(109,Table52[PH Amt])</f>
        <v>16525</v>
      </c>
      <c r="S9" s="1">
        <f>SUBTOTAL(109,Table52[Night Amt])</f>
        <v>0</v>
      </c>
      <c r="T9" s="1">
        <f>SUBTOTAL(109,Table52[Meal Allowance])</f>
        <v>73500</v>
      </c>
      <c r="U9" s="1">
        <f>SUBTOTAL(109,Table52[Transport])</f>
        <v>0</v>
      </c>
      <c r="V9" s="1">
        <f>SUBTOTAL(109,Table52[Total Earnings])</f>
        <v>1490518.75</v>
      </c>
      <c r="W9" s="1">
        <f>SUBTOTAL(109,Table52[WHT])</f>
        <v>74525.93</v>
      </c>
      <c r="X9" s="1">
        <f>SUBTOTAL(109,Table52[Gross Amount])</f>
        <v>1490518.75</v>
      </c>
      <c r="Y9" s="1">
        <f>SUBTOTAL(109,Table52[Amount Payable])</f>
        <v>1415992.82</v>
      </c>
    </row>
  </sheetData>
  <conditionalFormatting sqref="A1:A1048576">
    <cfRule type="duplicateValues" dxfId="2" priority="1"/>
  </conditionalFormatting>
  <conditionalFormatting sqref="A117:A1048576 A1:A12">
    <cfRule type="duplicateValues" dxfId="1" priority="2"/>
  </conditionalFormatting>
  <pageMargins left="0.7" right="0.7" top="0.75" bottom="0.75" header="0.3" footer="0.3"/>
  <ignoredErrors>
    <ignoredError sqref="V2:V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5286-4C3E-4451-97D5-ECDD7DEB763C}">
  <sheetPr>
    <outlinePr summaryBelow="0"/>
  </sheetPr>
  <dimension ref="A1:F183"/>
  <sheetViews>
    <sheetView showGridLines="0" topLeftCell="A173" workbookViewId="0">
      <selection activeCell="B186" sqref="B186"/>
    </sheetView>
  </sheetViews>
  <sheetFormatPr defaultRowHeight="14.4" x14ac:dyDescent="0.3"/>
  <cols>
    <col min="1" max="1" width="14" customWidth="1"/>
    <col min="2" max="2" width="31.109375" customWidth="1"/>
    <col min="3" max="3" width="29.88671875" bestFit="1" customWidth="1"/>
    <col min="4" max="6" width="15.5546875" customWidth="1"/>
  </cols>
  <sheetData>
    <row r="1" spans="1:6" ht="31.5" customHeight="1" x14ac:dyDescent="0.3">
      <c r="A1" s="10" t="s">
        <v>491</v>
      </c>
      <c r="B1" s="10"/>
      <c r="C1" s="10"/>
      <c r="D1" s="10"/>
      <c r="E1" s="10"/>
      <c r="F1" s="10"/>
    </row>
    <row r="2" spans="1:6" ht="21" customHeight="1" x14ac:dyDescent="0.3">
      <c r="A2" s="2" t="s">
        <v>0</v>
      </c>
      <c r="B2" s="2" t="s">
        <v>492</v>
      </c>
      <c r="C2" s="2" t="s">
        <v>493</v>
      </c>
      <c r="D2" s="2" t="s">
        <v>494</v>
      </c>
      <c r="E2" s="2" t="s">
        <v>495</v>
      </c>
      <c r="F2" s="3" t="s">
        <v>496</v>
      </c>
    </row>
    <row r="3" spans="1:6" ht="13.5" customHeight="1" x14ac:dyDescent="0.25">
      <c r="A3" s="15" t="inlineStr">
        <is>
          <t>C0129</t>
        </is>
      </c>
      <c r="B3" s="15" t="inlineStr">
        <is>
          <t>KALU AGWU OKWARA</t>
        </is>
      </c>
      <c r="C3" s="15" t="inlineStr">
        <is>
          <t>Fidelity Bank Plc</t>
        </is>
      </c>
      <c r="D3" s="15" t="inlineStr">
        <is>
          <t>4020099243</t>
        </is>
      </c>
      <c r="E3" s="15" t="inlineStr">
        <is>
          <t>070150003</t>
        </is>
      </c>
      <c r="F3" s="16">
        <f>_xlfn.XLOOKUP(Table13[[#This Row],[Contractor Code]],DLE!A:A,DLE!AB:AB)</f>
        <v>353385.75</v>
      </c>
    </row>
    <row r="4" spans="1:6" ht="13.5" customHeight="1" x14ac:dyDescent="0.25">
      <c r="A4" s="15" t="inlineStr">
        <is>
          <t>C0293</t>
        </is>
      </c>
      <c r="B4" s="15" t="inlineStr">
        <is>
          <t>OLANIYAN OLAKUNLE</t>
        </is>
      </c>
      <c r="C4" s="15" t="inlineStr">
        <is>
          <t>Guaranty Trust Bank Plc</t>
        </is>
      </c>
      <c r="D4" s="15" t="inlineStr">
        <is>
          <t>0128756772</t>
        </is>
      </c>
      <c r="E4" s="15" t="inlineStr">
        <is>
          <t>058152052</t>
        </is>
      </c>
      <c r="F4" s="16">
        <f>_xlfn.XLOOKUP(Table13[[#This Row],[Contractor Code]],DLE!A:A,DLE!AB:AB)</f>
        <v>451635.94</v>
      </c>
    </row>
    <row r="5" spans="1:6" ht="13.5" customHeight="1" x14ac:dyDescent="0.25">
      <c r="A5" s="15" t="inlineStr">
        <is>
          <t>C0585</t>
        </is>
      </c>
      <c r="B5" s="15" t="inlineStr">
        <is>
          <t>FEMI BELLO</t>
        </is>
      </c>
      <c r="C5" s="15" t="inlineStr">
        <is>
          <t>Access Bank Plc</t>
        </is>
      </c>
      <c r="D5" s="15" t="inlineStr">
        <is>
          <t>0000214630</t>
        </is>
      </c>
      <c r="E5" s="15" t="inlineStr">
        <is>
          <t>044150149</t>
        </is>
      </c>
      <c r="F5" s="16">
        <f>_xlfn.XLOOKUP(Table13[[#This Row],[Contractor Code]],DLE!A:A,DLE!AB:AB)</f>
        <v>429352.5</v>
      </c>
    </row>
    <row r="6" spans="1:6" ht="13.5" customHeight="1" x14ac:dyDescent="0.25">
      <c r="A6" s="15" t="inlineStr">
        <is>
          <t>C0695</t>
        </is>
      </c>
      <c r="B6" s="15" t="inlineStr">
        <is>
          <t>AWOYEMI JULIUS</t>
        </is>
      </c>
      <c r="C6" s="15" t="inlineStr">
        <is>
          <t>Fidelity Bank Plc</t>
        </is>
      </c>
      <c r="D6" s="15" t="inlineStr">
        <is>
          <t>4020105283</t>
        </is>
      </c>
      <c r="E6" s="15" t="inlineStr">
        <is>
          <t>070150003</t>
        </is>
      </c>
      <c r="F6" s="16">
        <f>_xlfn.XLOOKUP(Table13[[#This Row],[Contractor Code]],DLE!A:A,DLE!AB:AB)</f>
        <v>402396.25</v>
      </c>
    </row>
    <row r="7" spans="1:6" ht="13.5" customHeight="1" x14ac:dyDescent="0.25">
      <c r="A7" s="15" t="inlineStr">
        <is>
          <t>C0974</t>
        </is>
      </c>
      <c r="B7" s="15" t="inlineStr">
        <is>
          <t>ETUERI STEPHEN</t>
        </is>
      </c>
      <c r="C7" s="15" t="inlineStr">
        <is>
          <t>Zenith Bank Plc</t>
        </is>
      </c>
      <c r="D7" s="15" t="inlineStr">
        <is>
          <t>2082484750</t>
        </is>
      </c>
      <c r="E7" s="15" t="inlineStr">
        <is>
          <t>057150013</t>
        </is>
      </c>
      <c r="F7" s="16">
        <f>_xlfn.XLOOKUP(Table13[[#This Row],[Contractor Code]],DLE!A:A,DLE!AB:AB)</f>
        <v>404236.87</v>
      </c>
    </row>
    <row r="8" spans="1:6" ht="13.5" customHeight="1" x14ac:dyDescent="0.25">
      <c r="A8" s="15" t="inlineStr">
        <is>
          <t>C1001</t>
        </is>
      </c>
      <c r="B8" s="15" t="inlineStr">
        <is>
          <t>GBADAMOSI JIMOH</t>
        </is>
      </c>
      <c r="C8" s="15" t="inlineStr">
        <is>
          <t>Guaranty Trust Bank Plc</t>
        </is>
      </c>
      <c r="D8" s="15" t="inlineStr">
        <is>
          <t>0606367290</t>
        </is>
      </c>
      <c r="E8" s="15" t="inlineStr">
        <is>
          <t>058152052</t>
        </is>
      </c>
      <c r="F8" s="16">
        <f>_xlfn.XLOOKUP(Table13[[#This Row],[Contractor Code]],DLE!A:A,DLE!AB:AB)</f>
        <v>436732.81</v>
      </c>
    </row>
    <row r="9" spans="1:6" ht="13.5" customHeight="1" x14ac:dyDescent="0.25">
      <c r="A9" s="15" t="inlineStr">
        <is>
          <t>C1035</t>
        </is>
      </c>
      <c r="B9" s="15" t="inlineStr">
        <is>
          <t>EJEH DONATUS</t>
        </is>
      </c>
      <c r="C9" s="15" t="inlineStr">
        <is>
          <t>Guaranty Trust Bank Plc</t>
        </is>
      </c>
      <c r="D9" s="15" t="inlineStr">
        <is>
          <t>0147788781</t>
        </is>
      </c>
      <c r="E9" s="15" t="inlineStr">
        <is>
          <t>058152052</t>
        </is>
      </c>
      <c r="F9" s="16">
        <f>_xlfn.XLOOKUP(Table13[[#This Row],[Contractor Code]],DLE!A:A,DLE!AB:AB)</f>
        <v>346491.72</v>
      </c>
    </row>
    <row r="10" spans="1:6" ht="13.5" customHeight="1" x14ac:dyDescent="0.25">
      <c r="A10" s="15" t="inlineStr">
        <is>
          <t>C1065</t>
        </is>
      </c>
      <c r="B10" s="15" t="inlineStr">
        <is>
          <t>OGHENERIE VINCENT</t>
        </is>
      </c>
      <c r="C10" s="15" t="inlineStr">
        <is>
          <t>Fidelity Bank Plc</t>
        </is>
      </c>
      <c r="D10" s="15" t="inlineStr">
        <is>
          <t>6050577180</t>
        </is>
      </c>
      <c r="E10" s="15" t="inlineStr">
        <is>
          <t>070150003</t>
        </is>
      </c>
      <c r="F10" s="16">
        <f>_xlfn.XLOOKUP(Table13[[#This Row],[Contractor Code]],DLE!A:A,DLE!AB:AB)</f>
        <v>383730.54</v>
      </c>
    </row>
    <row r="11" spans="1:6" ht="13.5" customHeight="1" x14ac:dyDescent="0.25">
      <c r="A11" s="15" t="inlineStr">
        <is>
          <t>C1078</t>
        </is>
      </c>
      <c r="B11" s="15" t="inlineStr">
        <is>
          <t>LUKPATA MATHIAS</t>
        </is>
      </c>
      <c r="C11" s="15" t="inlineStr">
        <is>
          <t>Fidelity Bank Plc</t>
        </is>
      </c>
      <c r="D11" s="15" t="inlineStr">
        <is>
          <t>6160593533</t>
        </is>
      </c>
      <c r="E11" s="15" t="inlineStr">
        <is>
          <t>070150003</t>
        </is>
      </c>
      <c r="F11" s="16">
        <f>_xlfn.XLOOKUP(Table13[[#This Row],[Contractor Code]],DLE!A:A,DLE!AB:AB)</f>
        <v>356695.31</v>
      </c>
    </row>
    <row r="12" spans="1:6" ht="13.5" customHeight="1" x14ac:dyDescent="0.25">
      <c r="A12" s="15" t="inlineStr">
        <is>
          <t>C1096</t>
        </is>
      </c>
      <c r="B12" s="15" t="inlineStr">
        <is>
          <t>ADEDOYIN DUROJAYE</t>
        </is>
      </c>
      <c r="C12" s="15" t="inlineStr">
        <is>
          <t>Guaranty Trust Bank Plc</t>
        </is>
      </c>
      <c r="D12" s="15" t="inlineStr">
        <is>
          <t>0014252324</t>
        </is>
      </c>
      <c r="E12" s="15" t="inlineStr">
        <is>
          <t>058152052</t>
        </is>
      </c>
      <c r="F12" s="16">
        <f>_xlfn.XLOOKUP(Table13[[#This Row],[Contractor Code]],DLE!A:A,DLE!AB:AB)</f>
        <v>389737.5</v>
      </c>
    </row>
    <row r="13" spans="1:6" ht="13.5" customHeight="1" x14ac:dyDescent="0.25">
      <c r="A13" s="15" t="inlineStr">
        <is>
          <t>C1144</t>
        </is>
      </c>
      <c r="B13" s="15" t="inlineStr">
        <is>
          <t>OGWUA CHRIS</t>
        </is>
      </c>
      <c r="C13" s="15" t="inlineStr">
        <is>
          <t>Fidelity Bank Plc</t>
        </is>
      </c>
      <c r="D13" s="15" t="inlineStr">
        <is>
          <t>6231398469</t>
        </is>
      </c>
      <c r="E13" s="15" t="inlineStr">
        <is>
          <t>070150003</t>
        </is>
      </c>
      <c r="F13" s="16">
        <f>_xlfn.XLOOKUP(Table13[[#This Row],[Contractor Code]],DLE!A:A,DLE!AB:AB)</f>
        <v>40042.5</v>
      </c>
    </row>
    <row r="14" spans="1:6" ht="13.5" customHeight="1" x14ac:dyDescent="0.25">
      <c r="A14" s="15" t="inlineStr">
        <is>
          <t>C1162</t>
        </is>
      </c>
      <c r="B14" s="15" t="inlineStr">
        <is>
          <t>ADEKOYA ADEWALE</t>
        </is>
      </c>
      <c r="C14" s="15" t="inlineStr">
        <is>
          <t>Polaris Bank</t>
        </is>
      </c>
      <c r="D14" s="15" t="inlineStr">
        <is>
          <t>3011580494</t>
        </is>
      </c>
      <c r="E14" s="15" t="inlineStr">
        <is>
          <t>076151006</t>
        </is>
      </c>
      <c r="F14" s="16">
        <f>_xlfn.XLOOKUP(Table13[[#This Row],[Contractor Code]],DLE!A:A,DLE!AB:AB)</f>
        <v>591959.84</v>
      </c>
    </row>
    <row r="15" spans="1:6" ht="13.5" customHeight="1" x14ac:dyDescent="0.25">
      <c r="A15" s="15" t="inlineStr">
        <is>
          <t>C1220</t>
        </is>
      </c>
      <c r="B15" s="15" t="inlineStr">
        <is>
          <t>NWODO DANIEL</t>
        </is>
      </c>
      <c r="C15" s="15" t="inlineStr">
        <is>
          <t>Fidelity Bank Plc</t>
        </is>
      </c>
      <c r="D15" s="15" t="inlineStr">
        <is>
          <t>6017773770</t>
        </is>
      </c>
      <c r="E15" s="15"/>
      <c r="F15" s="16">
        <f>_xlfn.XLOOKUP(Table13[[#This Row],[Contractor Code]],DLE!A:A,DLE!AB:AB)</f>
        <v>332714.95</v>
      </c>
    </row>
    <row r="16" spans="1:6" ht="13.5" customHeight="1" x14ac:dyDescent="0.25">
      <c r="A16" s="15" t="inlineStr">
        <is>
          <t>C1229</t>
        </is>
      </c>
      <c r="B16" s="15" t="inlineStr">
        <is>
          <t>OLAWALE SHITTU</t>
        </is>
      </c>
      <c r="C16" s="15" t="inlineStr">
        <is>
          <t>Guaranty Trust Bank Plc</t>
        </is>
      </c>
      <c r="D16" s="15" t="inlineStr">
        <is>
          <t>0664256978</t>
        </is>
      </c>
      <c r="E16" s="15" t="inlineStr">
        <is>
          <t>058152052</t>
        </is>
      </c>
      <c r="F16" s="16">
        <f>_xlfn.XLOOKUP(Table13[[#This Row],[Contractor Code]],DLE!A:A,DLE!AB:AB)</f>
        <v>56038.12</v>
      </c>
    </row>
    <row r="17" spans="1:6" ht="13.5" customHeight="1" x14ac:dyDescent="0.25">
      <c r="A17" s="15" t="inlineStr">
        <is>
          <t>C1491</t>
        </is>
      </c>
      <c r="B17" s="15" t="inlineStr">
        <is>
          <t>VINCENT NNAMDI</t>
        </is>
      </c>
      <c r="C17" s="15" t="inlineStr">
        <is>
          <t>Fidelity Bank Plc</t>
        </is>
      </c>
      <c r="D17" s="15" t="inlineStr">
        <is>
          <t>4020099542</t>
        </is>
      </c>
      <c r="E17" s="15" t="inlineStr">
        <is>
          <t>070150003</t>
        </is>
      </c>
      <c r="F17" s="16">
        <f>_xlfn.XLOOKUP(Table13[[#This Row],[Contractor Code]],DLE!A:A,DLE!AB:AB)</f>
        <v>294005.71</v>
      </c>
    </row>
    <row r="18" spans="1:6" ht="13.5" customHeight="1" x14ac:dyDescent="0.25">
      <c r="A18" s="15" t="inlineStr">
        <is>
          <t>C1533</t>
        </is>
      </c>
      <c r="B18" s="15" t="inlineStr">
        <is>
          <t>OKEKE VINCENT</t>
        </is>
      </c>
      <c r="C18" s="15" t="inlineStr">
        <is>
          <t>Stanbic IBTC Bank Plc</t>
        </is>
      </c>
      <c r="D18" s="15" t="inlineStr">
        <is>
          <t>0033804939</t>
        </is>
      </c>
      <c r="E18" s="15" t="inlineStr">
        <is>
          <t>221150014</t>
        </is>
      </c>
      <c r="F18" s="16">
        <f>_xlfn.XLOOKUP(Table13[[#This Row],[Contractor Code]],DLE!A:A,DLE!AB:AB)</f>
        <v>420755</v>
      </c>
    </row>
    <row r="19" spans="1:6" ht="13.5" customHeight="1" x14ac:dyDescent="0.25">
      <c r="A19" s="15" t="inlineStr">
        <is>
          <t>C1544</t>
        </is>
      </c>
      <c r="B19" s="15" t="inlineStr">
        <is>
          <t>ADENIYI JOSEPH</t>
        </is>
      </c>
      <c r="C19" s="15" t="inlineStr">
        <is>
          <t>United Bank for Africa Plc</t>
        </is>
      </c>
      <c r="D19" s="15" t="inlineStr">
        <is>
          <t>2188685084</t>
        </is>
      </c>
      <c r="E19" s="15" t="inlineStr">
        <is>
          <t>033150011</t>
        </is>
      </c>
      <c r="F19" s="16">
        <f>_xlfn.XLOOKUP(Table13[[#This Row],[Contractor Code]],DLE!A:A,DLE!AB:AB)</f>
        <v>234084.75</v>
      </c>
    </row>
    <row r="20" spans="1:6" ht="13.5" customHeight="1" x14ac:dyDescent="0.25">
      <c r="A20" s="15" t="inlineStr">
        <is>
          <t>C1607</t>
        </is>
      </c>
      <c r="B20" s="15" t="inlineStr">
        <is>
          <t>OJIKA CHUKWUDUMEBI</t>
        </is>
      </c>
      <c r="C20" s="15" t="inlineStr">
        <is>
          <t>Zenith Bank Plc</t>
        </is>
      </c>
      <c r="D20" s="15" t="inlineStr">
        <is>
          <t>2088853873</t>
        </is>
      </c>
      <c r="E20" s="15" t="inlineStr">
        <is>
          <t>057150013</t>
        </is>
      </c>
      <c r="F20" s="16">
        <f>_xlfn.XLOOKUP(Table13[[#This Row],[Contractor Code]],DLE!A:A,DLE!AB:AB)</f>
        <v>344392.81</v>
      </c>
    </row>
    <row r="21" spans="1:6" ht="13.5" customHeight="1" x14ac:dyDescent="0.25">
      <c r="A21" s="15" t="inlineStr">
        <is>
          <t>C1612</t>
        </is>
      </c>
      <c r="B21" s="15" t="inlineStr">
        <is>
          <t>MBAMARA RICHARD</t>
        </is>
      </c>
      <c r="C21" s="15" t="inlineStr">
        <is>
          <t>Fidelity Bank Plc</t>
        </is>
      </c>
      <c r="D21" s="15" t="inlineStr">
        <is>
          <t>6237537987</t>
        </is>
      </c>
      <c r="E21" s="15" t="inlineStr">
        <is>
          <t>070150003</t>
        </is>
      </c>
      <c r="F21" s="16">
        <f>_xlfn.XLOOKUP(Table13[[#This Row],[Contractor Code]],DLE!A:A,DLE!AB:AB)</f>
        <v>397670</v>
      </c>
    </row>
    <row r="22" spans="1:6" ht="13.5" customHeight="1" x14ac:dyDescent="0.25">
      <c r="A22" s="15" t="inlineStr">
        <is>
          <t>C1686</t>
        </is>
      </c>
      <c r="B22" s="15" t="inlineStr">
        <is>
          <t>FRED MICAH</t>
        </is>
      </c>
      <c r="C22" s="15" t="inlineStr">
        <is>
          <t>Zenith Bank Plc</t>
        </is>
      </c>
      <c r="D22" s="15" t="inlineStr">
        <is>
          <t>2003154957</t>
        </is>
      </c>
      <c r="E22" s="15" t="inlineStr">
        <is>
          <t>057150013</t>
        </is>
      </c>
      <c r="F22" s="16">
        <f>_xlfn.XLOOKUP(Table13[[#This Row],[Contractor Code]],DLE!A:A,DLE!AB:AB)</f>
        <v>71392.5</v>
      </c>
    </row>
    <row r="23" spans="1:6" ht="13.5" customHeight="1" x14ac:dyDescent="0.25">
      <c r="A23" s="15" t="inlineStr">
        <is>
          <t>C1705</t>
        </is>
      </c>
      <c r="B23" s="15" t="inlineStr">
        <is>
          <t>ROTIMI MATTHEW</t>
        </is>
      </c>
      <c r="C23" s="15" t="inlineStr">
        <is>
          <t>Guaranty Trust Bank Plc</t>
        </is>
      </c>
      <c r="D23" s="15" t="inlineStr">
        <is>
          <t>0212808307</t>
        </is>
      </c>
      <c r="E23" s="15" t="inlineStr">
        <is>
          <t>058152052</t>
        </is>
      </c>
      <c r="F23" s="16">
        <f>_xlfn.XLOOKUP(Table13[[#This Row],[Contractor Code]],DLE!A:A,DLE!AB:AB)</f>
        <v>311837.5</v>
      </c>
    </row>
    <row r="24" spans="1:6" ht="13.5" customHeight="1" x14ac:dyDescent="0.25">
      <c r="A24" s="15" t="inlineStr">
        <is>
          <t>C1720</t>
        </is>
      </c>
      <c r="B24" s="15" t="inlineStr">
        <is>
          <t>RAYMOND ADANOU</t>
        </is>
      </c>
      <c r="C24" s="15" t="inlineStr">
        <is>
          <t>Fidelity Bank Plc</t>
        </is>
      </c>
      <c r="D24" s="15" t="inlineStr">
        <is>
          <t>6050576451</t>
        </is>
      </c>
      <c r="E24" s="15" t="inlineStr">
        <is>
          <t>070150003</t>
        </is>
      </c>
      <c r="F24" s="16">
        <f>_xlfn.XLOOKUP(Table13[[#This Row],[Contractor Code]],DLE!A:A,DLE!AB:AB)</f>
        <v>346165.16</v>
      </c>
    </row>
    <row r="25" spans="1:6" ht="13.5" customHeight="1" x14ac:dyDescent="0.25">
      <c r="A25" s="15" t="inlineStr">
        <is>
          <t>C1728</t>
        </is>
      </c>
      <c r="B25" s="15" t="inlineStr">
        <is>
          <t>IBRAHIM MOHAMMED</t>
        </is>
      </c>
      <c r="C25" s="15" t="inlineStr">
        <is>
          <t>Guaranty Trust Bank Plc</t>
        </is>
      </c>
      <c r="D25" s="15" t="inlineStr">
        <is>
          <t>0026316672</t>
        </is>
      </c>
      <c r="E25" s="15" t="inlineStr">
        <is>
          <t>058152052</t>
        </is>
      </c>
      <c r="F25" s="16">
        <f>_xlfn.XLOOKUP(Table13[[#This Row],[Contractor Code]],DLE!A:A,DLE!AB:AB)</f>
        <v>328937.5</v>
      </c>
    </row>
    <row r="26" spans="1:6" ht="13.5" customHeight="1" x14ac:dyDescent="0.25">
      <c r="A26" s="15" t="inlineStr">
        <is>
          <t>C1736</t>
        </is>
      </c>
      <c r="B26" s="15" t="inlineStr">
        <is>
          <t>JEROME MICHAEL</t>
        </is>
      </c>
      <c r="C26" s="15" t="inlineStr">
        <is>
          <t>Skye Bank</t>
        </is>
      </c>
      <c r="D26" s="15" t="inlineStr">
        <is>
          <t>1762982279</t>
        </is>
      </c>
      <c r="E26" s="15" t="inlineStr">
        <is>
          <t>076151006</t>
        </is>
      </c>
      <c r="F26" s="16">
        <f>_xlfn.XLOOKUP(Table13[[#This Row],[Contractor Code]],DLE!A:A,DLE!AB:AB)</f>
        <v>405608.44</v>
      </c>
    </row>
    <row r="27" spans="1:6" ht="13.5" customHeight="1" x14ac:dyDescent="0.25">
      <c r="A27" s="15" t="inlineStr">
        <is>
          <t>C1771</t>
        </is>
      </c>
      <c r="B27" s="15" t="inlineStr">
        <is>
          <t>BADEJO KEHINDE</t>
        </is>
      </c>
      <c r="C27" s="15" t="inlineStr">
        <is>
          <t>Fidelity Bank Plc</t>
        </is>
      </c>
      <c r="D27" s="15" t="inlineStr">
        <is>
          <t>6018734020</t>
        </is>
      </c>
      <c r="E27" s="15" t="inlineStr">
        <is>
          <t>070150003</t>
        </is>
      </c>
      <c r="F27" s="16">
        <f>_xlfn.XLOOKUP(Table13[[#This Row],[Contractor Code]],DLE!A:A,DLE!AB:AB)</f>
        <v>362888.12</v>
      </c>
    </row>
    <row r="28" spans="1:6" ht="13.5" customHeight="1" x14ac:dyDescent="0.25">
      <c r="A28" s="15" t="inlineStr">
        <is>
          <t>C1772</t>
        </is>
      </c>
      <c r="B28" s="15" t="inlineStr">
        <is>
          <t>GANIYU IDOWU</t>
        </is>
      </c>
      <c r="C28" s="15" t="inlineStr">
        <is>
          <t>Access Bank Plc</t>
        </is>
      </c>
      <c r="D28" s="15" t="inlineStr">
        <is>
          <t>1569397211</t>
        </is>
      </c>
      <c r="E28" s="15" t="inlineStr">
        <is>
          <t>044150149</t>
        </is>
      </c>
      <c r="F28" s="16">
        <f>_xlfn.XLOOKUP(Table13[[#This Row],[Contractor Code]],DLE!A:A,DLE!AB:AB)</f>
        <v>372257.5</v>
      </c>
    </row>
    <row r="29" spans="1:6" ht="13.5" customHeight="1" x14ac:dyDescent="0.25">
      <c r="A29" s="15" t="inlineStr">
        <is>
          <t>C1775</t>
        </is>
      </c>
      <c r="B29" s="15" t="inlineStr">
        <is>
          <t>BASHRU MOMODU</t>
        </is>
      </c>
      <c r="C29" s="15" t="inlineStr">
        <is>
          <t>Guaranty Trust Bank Plc</t>
        </is>
      </c>
      <c r="D29" s="15" t="inlineStr">
        <is>
          <t>0529092048</t>
        </is>
      </c>
      <c r="E29" s="15" t="inlineStr">
        <is>
          <t>058152052</t>
        </is>
      </c>
      <c r="F29" s="16">
        <f>_xlfn.XLOOKUP(Table13[[#This Row],[Contractor Code]],DLE!A:A,DLE!AB:AB)</f>
        <v>294796.87</v>
      </c>
    </row>
    <row r="30" spans="1:6" ht="13.5" customHeight="1" x14ac:dyDescent="0.25">
      <c r="A30" s="15" t="inlineStr">
        <is>
          <t>C1779</t>
        </is>
      </c>
      <c r="B30" s="15" t="inlineStr">
        <is>
          <t>EBUNO KENNEDY</t>
        </is>
      </c>
      <c r="C30" s="15" t="inlineStr">
        <is>
          <t>Fidelity Bank Plc</t>
        </is>
      </c>
      <c r="D30" s="15" t="inlineStr">
        <is>
          <t>6050582735</t>
        </is>
      </c>
      <c r="E30" s="15" t="inlineStr">
        <is>
          <t>070150003</t>
        </is>
      </c>
      <c r="F30" s="16">
        <f>_xlfn.XLOOKUP(Table13[[#This Row],[Contractor Code]],DLE!A:A,DLE!AB:AB)</f>
        <v>575076.56</v>
      </c>
    </row>
    <row r="31" spans="1:6" ht="13.5" customHeight="1" x14ac:dyDescent="0.25">
      <c r="A31" s="15" t="inlineStr">
        <is>
          <t>C1783</t>
        </is>
      </c>
      <c r="B31" s="15" t="inlineStr">
        <is>
          <t>DARAMOLA OLUGBENGA</t>
        </is>
      </c>
      <c r="C31" s="15" t="inlineStr">
        <is>
          <t>Skye Bank</t>
        </is>
      </c>
      <c r="D31" s="15" t="inlineStr">
        <is>
          <t>1120638260</t>
        </is>
      </c>
      <c r="E31" s="15" t="inlineStr">
        <is>
          <t>076151006</t>
        </is>
      </c>
      <c r="F31" s="16">
        <f>_xlfn.XLOOKUP(Table13[[#This Row],[Contractor Code]],DLE!A:A,DLE!AB:AB)</f>
        <v>363683.75</v>
      </c>
    </row>
    <row r="32" spans="1:6" ht="13.5" customHeight="1" x14ac:dyDescent="0.25">
      <c r="A32" s="15" t="inlineStr">
        <is>
          <t>C1788</t>
        </is>
      </c>
      <c r="B32" s="15" t="inlineStr">
        <is>
          <t>SAMUEL JONAH EMEWU</t>
        </is>
      </c>
      <c r="C32" s="15" t="inlineStr">
        <is>
          <t>Polaris Bank</t>
        </is>
      </c>
      <c r="D32" s="15" t="inlineStr">
        <is>
          <t>1120728895</t>
        </is>
      </c>
      <c r="E32" s="15" t="inlineStr">
        <is>
          <t>076151006</t>
        </is>
      </c>
      <c r="F32" s="16">
        <f>_xlfn.XLOOKUP(Table13[[#This Row],[Contractor Code]],DLE!A:A,DLE!AB:AB)</f>
        <v>371692.25</v>
      </c>
    </row>
    <row r="33" spans="1:6" ht="13.5" customHeight="1" x14ac:dyDescent="0.25">
      <c r="A33" s="15" t="inlineStr">
        <is>
          <t>C1789</t>
        </is>
      </c>
      <c r="B33" s="15" t="inlineStr">
        <is>
          <t>MBOCHI MONDAY</t>
        </is>
      </c>
      <c r="C33" s="15" t="inlineStr">
        <is>
          <t>Fidelity Bank Plc</t>
        </is>
      </c>
      <c r="D33" s="15" t="inlineStr">
        <is>
          <t>6050583110</t>
        </is>
      </c>
      <c r="E33" s="15" t="inlineStr">
        <is>
          <t>070150003</t>
        </is>
      </c>
      <c r="F33" s="16">
        <f>_xlfn.XLOOKUP(Table13[[#This Row],[Contractor Code]],DLE!A:A,DLE!AB:AB)</f>
        <v>217360</v>
      </c>
    </row>
    <row r="34" spans="1:6" ht="13.5" customHeight="1" x14ac:dyDescent="0.25">
      <c r="A34" s="15" t="inlineStr">
        <is>
          <t>C1793</t>
        </is>
      </c>
      <c r="B34" s="15" t="inlineStr">
        <is>
          <t>ITORO SAVIOUR UDO</t>
        </is>
      </c>
      <c r="C34" s="15" t="inlineStr">
        <is>
          <t>United Bank for Africa Plc</t>
        </is>
      </c>
      <c r="D34" s="15" t="inlineStr">
        <is>
          <t>2394529051</t>
        </is>
      </c>
      <c r="E34" s="15" t="inlineStr">
        <is>
          <t>033150011</t>
        </is>
      </c>
      <c r="F34" s="16">
        <f>_xlfn.XLOOKUP(Table13[[#This Row],[Contractor Code]],DLE!A:A,DLE!AB:AB)</f>
        <v>401942.62</v>
      </c>
    </row>
    <row r="35" spans="1:6" ht="13.5" customHeight="1" x14ac:dyDescent="0.25">
      <c r="A35" s="15" t="inlineStr">
        <is>
          <t>C1804</t>
        </is>
      </c>
      <c r="B35" s="15" t="inlineStr">
        <is>
          <t>KALU UMA</t>
        </is>
      </c>
      <c r="C35" s="15" t="inlineStr">
        <is>
          <t>Fidelity Bank Plc</t>
        </is>
      </c>
      <c r="D35" s="15" t="inlineStr">
        <is>
          <t>5330087207</t>
        </is>
      </c>
      <c r="E35" s="15" t="inlineStr">
        <is>
          <t>070150003</t>
        </is>
      </c>
      <c r="F35" s="16">
        <f>_xlfn.XLOOKUP(Table13[[#This Row],[Contractor Code]],DLE!A:A,DLE!AB:AB)</f>
        <v>302100</v>
      </c>
    </row>
    <row r="36" spans="1:6" ht="13.5" customHeight="1" x14ac:dyDescent="0.25">
      <c r="A36" s="15" t="inlineStr">
        <is>
          <t>C1820</t>
        </is>
      </c>
      <c r="B36" s="15" t="inlineStr">
        <is>
          <t>OKORO SUNDAY</t>
        </is>
      </c>
      <c r="C36" s="15" t="inlineStr">
        <is>
          <t>Guaranty Trust Bank Plc</t>
        </is>
      </c>
      <c r="D36" s="15" t="inlineStr">
        <is>
          <t>0005790172</t>
        </is>
      </c>
      <c r="E36" s="15" t="inlineStr">
        <is>
          <t>058152052</t>
        </is>
      </c>
      <c r="F36" s="16">
        <f>_xlfn.XLOOKUP(Table13[[#This Row],[Contractor Code]],DLE!A:A,DLE!AB:AB)</f>
        <v>368355.37</v>
      </c>
    </row>
    <row r="37" spans="1:6" ht="13.5" customHeight="1" x14ac:dyDescent="0.25">
      <c r="A37" s="15" t="inlineStr">
        <is>
          <t>C1823</t>
        </is>
      </c>
      <c r="B37" s="15" t="inlineStr">
        <is>
          <t>EGBUJOR MATTHEW</t>
        </is>
      </c>
      <c r="C37" s="15" t="inlineStr">
        <is>
          <t>Fidelity Bank Plc</t>
        </is>
      </c>
      <c r="D37" s="15" t="inlineStr">
        <is>
          <t>6050576224</t>
        </is>
      </c>
      <c r="E37" s="15" t="inlineStr">
        <is>
          <t>070150003</t>
        </is>
      </c>
      <c r="F37" s="16">
        <f>_xlfn.XLOOKUP(Table13[[#This Row],[Contractor Code]],DLE!A:A,DLE!AB:AB)</f>
        <v>281894.69</v>
      </c>
    </row>
    <row r="38" spans="1:6" ht="13.5" customHeight="1" x14ac:dyDescent="0.25">
      <c r="A38" s="15" t="inlineStr">
        <is>
          <t>C1824</t>
        </is>
      </c>
      <c r="B38" s="15" t="inlineStr">
        <is>
          <t>ADAOWO ALPHONSUS</t>
        </is>
      </c>
      <c r="C38" s="15" t="inlineStr">
        <is>
          <t>Fidelity Bank Plc</t>
        </is>
      </c>
      <c r="D38" s="15" t="inlineStr">
        <is>
          <t>6050582041</t>
        </is>
      </c>
      <c r="E38" s="15" t="inlineStr">
        <is>
          <t>070150003</t>
        </is>
      </c>
      <c r="F38" s="16">
        <f>_xlfn.XLOOKUP(Table13[[#This Row],[Contractor Code]],DLE!A:A,DLE!AB:AB)</f>
        <v>357035.54</v>
      </c>
    </row>
    <row r="39" spans="1:6" ht="13.5" customHeight="1" x14ac:dyDescent="0.25">
      <c r="A39" s="15" t="inlineStr">
        <is>
          <t>C1840</t>
        </is>
      </c>
      <c r="B39" s="15" t="inlineStr">
        <is>
          <t>ISINGUZO FRIDAY</t>
        </is>
      </c>
      <c r="C39" s="15" t="inlineStr">
        <is>
          <t>Fidelity Bank Plc</t>
        </is>
      </c>
      <c r="D39" s="15" t="inlineStr">
        <is>
          <t>6050576516</t>
        </is>
      </c>
      <c r="E39" s="15" t="inlineStr">
        <is>
          <t>070150003</t>
        </is>
      </c>
      <c r="F39" s="16">
        <f>_xlfn.XLOOKUP(Table13[[#This Row],[Contractor Code]],DLE!A:A,DLE!AB:AB)</f>
        <v>287372.04</v>
      </c>
    </row>
    <row r="40" spans="1:6" ht="13.5" customHeight="1" x14ac:dyDescent="0.25">
      <c r="A40" s="15" t="inlineStr">
        <is>
          <t>C1849</t>
        </is>
      </c>
      <c r="B40" s="15" t="inlineStr">
        <is>
          <t>OKORIE SUCCESS JAMES</t>
        </is>
      </c>
      <c r="C40" s="15" t="inlineStr">
        <is>
          <t>Fidelity Bank Plc</t>
        </is>
      </c>
      <c r="D40" s="15" t="inlineStr">
        <is>
          <t>6230277554</t>
        </is>
      </c>
      <c r="E40" s="15" t="inlineStr">
        <is>
          <t>070150003</t>
        </is>
      </c>
      <c r="F40" s="16">
        <f>_xlfn.XLOOKUP(Table13[[#This Row],[Contractor Code]],DLE!A:A,DLE!AB:AB)</f>
        <v>231075.62</v>
      </c>
    </row>
    <row r="41" spans="1:6" ht="13.5" customHeight="1" x14ac:dyDescent="0.25">
      <c r="A41" s="15" t="inlineStr">
        <is>
          <t>C1870</t>
        </is>
      </c>
      <c r="B41" s="15" t="inlineStr">
        <is>
          <t>OHIEMBOR JOHN</t>
        </is>
      </c>
      <c r="C41" s="15" t="inlineStr">
        <is>
          <t>Guaranty Trust Bank Plc</t>
        </is>
      </c>
      <c r="D41" s="15" t="inlineStr">
        <is>
          <t>0161014864</t>
        </is>
      </c>
      <c r="E41" s="15" t="inlineStr">
        <is>
          <t>058152052</t>
        </is>
      </c>
      <c r="F41" s="16">
        <f>_xlfn.XLOOKUP(Table13[[#This Row],[Contractor Code]],DLE!A:A,DLE!AB:AB)</f>
        <v>440895</v>
      </c>
    </row>
    <row r="42" spans="1:6" ht="13.5" customHeight="1" x14ac:dyDescent="0.25">
      <c r="A42" s="15" t="inlineStr">
        <is>
          <t>C1882</t>
        </is>
      </c>
      <c r="B42" s="15" t="inlineStr">
        <is>
          <t>MOHAMMED MOMOH</t>
        </is>
      </c>
      <c r="C42" s="15" t="inlineStr">
        <is>
          <t>First Bank of Nigeria Limited</t>
        </is>
      </c>
      <c r="D42" s="15" t="inlineStr">
        <is>
          <t>2011119362</t>
        </is>
      </c>
      <c r="E42" s="15" t="inlineStr">
        <is>
          <t>011151003</t>
        </is>
      </c>
      <c r="F42" s="16">
        <f>_xlfn.XLOOKUP(Table13[[#This Row],[Contractor Code]],DLE!A:A,DLE!AB:AB)</f>
        <v>572014</v>
      </c>
    </row>
    <row r="43" spans="1:6" ht="13.5" customHeight="1" x14ac:dyDescent="0.25">
      <c r="A43" s="15" t="inlineStr">
        <is>
          <t>C1883</t>
        </is>
      </c>
      <c r="B43" s="15" t="inlineStr">
        <is>
          <t>YAYA BELLO</t>
        </is>
      </c>
      <c r="C43" s="15" t="inlineStr">
        <is>
          <t>Fidelity Bank Plc</t>
        </is>
      </c>
      <c r="D43" s="15" t="inlineStr">
        <is>
          <t>6010218638</t>
        </is>
      </c>
      <c r="E43" s="15" t="inlineStr">
        <is>
          <t>070150003</t>
        </is>
      </c>
      <c r="F43" s="16">
        <f>_xlfn.XLOOKUP(Table13[[#This Row],[Contractor Code]],DLE!A:A,DLE!AB:AB)</f>
        <v>177575.79</v>
      </c>
    </row>
    <row r="44" spans="1:6" ht="13.5" customHeight="1" x14ac:dyDescent="0.25">
      <c r="A44" s="15" t="inlineStr">
        <is>
          <t>C1888</t>
        </is>
      </c>
      <c r="B44" s="15" t="inlineStr">
        <is>
          <t>YEKINI OLATUNJI</t>
        </is>
      </c>
      <c r="C44" s="15" t="inlineStr">
        <is>
          <t>Zenith Bank Plc</t>
        </is>
      </c>
      <c r="D44" s="15" t="inlineStr">
        <is>
          <t>2087765843</t>
        </is>
      </c>
      <c r="E44" s="15" t="inlineStr">
        <is>
          <t>057150013</t>
        </is>
      </c>
      <c r="F44" s="16">
        <f>_xlfn.XLOOKUP(Table13[[#This Row],[Contractor Code]],DLE!A:A,DLE!AB:AB)</f>
        <v>411557.81</v>
      </c>
    </row>
    <row r="45" spans="1:6" ht="13.5" customHeight="1" x14ac:dyDescent="0.25">
      <c r="A45" s="15" t="inlineStr">
        <is>
          <t>C1920</t>
        </is>
      </c>
      <c r="B45" s="15" t="inlineStr">
        <is>
          <t>LATEEF AZEEZ</t>
        </is>
      </c>
      <c r="C45" s="15" t="inlineStr">
        <is>
          <t>Guaranty Trust Bank Plc</t>
        </is>
      </c>
      <c r="D45" s="15" t="inlineStr">
        <is>
          <t>0158086137</t>
        </is>
      </c>
      <c r="E45" s="15" t="inlineStr">
        <is>
          <t>058152052</t>
        </is>
      </c>
      <c r="F45" s="16">
        <f>_xlfn.XLOOKUP(Table13[[#This Row],[Contractor Code]],DLE!A:A,DLE!AB:AB)</f>
        <v>448144.69</v>
      </c>
    </row>
    <row r="46" spans="1:6" ht="13.5" customHeight="1" x14ac:dyDescent="0.25">
      <c r="A46" s="15" t="inlineStr">
        <is>
          <t>C1926</t>
        </is>
      </c>
      <c r="B46" s="15" t="inlineStr">
        <is>
          <t>NGOZIKA NZEDURU</t>
        </is>
      </c>
      <c r="C46" s="15" t="inlineStr">
        <is>
          <t>Guaranty Trust Bank Plc</t>
        </is>
      </c>
      <c r="D46" s="15" t="inlineStr">
        <is>
          <t>0866418255</t>
        </is>
      </c>
      <c r="E46" s="15" t="inlineStr">
        <is>
          <t>058152052</t>
        </is>
      </c>
      <c r="F46" s="16">
        <f>_xlfn.XLOOKUP(Table13[[#This Row],[Contractor Code]],DLE!A:A,DLE!AB:AB)</f>
        <v>400977.19</v>
      </c>
    </row>
    <row r="47" spans="1:6" ht="13.5" customHeight="1" x14ac:dyDescent="0.25">
      <c r="A47" s="15" t="inlineStr">
        <is>
          <t>C1931</t>
        </is>
      </c>
      <c r="B47" s="15" t="inlineStr">
        <is>
          <t>ABIODUN EZEKIEL</t>
        </is>
      </c>
      <c r="C47" s="15" t="inlineStr">
        <is>
          <t>First Bank of Nigeria Limited</t>
        </is>
      </c>
      <c r="D47" s="15" t="inlineStr">
        <is>
          <t>3030040677</t>
        </is>
      </c>
      <c r="E47" s="15" t="inlineStr">
        <is>
          <t>011151003</t>
        </is>
      </c>
      <c r="F47" s="16">
        <f>_xlfn.XLOOKUP(Table13[[#This Row],[Contractor Code]],DLE!A:A,DLE!AB:AB)</f>
        <v>306731.25</v>
      </c>
    </row>
    <row r="48" spans="1:6" ht="13.5" customHeight="1" x14ac:dyDescent="0.25">
      <c r="A48" s="15" t="inlineStr">
        <is>
          <t>C1933</t>
        </is>
      </c>
      <c r="B48" s="15" t="inlineStr">
        <is>
          <t>ADESEYE TAJUDEEN</t>
        </is>
      </c>
      <c r="C48" s="15" t="inlineStr">
        <is>
          <t>Guaranty Trust Bank Plc</t>
        </is>
      </c>
      <c r="D48" s="15" t="inlineStr">
        <is>
          <t>0617100383</t>
        </is>
      </c>
      <c r="E48" s="15" t="inlineStr">
        <is>
          <t>058152052</t>
        </is>
      </c>
      <c r="F48" s="16">
        <f>_xlfn.XLOOKUP(Table13[[#This Row],[Contractor Code]],DLE!A:A,DLE!AB:AB)</f>
        <v>306731.25</v>
      </c>
    </row>
    <row r="49" spans="1:6" ht="13.5" customHeight="1" x14ac:dyDescent="0.25">
      <c r="A49" s="15" t="inlineStr">
        <is>
          <t>C1938</t>
        </is>
      </c>
      <c r="B49" s="15" t="inlineStr">
        <is>
          <t>ONYEMERI ABRAHAM</t>
        </is>
      </c>
      <c r="C49" s="15" t="inlineStr">
        <is>
          <t>Fidelity Bank Plc</t>
        </is>
      </c>
      <c r="D49" s="15" t="inlineStr">
        <is>
          <t>6050571047</t>
        </is>
      </c>
      <c r="E49" s="15" t="inlineStr">
        <is>
          <t>070150003</t>
        </is>
      </c>
      <c r="F49" s="16">
        <f>_xlfn.XLOOKUP(Table13[[#This Row],[Contractor Code]],DLE!A:A,DLE!AB:AB)</f>
        <v>514799.06</v>
      </c>
    </row>
    <row r="50" spans="1:6" ht="13.5" customHeight="1" x14ac:dyDescent="0.25">
      <c r="A50" s="15" t="inlineStr">
        <is>
          <t>C1954</t>
        </is>
      </c>
      <c r="B50" s="15" t="inlineStr">
        <is>
          <t>AKPAN KUFREOBONG</t>
        </is>
      </c>
      <c r="C50" s="15" t="inlineStr">
        <is>
          <t>Access Bank Plc</t>
        </is>
      </c>
      <c r="D50" s="15" t="inlineStr">
        <is>
          <t>0032045417</t>
        </is>
      </c>
      <c r="E50" s="15" t="inlineStr">
        <is>
          <t>044150149</t>
        </is>
      </c>
      <c r="F50" s="16">
        <f>_xlfn.XLOOKUP(Table13[[#This Row],[Contractor Code]],DLE!A:A,DLE!AB:AB)</f>
        <v>401300.79</v>
      </c>
    </row>
    <row r="51" spans="1:6" ht="13.5" customHeight="1" x14ac:dyDescent="0.25">
      <c r="A51" s="15" t="inlineStr">
        <is>
          <t>C1955</t>
        </is>
      </c>
      <c r="B51" s="15" t="inlineStr">
        <is>
          <t>OKERE AIYEDE</t>
        </is>
      </c>
      <c r="C51" s="15" t="inlineStr">
        <is>
          <t>Stanbic IBTC Bank Plc</t>
        </is>
      </c>
      <c r="D51" s="15" t="inlineStr">
        <is>
          <t>0050434986</t>
        </is>
      </c>
      <c r="E51" s="15" t="inlineStr">
        <is>
          <t>221150014</t>
        </is>
      </c>
      <c r="F51" s="16">
        <f>_xlfn.XLOOKUP(Table13[[#This Row],[Contractor Code]],DLE!A:A,DLE!AB:AB)</f>
        <v>328866.25</v>
      </c>
    </row>
    <row r="52" spans="1:6" ht="13.5" customHeight="1" x14ac:dyDescent="0.25">
      <c r="A52" s="15" t="inlineStr">
        <is>
          <t>C1966</t>
        </is>
      </c>
      <c r="B52" s="15" t="inlineStr">
        <is>
          <t>BELLO ADEMOLA</t>
        </is>
      </c>
      <c r="C52" s="15" t="inlineStr">
        <is>
          <t>Guaranty Trust Bank Plc</t>
        </is>
      </c>
      <c r="D52" s="15" t="inlineStr">
        <is>
          <t>0867442055</t>
        </is>
      </c>
      <c r="E52" s="15" t="inlineStr">
        <is>
          <t>058152052</t>
        </is>
      </c>
      <c r="F52" s="16">
        <f>_xlfn.XLOOKUP(Table13[[#This Row],[Contractor Code]],DLE!A:A,DLE!AB:AB)</f>
        <v>365230.47</v>
      </c>
    </row>
    <row r="53" spans="1:6" ht="13.5" customHeight="1" x14ac:dyDescent="0.25">
      <c r="A53" s="15" t="inlineStr">
        <is>
          <t>C1967</t>
        </is>
      </c>
      <c r="B53" s="15" t="inlineStr">
        <is>
          <t>ADESUGBA SUNDAY</t>
        </is>
      </c>
      <c r="C53" s="15" t="inlineStr">
        <is>
          <t>Zenith Bank Plc</t>
        </is>
      </c>
      <c r="D53" s="15" t="inlineStr">
        <is>
          <t>2394961798</t>
        </is>
      </c>
      <c r="E53" s="15" t="inlineStr">
        <is>
          <t>057150013</t>
        </is>
      </c>
      <c r="F53" s="16">
        <f>_xlfn.XLOOKUP(Table13[[#This Row],[Contractor Code]],DLE!A:A,DLE!AB:AB)</f>
        <v>373819.07</v>
      </c>
    </row>
    <row r="54" spans="1:6" ht="13.5" customHeight="1" x14ac:dyDescent="0.25">
      <c r="A54" s="15" t="inlineStr">
        <is>
          <t>C1975</t>
        </is>
      </c>
      <c r="B54" s="15" t="inlineStr">
        <is>
          <t>AKINNIFESI TOYIN</t>
        </is>
      </c>
      <c r="C54" s="15" t="inlineStr">
        <is>
          <t>Guaranty Trust Bank Plc</t>
        </is>
      </c>
      <c r="D54" s="15" t="inlineStr">
        <is>
          <t>0012647155</t>
        </is>
      </c>
      <c r="E54" s="15" t="inlineStr">
        <is>
          <t>058152052</t>
        </is>
      </c>
      <c r="F54" s="16">
        <f>_xlfn.XLOOKUP(Table13[[#This Row],[Contractor Code]],DLE!A:A,DLE!AB:AB)</f>
        <v>302830.31</v>
      </c>
    </row>
    <row r="55" spans="1:6" ht="13.5" customHeight="1" x14ac:dyDescent="0.25">
      <c r="A55" s="15" t="inlineStr">
        <is>
          <t>C1979</t>
        </is>
      </c>
      <c r="B55" s="15" t="inlineStr">
        <is>
          <t>WAHABI YUSUF</t>
        </is>
      </c>
      <c r="C55" s="15" t="inlineStr">
        <is>
          <t>Fidelity Bank Plc</t>
        </is>
      </c>
      <c r="D55" s="15" t="inlineStr">
        <is>
          <t>4020103186</t>
        </is>
      </c>
      <c r="E55" s="15" t="inlineStr">
        <is>
          <t>070150003</t>
        </is>
      </c>
      <c r="F55" s="16">
        <f>_xlfn.XLOOKUP(Table13[[#This Row],[Contractor Code]],DLE!A:A,DLE!AB:AB)</f>
        <v>335572.66</v>
      </c>
    </row>
    <row r="56" spans="1:6" ht="13.5" customHeight="1" x14ac:dyDescent="0.25">
      <c r="A56" s="15" t="inlineStr">
        <is>
          <t>C1982</t>
        </is>
      </c>
      <c r="B56" s="15" t="inlineStr">
        <is>
          <t>BUSARI WASIU</t>
        </is>
      </c>
      <c r="C56" s="15" t="inlineStr">
        <is>
          <t>Guaranty Trust Bank Plc</t>
        </is>
      </c>
      <c r="D56" s="15" t="inlineStr">
        <is>
          <t>0140792282</t>
        </is>
      </c>
      <c r="E56" s="15" t="inlineStr">
        <is>
          <t>058152052</t>
        </is>
      </c>
      <c r="F56" s="16">
        <f>_xlfn.XLOOKUP(Table13[[#This Row],[Contractor Code]],DLE!A:A,DLE!AB:AB)</f>
        <v>332621.72</v>
      </c>
    </row>
    <row r="57" spans="1:6" ht="13.5" customHeight="1" x14ac:dyDescent="0.25">
      <c r="A57" s="15" t="inlineStr">
        <is>
          <t>C1983</t>
        </is>
      </c>
      <c r="B57" s="15" t="inlineStr">
        <is>
          <t>EBEYE EMEKA</t>
        </is>
      </c>
      <c r="C57" s="15" t="inlineStr">
        <is>
          <t>Ecobank Nigeria</t>
        </is>
      </c>
      <c r="D57" s="15" t="inlineStr">
        <is>
          <t>0810054009</t>
        </is>
      </c>
      <c r="E57" s="15" t="inlineStr">
        <is>
          <t>050150311</t>
        </is>
      </c>
      <c r="F57" s="16">
        <f>_xlfn.XLOOKUP(Table13[[#This Row],[Contractor Code]],DLE!A:A,DLE!AB:AB)</f>
        <v>321114.85</v>
      </c>
    </row>
    <row r="58" spans="1:6" ht="13.5" customHeight="1" x14ac:dyDescent="0.25">
      <c r="A58" s="15" t="inlineStr">
        <is>
          <t>C1989</t>
        </is>
      </c>
      <c r="B58" s="15" t="inlineStr">
        <is>
          <t>SADIQ OLAWALE</t>
        </is>
      </c>
      <c r="C58" s="15" t="inlineStr">
        <is>
          <t>First City Monument Bank Limited</t>
        </is>
      </c>
      <c r="D58" s="15" t="inlineStr">
        <is>
          <t>0380660017</t>
        </is>
      </c>
      <c r="E58" s="15" t="inlineStr">
        <is>
          <t>214150018</t>
        </is>
      </c>
      <c r="F58" s="16">
        <f>_xlfn.XLOOKUP(Table13[[#This Row],[Contractor Code]],DLE!A:A,DLE!AB:AB)</f>
        <v>287755</v>
      </c>
    </row>
    <row r="59" spans="1:6" ht="13.5" customHeight="1" x14ac:dyDescent="0.25">
      <c r="A59" s="15" t="inlineStr">
        <is>
          <t>C2000</t>
        </is>
      </c>
      <c r="B59" s="15" t="inlineStr">
        <is>
          <t>USMAN KAREEM</t>
        </is>
      </c>
      <c r="C59" s="15" t="inlineStr">
        <is>
          <t>First Bank of Nigeria Limited</t>
        </is>
      </c>
      <c r="D59" s="15" t="inlineStr">
        <is>
          <t>2011090472</t>
        </is>
      </c>
      <c r="E59" s="15" t="inlineStr">
        <is>
          <t>011151003</t>
        </is>
      </c>
      <c r="F59" s="16">
        <f>_xlfn.XLOOKUP(Table13[[#This Row],[Contractor Code]],DLE!A:A,DLE!AB:AB)</f>
        <v>394862.75</v>
      </c>
    </row>
    <row r="60" spans="1:6" ht="13.5" customHeight="1" x14ac:dyDescent="0.25">
      <c r="A60" s="15" t="inlineStr">
        <is>
          <t>C2002</t>
        </is>
      </c>
      <c r="B60" s="15" t="inlineStr">
        <is>
          <t>NWOSU CHIBUEZE</t>
        </is>
      </c>
      <c r="C60" s="15" t="inlineStr">
        <is>
          <t>First Bank of Nigeria Limited</t>
        </is>
      </c>
      <c r="D60" s="15" t="inlineStr">
        <is>
          <t>3044682139</t>
        </is>
      </c>
      <c r="E60" s="15" t="inlineStr">
        <is>
          <t>011151003</t>
        </is>
      </c>
      <c r="F60" s="16">
        <f>_xlfn.XLOOKUP(Table13[[#This Row],[Contractor Code]],DLE!A:A,DLE!AB:AB)</f>
        <v>411557.81</v>
      </c>
    </row>
    <row r="61" spans="1:6" ht="13.5" customHeight="1" x14ac:dyDescent="0.25">
      <c r="A61" s="15" t="inlineStr">
        <is>
          <t>C2011</t>
        </is>
      </c>
      <c r="B61" s="15" t="inlineStr">
        <is>
          <t>AJAYI ADEBAYO</t>
        </is>
      </c>
      <c r="C61" s="15" t="inlineStr">
        <is>
          <t>First Bank of Nigeria Limited</t>
        </is>
      </c>
      <c r="D61" s="15" t="inlineStr">
        <is>
          <t>3032298829</t>
        </is>
      </c>
      <c r="E61" s="15" t="inlineStr">
        <is>
          <t>011151003</t>
        </is>
      </c>
      <c r="F61" s="16">
        <f>_xlfn.XLOOKUP(Table13[[#This Row],[Contractor Code]],DLE!A:A,DLE!AB:AB)</f>
        <v>378699.69</v>
      </c>
    </row>
    <row r="62" spans="1:6" ht="13.5" customHeight="1" x14ac:dyDescent="0.25">
      <c r="A62" s="15" t="inlineStr">
        <is>
          <t>C2015</t>
        </is>
      </c>
      <c r="B62" s="15" t="inlineStr">
        <is>
          <t>AMUNE FESTUS</t>
        </is>
      </c>
      <c r="C62" s="15" t="inlineStr">
        <is>
          <t>Keystone Bank Limited</t>
        </is>
      </c>
      <c r="D62" s="15" t="inlineStr">
        <is>
          <t>6009423385</t>
        </is>
      </c>
      <c r="E62" s="15" t="inlineStr">
        <is>
          <t>082150001</t>
        </is>
      </c>
      <c r="F62" s="16">
        <f>_xlfn.XLOOKUP(Table13[[#This Row],[Contractor Code]],DLE!A:A,DLE!AB:AB)</f>
        <v>266014.85</v>
      </c>
    </row>
    <row r="63" spans="1:6" ht="13.5" customHeight="1" x14ac:dyDescent="0.25">
      <c r="A63" s="15" t="inlineStr">
        <is>
          <t>C2023</t>
        </is>
      </c>
      <c r="B63" s="15" t="inlineStr">
        <is>
          <t>IDIKA DAVID</t>
        </is>
      </c>
      <c r="C63" s="15" t="inlineStr">
        <is>
          <t>Fidelity Bank Plc</t>
        </is>
      </c>
      <c r="D63" s="15" t="inlineStr">
        <is>
          <t>4020099308</t>
        </is>
      </c>
      <c r="E63" s="15" t="inlineStr">
        <is>
          <t>070150003</t>
        </is>
      </c>
      <c r="F63" s="16">
        <f>_xlfn.XLOOKUP(Table13[[#This Row],[Contractor Code]],DLE!A:A,DLE!AB:AB)</f>
        <v>279819.54</v>
      </c>
    </row>
    <row r="64" spans="1:6" ht="13.5" customHeight="1" x14ac:dyDescent="0.25">
      <c r="A64" s="15" t="inlineStr">
        <is>
          <t>C2052</t>
        </is>
      </c>
      <c r="B64" s="15" t="inlineStr">
        <is>
          <t>OGWUCHE ACHEM</t>
        </is>
      </c>
      <c r="C64" s="15" t="inlineStr">
        <is>
          <t>First Bank of Nigeria Limited</t>
        </is>
      </c>
      <c r="D64" s="15" t="inlineStr">
        <is>
          <t>3033479667</t>
        </is>
      </c>
      <c r="E64" s="15" t="inlineStr">
        <is>
          <t>011151003</t>
        </is>
      </c>
      <c r="F64" s="16">
        <f>_xlfn.XLOOKUP(Table13[[#This Row],[Contractor Code]],DLE!A:A,DLE!AB:AB)</f>
        <v>382203.41</v>
      </c>
    </row>
    <row r="65" spans="1:6" ht="13.5" customHeight="1" x14ac:dyDescent="0.25">
      <c r="A65" s="15" t="inlineStr">
        <is>
          <t>C2080</t>
        </is>
      </c>
      <c r="B65" s="15" t="inlineStr">
        <is>
          <t>OYELEYE LATEEF</t>
        </is>
      </c>
      <c r="C65" s="15" t="inlineStr">
        <is>
          <t>Skye Bank</t>
        </is>
      </c>
      <c r="D65" s="15" t="inlineStr">
        <is>
          <t>1120728888</t>
        </is>
      </c>
      <c r="E65" s="15" t="inlineStr">
        <is>
          <t>076151006</t>
        </is>
      </c>
      <c r="F65" s="16">
        <f>_xlfn.XLOOKUP(Table13[[#This Row],[Contractor Code]],DLE!A:A,DLE!AB:AB)</f>
        <v>366011.26</v>
      </c>
    </row>
    <row r="66" spans="1:6" ht="13.5" customHeight="1" x14ac:dyDescent="0.25">
      <c r="A66" s="15" t="inlineStr">
        <is>
          <t>C2082</t>
        </is>
      </c>
      <c r="B66" s="15" t="inlineStr">
        <is>
          <t>ADEBANJO OKEOWO</t>
        </is>
      </c>
      <c r="C66" s="15" t="inlineStr">
        <is>
          <t>Sterling Bank Plc</t>
        </is>
      </c>
      <c r="D66" s="15" t="inlineStr">
        <is>
          <t>0066759134</t>
        </is>
      </c>
      <c r="E66" s="15" t="inlineStr">
        <is>
          <t>232150016</t>
        </is>
      </c>
      <c r="F66" s="16">
        <f>_xlfn.XLOOKUP(Table13[[#This Row],[Contractor Code]],DLE!A:A,DLE!AB:AB)</f>
        <v>356695.31</v>
      </c>
    </row>
    <row r="67" spans="1:6" ht="13.5" customHeight="1" x14ac:dyDescent="0.25">
      <c r="A67" s="15" t="inlineStr">
        <is>
          <t>C2083</t>
        </is>
      </c>
      <c r="B67" s="15" t="inlineStr">
        <is>
          <t>EREGARE STEVE</t>
        </is>
      </c>
      <c r="C67" s="15" t="inlineStr">
        <is>
          <t>Guaranty Trust Bank Plc</t>
        </is>
      </c>
      <c r="D67" s="15" t="inlineStr">
        <is>
          <t>0123564138</t>
        </is>
      </c>
      <c r="E67" s="15" t="inlineStr">
        <is>
          <t>058152052</t>
        </is>
      </c>
      <c r="F67" s="16">
        <f>_xlfn.XLOOKUP(Table13[[#This Row],[Contractor Code]],DLE!A:A,DLE!AB:AB)</f>
        <v>13822.5</v>
      </c>
    </row>
    <row r="68" spans="1:6" ht="13.5" customHeight="1" x14ac:dyDescent="0.25">
      <c r="A68" s="15" t="inlineStr">
        <is>
          <t>C2087</t>
        </is>
      </c>
      <c r="B68" s="15" t="inlineStr">
        <is>
          <t>NKANU THOMPSON</t>
        </is>
      </c>
      <c r="C68" s="15" t="inlineStr">
        <is>
          <t>United Bank for Africa Plc</t>
        </is>
      </c>
      <c r="D68" s="15" t="inlineStr">
        <is>
          <t>2039233996</t>
        </is>
      </c>
      <c r="E68" s="15" t="inlineStr">
        <is>
          <t>076151006</t>
        </is>
      </c>
      <c r="F68" s="16">
        <f>_xlfn.XLOOKUP(Table13[[#This Row],[Contractor Code]],DLE!A:A,DLE!AB:AB)</f>
        <v>378699.69</v>
      </c>
    </row>
    <row r="69" spans="1:6" ht="13.5" customHeight="1" x14ac:dyDescent="0.25">
      <c r="A69" s="15" t="inlineStr">
        <is>
          <t>C2088</t>
        </is>
      </c>
      <c r="B69" s="15" t="inlineStr">
        <is>
          <t>RABIU GBOLAGADE</t>
        </is>
      </c>
      <c r="C69" s="15" t="inlineStr">
        <is>
          <t>Zenith Bank Plc</t>
        </is>
      </c>
      <c r="D69" s="15" t="inlineStr">
        <is>
          <t>2005048698</t>
        </is>
      </c>
      <c r="E69" s="15" t="inlineStr">
        <is>
          <t>057150013</t>
        </is>
      </c>
      <c r="F69" s="16">
        <f>_xlfn.XLOOKUP(Table13[[#This Row],[Contractor Code]],DLE!A:A,DLE!AB:AB)</f>
        <v>376942.19</v>
      </c>
    </row>
    <row r="70" spans="1:6" ht="13.5" customHeight="1" x14ac:dyDescent="0.25">
      <c r="A70" s="15" t="inlineStr">
        <is>
          <t>C2097</t>
        </is>
      </c>
      <c r="B70" s="15" t="inlineStr">
        <is>
          <t>COKER SUNDAY</t>
        </is>
      </c>
      <c r="C70" s="15" t="inlineStr">
        <is>
          <t>Keystone Bank Limited</t>
        </is>
      </c>
      <c r="D70" s="15" t="inlineStr">
        <is>
          <t>6025776173</t>
        </is>
      </c>
      <c r="E70" s="15" t="inlineStr">
        <is>
          <t>082150001</t>
        </is>
      </c>
      <c r="F70" s="16">
        <f>_xlfn.XLOOKUP(Table13[[#This Row],[Contractor Code]],DLE!A:A,DLE!AB:AB)</f>
        <v>306731.25</v>
      </c>
    </row>
    <row r="71" spans="1:6" ht="13.5" customHeight="1" x14ac:dyDescent="0.25">
      <c r="A71" s="15" t="inlineStr">
        <is>
          <t>C2098</t>
        </is>
      </c>
      <c r="B71" s="15" t="inlineStr">
        <is>
          <t>OLAITAN FEMI</t>
        </is>
      </c>
      <c r="C71" s="15" t="inlineStr">
        <is>
          <t>Fidelity Bank Plc</t>
        </is>
      </c>
      <c r="D71" s="15" t="inlineStr">
        <is>
          <t>6018833662</t>
        </is>
      </c>
      <c r="E71" s="15" t="inlineStr">
        <is>
          <t>070150003</t>
        </is>
      </c>
      <c r="F71" s="16">
        <f>_xlfn.XLOOKUP(Table13[[#This Row],[Contractor Code]],DLE!A:A,DLE!AB:AB)</f>
        <v>306731.25</v>
      </c>
    </row>
    <row r="72" spans="1:6" ht="13.5" customHeight="1" x14ac:dyDescent="0.25">
      <c r="A72" s="15" t="inlineStr">
        <is>
          <t>C2116</t>
        </is>
      </c>
      <c r="B72" s="15" t="inlineStr">
        <is>
          <t>OJADA FAMOUS</t>
        </is>
      </c>
      <c r="C72" s="15" t="inlineStr">
        <is>
          <t>First Bank of Nigeria Limited</t>
        </is>
      </c>
      <c r="D72" s="15" t="inlineStr">
        <is>
          <t>3068413463</t>
        </is>
      </c>
      <c r="E72" s="15" t="inlineStr">
        <is>
          <t>011151003</t>
        </is>
      </c>
      <c r="F72" s="16">
        <f>_xlfn.XLOOKUP(Table13[[#This Row],[Contractor Code]],DLE!A:A,DLE!AB:AB)</f>
        <v>669705.47</v>
      </c>
    </row>
    <row r="73" spans="1:6" ht="13.5" customHeight="1" x14ac:dyDescent="0.25">
      <c r="A73" s="15" t="inlineStr">
        <is>
          <t>C2121</t>
        </is>
      </c>
      <c r="B73" s="15" t="inlineStr">
        <is>
          <t>TAIWO JULIUS</t>
        </is>
      </c>
      <c r="C73" s="15" t="inlineStr">
        <is>
          <t>First Bank of Nigeria Limited</t>
        </is>
      </c>
      <c r="D73" s="15" t="inlineStr">
        <is>
          <t>3001372574</t>
        </is>
      </c>
      <c r="E73" s="15" t="inlineStr">
        <is>
          <t>011151003</t>
        </is>
      </c>
      <c r="F73" s="16">
        <f>_xlfn.XLOOKUP(Table13[[#This Row],[Contractor Code]],DLE!A:A,DLE!AB:AB)</f>
        <v>373694.37</v>
      </c>
    </row>
    <row r="74" spans="1:6" ht="13.5" customHeight="1" x14ac:dyDescent="0.25">
      <c r="A74" s="15" t="inlineStr">
        <is>
          <t>C2129</t>
        </is>
      </c>
      <c r="B74" s="15" t="inlineStr">
        <is>
          <t>OSINEKE ANDREW</t>
        </is>
      </c>
      <c r="C74" s="15" t="inlineStr">
        <is>
          <t>Sterling Bank Plc</t>
        </is>
      </c>
      <c r="D74" s="15" t="inlineStr">
        <is>
          <t>0066528123</t>
        </is>
      </c>
      <c r="E74" s="15" t="inlineStr">
        <is>
          <t>232150016</t>
        </is>
      </c>
      <c r="F74" s="16">
        <f>_xlfn.XLOOKUP(Table13[[#This Row],[Contractor Code]],DLE!A:A,DLE!AB:AB)</f>
        <v>273922.11</v>
      </c>
    </row>
    <row r="75" spans="1:6" ht="13.5" customHeight="1" x14ac:dyDescent="0.25">
      <c r="A75" s="15" t="inlineStr">
        <is>
          <t>C2130</t>
        </is>
      </c>
      <c r="B75" s="15" t="inlineStr">
        <is>
          <t>ATOYEBI SHOLA</t>
        </is>
      </c>
      <c r="C75" s="15" t="inlineStr">
        <is>
          <t>Zenith Bank Plc</t>
        </is>
      </c>
      <c r="D75" s="15" t="inlineStr">
        <is>
          <t>2389297884</t>
        </is>
      </c>
      <c r="E75" s="15" t="inlineStr">
        <is>
          <t>057150013</t>
        </is>
      </c>
      <c r="F75" s="16">
        <f>_xlfn.XLOOKUP(Table13[[#This Row],[Contractor Code]],DLE!A:A,DLE!AB:AB)</f>
        <v>321114.85</v>
      </c>
    </row>
    <row r="76" spans="1:6" ht="13.5" customHeight="1" x14ac:dyDescent="0.25">
      <c r="A76" s="15" t="inlineStr">
        <is>
          <t>C2136</t>
        </is>
      </c>
      <c r="B76" s="15" t="inlineStr">
        <is>
          <t>NGELE JAMES</t>
        </is>
      </c>
      <c r="C76" s="15" t="inlineStr">
        <is>
          <t>Fidelity Bank Plc</t>
        </is>
      </c>
      <c r="D76" s="15" t="inlineStr">
        <is>
          <t>4020098239</t>
        </is>
      </c>
      <c r="E76" s="15" t="inlineStr">
        <is>
          <t>070150003</t>
        </is>
      </c>
      <c r="F76" s="16">
        <f>_xlfn.XLOOKUP(Table13[[#This Row],[Contractor Code]],DLE!A:A,DLE!AB:AB)</f>
        <v>283842.19</v>
      </c>
    </row>
    <row r="77" spans="1:6" ht="13.5" customHeight="1" x14ac:dyDescent="0.25">
      <c r="A77" s="15" t="inlineStr">
        <is>
          <t>C2138</t>
        </is>
      </c>
      <c r="B77" s="15" t="inlineStr">
        <is>
          <t>AIGBEVBOILE STANLEY</t>
        </is>
      </c>
      <c r="C77" s="15" t="inlineStr">
        <is>
          <t>Guaranty Trust Bank Plc</t>
        </is>
      </c>
      <c r="D77" s="15" t="inlineStr">
        <is>
          <t>0036948885</t>
        </is>
      </c>
      <c r="E77" s="15" t="inlineStr">
        <is>
          <t>058152052</t>
        </is>
      </c>
      <c r="F77" s="16">
        <f>_xlfn.XLOOKUP(Table13[[#This Row],[Contractor Code]],DLE!A:A,DLE!AB:AB)</f>
        <v>396006.02</v>
      </c>
    </row>
    <row r="78" spans="1:6" ht="13.5" customHeight="1" x14ac:dyDescent="0.25">
      <c r="A78" s="15" t="inlineStr">
        <is>
          <t>C2154</t>
        </is>
      </c>
      <c r="B78" s="15" t="inlineStr">
        <is>
          <t>BANKOLE SOLOMON</t>
        </is>
      </c>
      <c r="C78" s="15" t="inlineStr">
        <is>
          <t>Zenith Bank Plc</t>
        </is>
      </c>
      <c r="D78" s="15" t="inlineStr">
        <is>
          <t>2284108306</t>
        </is>
      </c>
      <c r="E78" s="15" t="inlineStr">
        <is>
          <t>057150013</t>
        </is>
      </c>
      <c r="F78" s="16">
        <f>_xlfn.XLOOKUP(Table13[[#This Row],[Contractor Code]],DLE!A:A,DLE!AB:AB)</f>
        <v>375362.81</v>
      </c>
    </row>
    <row r="79" spans="1:6" ht="13.5" customHeight="1" x14ac:dyDescent="0.25">
      <c r="A79" s="15" t="inlineStr">
        <is>
          <t>C2171</t>
        </is>
      </c>
      <c r="B79" s="15" t="inlineStr">
        <is>
          <t>AZEMOBO LUCKY</t>
        </is>
      </c>
      <c r="C79" s="15" t="inlineStr">
        <is>
          <t>First Bank of Nigeria Limited</t>
        </is>
      </c>
      <c r="D79" s="15" t="inlineStr">
        <is>
          <t>3042849785</t>
        </is>
      </c>
      <c r="E79" s="15"/>
      <c r="F79" s="16">
        <f>_xlfn.XLOOKUP(Table13[[#This Row],[Contractor Code]],DLE!A:A,DLE!AB:AB)</f>
        <v>290272.5</v>
      </c>
    </row>
    <row r="80" spans="1:6" ht="13.5" customHeight="1" x14ac:dyDescent="0.25">
      <c r="A80" s="15" t="inlineStr">
        <is>
          <t>C2193</t>
        </is>
      </c>
      <c r="B80" s="15" t="inlineStr">
        <is>
          <t>EMEH DAVID NWACHUKWU</t>
        </is>
      </c>
      <c r="C80" s="15" t="inlineStr">
        <is>
          <t>First Bank of Nigeria Limited</t>
        </is>
      </c>
      <c r="D80" s="15" t="inlineStr">
        <is>
          <t>3057402544</t>
        </is>
      </c>
      <c r="E80" s="15" t="inlineStr">
        <is>
          <t>011151003</t>
        </is>
      </c>
      <c r="F80" s="16">
        <f>_xlfn.XLOOKUP(Table13[[#This Row],[Contractor Code]],DLE!A:A,DLE!AB:AB)</f>
        <v>311288.29</v>
      </c>
    </row>
    <row r="81" spans="1:6" ht="13.5" customHeight="1" x14ac:dyDescent="0.25">
      <c r="A81" s="15" t="inlineStr">
        <is>
          <t>C2220</t>
        </is>
      </c>
      <c r="B81" s="15" t="inlineStr">
        <is>
          <t>UGBEKILE ABEL</t>
        </is>
      </c>
      <c r="C81" s="15" t="inlineStr">
        <is>
          <t>Zenith Bank Plc</t>
        </is>
      </c>
      <c r="D81" s="15" t="inlineStr">
        <is>
          <t>2119101245</t>
        </is>
      </c>
      <c r="E81" s="15" t="inlineStr">
        <is>
          <t>057150013</t>
        </is>
      </c>
      <c r="F81" s="16">
        <f>_xlfn.XLOOKUP(Table13[[#This Row],[Contractor Code]],DLE!A:A,DLE!AB:AB)</f>
        <v>291130.47</v>
      </c>
    </row>
    <row r="82" spans="1:6" ht="13.5" customHeight="1" x14ac:dyDescent="0.25">
      <c r="A82" s="15" t="inlineStr">
        <is>
          <t>C2221</t>
        </is>
      </c>
      <c r="B82" s="15" t="inlineStr">
        <is>
          <t>YUNUS KAMORUDEEN</t>
        </is>
      </c>
      <c r="C82" s="15" t="inlineStr">
        <is>
          <t>Stanbic IBTC Bank Plc</t>
        </is>
      </c>
      <c r="D82" s="15" t="inlineStr">
        <is>
          <t>0040479212</t>
        </is>
      </c>
      <c r="E82" s="15" t="inlineStr">
        <is>
          <t>221150014</t>
        </is>
      </c>
      <c r="F82" s="16">
        <f>_xlfn.XLOOKUP(Table13[[#This Row],[Contractor Code]],DLE!A:A,DLE!AB:AB)</f>
        <v>253457.04</v>
      </c>
    </row>
    <row r="83" spans="1:6" ht="13.5" customHeight="1" x14ac:dyDescent="0.25">
      <c r="A83" s="15" t="inlineStr">
        <is>
          <t>C2222</t>
        </is>
      </c>
      <c r="B83" s="15" t="inlineStr">
        <is>
          <t>EZEAGU ANTHONY</t>
        </is>
      </c>
      <c r="C83" s="15" t="inlineStr">
        <is>
          <t>Access Bank Plc</t>
        </is>
      </c>
      <c r="D83" s="15" t="inlineStr">
        <is>
          <t>1144340412</t>
        </is>
      </c>
      <c r="E83" s="15" t="inlineStr">
        <is>
          <t>044150149</t>
        </is>
      </c>
      <c r="F83" s="16">
        <f>_xlfn.XLOOKUP(Table13[[#This Row],[Contractor Code]],DLE!A:A,DLE!AB:AB)</f>
        <v>253457.04</v>
      </c>
    </row>
    <row r="84" spans="1:6" ht="13.5" customHeight="1" x14ac:dyDescent="0.25">
      <c r="A84" s="15" t="inlineStr">
        <is>
          <t>C2224</t>
        </is>
      </c>
      <c r="B84" s="15" t="inlineStr">
        <is>
          <t>AGBATA CHRISTIAN</t>
        </is>
      </c>
      <c r="C84" s="15" t="inlineStr">
        <is>
          <t>United Bank for Africa Plc</t>
        </is>
      </c>
      <c r="D84" s="15" t="inlineStr">
        <is>
          <t>2057877770</t>
        </is>
      </c>
      <c r="E84" s="15" t="inlineStr">
        <is>
          <t>033150011</t>
        </is>
      </c>
      <c r="F84" s="16">
        <f>_xlfn.XLOOKUP(Table13[[#This Row],[Contractor Code]],DLE!A:A,DLE!AB:AB)</f>
        <v>253457.04</v>
      </c>
    </row>
    <row r="85" spans="1:6" ht="13.5" customHeight="1" x14ac:dyDescent="0.25">
      <c r="A85" s="15" t="inlineStr">
        <is>
          <t>C2225</t>
        </is>
      </c>
      <c r="B85" s="15" t="inlineStr">
        <is>
          <t>DANIEL ABEL</t>
        </is>
      </c>
      <c r="C85" s="15" t="inlineStr">
        <is>
          <t>Guaranty Trust Bank Plc</t>
        </is>
      </c>
      <c r="D85" s="15" t="inlineStr">
        <is>
          <t>0019229341</t>
        </is>
      </c>
      <c r="E85" s="15" t="inlineStr">
        <is>
          <t>058152052</t>
        </is>
      </c>
      <c r="F85" s="16">
        <f>_xlfn.XLOOKUP(Table13[[#This Row],[Contractor Code]],DLE!A:A,DLE!AB:AB)</f>
        <v>285479.46</v>
      </c>
    </row>
    <row r="86" spans="1:6" ht="13.5" customHeight="1" x14ac:dyDescent="0.25">
      <c r="A86" s="15" t="inlineStr">
        <is>
          <t>C2236</t>
        </is>
      </c>
      <c r="B86" s="15" t="inlineStr">
        <is>
          <t>IWUAGWU KELVIN NDUBUISI</t>
        </is>
      </c>
      <c r="C86" s="15" t="inlineStr">
        <is>
          <t>Fidelity Bank Plc</t>
        </is>
      </c>
      <c r="D86" s="15" t="inlineStr">
        <is>
          <t>4020101058</t>
        </is>
      </c>
      <c r="E86" s="15" t="inlineStr">
        <is>
          <t>070150003</t>
        </is>
      </c>
      <c r="F86" s="16">
        <f>_xlfn.XLOOKUP(Table13[[#This Row],[Contractor Code]],DLE!A:A,DLE!AB:AB)</f>
        <v>335987.69</v>
      </c>
    </row>
    <row r="87" spans="1:6" ht="13.5" customHeight="1" x14ac:dyDescent="0.25">
      <c r="A87" s="15" t="inlineStr">
        <is>
          <t>C2290</t>
        </is>
      </c>
      <c r="B87" s="15" t="inlineStr">
        <is>
          <t>ADEBAYO OLUWATOSIN</t>
        </is>
      </c>
      <c r="C87" s="15" t="inlineStr">
        <is>
          <t>Keystone Bank Limited</t>
        </is>
      </c>
      <c r="D87" s="15" t="inlineStr">
        <is>
          <t>6023280856</t>
        </is>
      </c>
      <c r="E87" s="15"/>
      <c r="F87" s="16">
        <f>_xlfn.XLOOKUP(Table13[[#This Row],[Contractor Code]],DLE!A:A,DLE!AB:AB)</f>
        <v>326941.91</v>
      </c>
    </row>
    <row r="88" spans="1:6" ht="13.5" customHeight="1" x14ac:dyDescent="0.25">
      <c r="A88" s="15" t="inlineStr">
        <is>
          <t>C2291</t>
        </is>
      </c>
      <c r="B88" s="15" t="inlineStr">
        <is>
          <t>UMA NGELE OKEY</t>
        </is>
      </c>
      <c r="C88" s="15" t="inlineStr">
        <is>
          <t>Fidelity Bank Plc</t>
        </is>
      </c>
      <c r="D88" s="15" t="inlineStr">
        <is>
          <t>4020103980</t>
        </is>
      </c>
      <c r="E88" s="15" t="inlineStr">
        <is>
          <t>070150003</t>
        </is>
      </c>
      <c r="F88" s="16">
        <f>_xlfn.XLOOKUP(Table13[[#This Row],[Contractor Code]],DLE!A:A,DLE!AB:AB)</f>
        <v>228705.37</v>
      </c>
    </row>
    <row r="89" spans="1:6" ht="13.5" customHeight="1" x14ac:dyDescent="0.25">
      <c r="A89" s="15" t="inlineStr">
        <is>
          <t>C2300</t>
        </is>
      </c>
      <c r="B89" s="15" t="inlineStr">
        <is>
          <t>TAIWO GABRIEL PONMILE</t>
        </is>
      </c>
      <c r="C89" s="15" t="inlineStr">
        <is>
          <t>First Bank of Nigeria Limited</t>
        </is>
      </c>
      <c r="D89" s="15" t="inlineStr">
        <is>
          <t>3015733305</t>
        </is>
      </c>
      <c r="E89" s="15"/>
      <c r="F89" s="16">
        <f>_xlfn.XLOOKUP(Table13[[#This Row],[Contractor Code]],DLE!A:A,DLE!AB:AB)</f>
        <v>378699.69</v>
      </c>
    </row>
    <row r="90" spans="1:6" ht="13.5" customHeight="1" x14ac:dyDescent="0.25">
      <c r="A90" s="15" t="inlineStr">
        <is>
          <t>C2319</t>
        </is>
      </c>
      <c r="B90" s="15" t="inlineStr">
        <is>
          <t>TORTI NDUBUISI</t>
        </is>
      </c>
      <c r="C90" s="15" t="inlineStr">
        <is>
          <t>Zenith Bank Plc</t>
        </is>
      </c>
      <c r="D90" s="15" t="inlineStr">
        <is>
          <t>4211388821</t>
        </is>
      </c>
      <c r="E90" s="15" t="inlineStr">
        <is>
          <t>057150013</t>
        </is>
      </c>
      <c r="F90" s="16">
        <f>_xlfn.XLOOKUP(Table13[[#This Row],[Contractor Code]],DLE!A:A,DLE!AB:AB)</f>
        <v>377806.69</v>
      </c>
    </row>
    <row r="91" spans="1:6" ht="13.5" customHeight="1" x14ac:dyDescent="0.25">
      <c r="A91" s="15" t="inlineStr">
        <is>
          <t>C2326</t>
        </is>
      </c>
      <c r="B91" s="15" t="inlineStr">
        <is>
          <t>AIYEDE SUNDAY</t>
        </is>
      </c>
      <c r="C91" s="15" t="inlineStr">
        <is>
          <t>Access Bank Plc</t>
        </is>
      </c>
      <c r="D91" s="15" t="inlineStr">
        <is>
          <t>0037716580</t>
        </is>
      </c>
      <c r="E91" s="15" t="inlineStr">
        <is>
          <t>044150149</t>
        </is>
      </c>
      <c r="F91" s="16">
        <f>_xlfn.XLOOKUP(Table13[[#This Row],[Contractor Code]],DLE!A:A,DLE!AB:AB)</f>
        <v>94433.56</v>
      </c>
    </row>
    <row r="92" spans="1:6" ht="13.5" customHeight="1" x14ac:dyDescent="0.25">
      <c r="A92" s="15" t="inlineStr">
        <is>
          <t>C2328</t>
        </is>
      </c>
      <c r="B92" s="15" t="inlineStr">
        <is>
          <t>ADEKANMBI TIMOTHY OLUMIDE</t>
        </is>
      </c>
      <c r="C92" s="15" t="inlineStr">
        <is>
          <t>United Bank for Africa Plc</t>
        </is>
      </c>
      <c r="D92" s="15" t="inlineStr">
        <is>
          <t>2066237547</t>
        </is>
      </c>
      <c r="E92" s="15" t="inlineStr">
        <is>
          <t>033150011</t>
        </is>
      </c>
      <c r="F92" s="16">
        <f>_xlfn.XLOOKUP(Table13[[#This Row],[Contractor Code]],DLE!A:A,DLE!AB:AB)</f>
        <v>382312.06</v>
      </c>
    </row>
    <row r="93" spans="1:6" ht="13.5" customHeight="1" x14ac:dyDescent="0.25">
      <c r="A93" s="15" t="inlineStr">
        <is>
          <t>C2337</t>
        </is>
      </c>
      <c r="B93" s="15" t="inlineStr">
        <is>
          <t>OLOWU SAHEED</t>
        </is>
      </c>
      <c r="C93" s="15" t="inlineStr">
        <is>
          <t>Fidelity Bank Plc</t>
        </is>
      </c>
      <c r="D93" s="15" t="inlineStr">
        <is>
          <t>6050577386</t>
        </is>
      </c>
      <c r="E93" s="15" t="inlineStr">
        <is>
          <t>070150003</t>
        </is>
      </c>
      <c r="F93" s="16">
        <f>_xlfn.XLOOKUP(Table13[[#This Row],[Contractor Code]],DLE!A:A,DLE!AB:AB)</f>
        <v>352363.91</v>
      </c>
    </row>
    <row r="94" spans="1:6" ht="13.5" customHeight="1" x14ac:dyDescent="0.25">
      <c r="A94" s="15" t="inlineStr">
        <is>
          <t>C2338</t>
        </is>
      </c>
      <c r="B94" s="15" t="inlineStr">
        <is>
          <t>AKANLE OLADIPUPO</t>
        </is>
      </c>
      <c r="C94" s="15" t="inlineStr">
        <is>
          <t>Fidelity Bank Plc</t>
        </is>
      </c>
      <c r="D94" s="15" t="inlineStr">
        <is>
          <t>6050577207</t>
        </is>
      </c>
      <c r="E94" s="15" t="inlineStr">
        <is>
          <t>070150003</t>
        </is>
      </c>
      <c r="F94" s="16">
        <f>_xlfn.XLOOKUP(Table13[[#This Row],[Contractor Code]],DLE!A:A,DLE!AB:AB)</f>
        <v>378699.69</v>
      </c>
    </row>
    <row r="95" spans="1:6" ht="13.5" customHeight="1" x14ac:dyDescent="0.25">
      <c r="A95" s="15" t="inlineStr">
        <is>
          <t>C2340</t>
        </is>
      </c>
      <c r="B95" s="15" t="inlineStr">
        <is>
          <t>OGBUM IFEANYI ABEL</t>
        </is>
      </c>
      <c r="C95" s="15" t="inlineStr">
        <is>
          <t>Stanbic IBTC Bank Plc</t>
        </is>
      </c>
      <c r="D95" s="15" t="inlineStr">
        <is>
          <t>0029521873</t>
        </is>
      </c>
      <c r="E95" s="15"/>
      <c r="F95" s="16">
        <f>_xlfn.XLOOKUP(Table13[[#This Row],[Contractor Code]],DLE!A:A,DLE!AB:AB)</f>
        <v>336791.04</v>
      </c>
    </row>
    <row r="96" spans="1:6" ht="13.5" customHeight="1" x14ac:dyDescent="0.25">
      <c r="A96" s="15" t="inlineStr">
        <is>
          <t>C2341</t>
        </is>
      </c>
      <c r="B96" s="15" t="inlineStr">
        <is>
          <t>UDECHUKWU DANIEL</t>
        </is>
      </c>
      <c r="C96" s="15" t="inlineStr">
        <is>
          <t>First Bank of Nigeria Limited</t>
        </is>
      </c>
      <c r="D96" s="15" t="inlineStr">
        <is>
          <t>3039181245</t>
        </is>
      </c>
      <c r="E96" s="15" t="inlineStr">
        <is>
          <t>011151003</t>
        </is>
      </c>
      <c r="F96" s="16">
        <f>_xlfn.XLOOKUP(Table13[[#This Row],[Contractor Code]],DLE!A:A,DLE!AB:AB)</f>
        <v>294796.87</v>
      </c>
    </row>
    <row r="97" spans="1:6" ht="13.5" customHeight="1" x14ac:dyDescent="0.25">
      <c r="A97" s="15" t="inlineStr">
        <is>
          <t>C2342</t>
        </is>
      </c>
      <c r="B97" s="15" t="inlineStr">
        <is>
          <t>OGUNBIYI TAIWO</t>
        </is>
      </c>
      <c r="C97" s="15" t="inlineStr">
        <is>
          <t>Zenith Bank Plc</t>
        </is>
      </c>
      <c r="D97" s="15" t="inlineStr">
        <is>
          <t>2000941660</t>
        </is>
      </c>
      <c r="E97" s="15" t="inlineStr">
        <is>
          <t>057150013</t>
        </is>
      </c>
      <c r="F97" s="16">
        <f>_xlfn.XLOOKUP(Table13[[#This Row],[Contractor Code]],DLE!A:A,DLE!AB:AB)</f>
        <v>324742.66</v>
      </c>
    </row>
    <row r="98" spans="1:6" ht="13.5" customHeight="1" x14ac:dyDescent="0.25">
      <c r="A98" s="15" t="inlineStr">
        <is>
          <t>C2343</t>
        </is>
      </c>
      <c r="B98" s="15" t="inlineStr">
        <is>
          <t>ADEYEYE ADESOJI</t>
        </is>
      </c>
      <c r="C98" s="15" t="inlineStr">
        <is>
          <t>Guaranty Trust Bank Plc</t>
        </is>
      </c>
      <c r="D98" s="15" t="inlineStr">
        <is>
          <t>0454234939</t>
        </is>
      </c>
      <c r="E98" s="15" t="inlineStr">
        <is>
          <t>058152052</t>
        </is>
      </c>
      <c r="F98" s="16">
        <f>_xlfn.XLOOKUP(Table13[[#This Row],[Contractor Code]],DLE!A:A,DLE!AB:AB)</f>
        <v>378699.69</v>
      </c>
    </row>
    <row r="99" spans="1:6" ht="13.5" customHeight="1" x14ac:dyDescent="0.25">
      <c r="A99" s="15" t="inlineStr">
        <is>
          <t>C2383</t>
        </is>
      </c>
      <c r="B99" s="15" t="inlineStr">
        <is>
          <t>ABIODUN OYEWOLE</t>
        </is>
      </c>
      <c r="C99" s="15" t="inlineStr">
        <is>
          <t>Guaranty Trust Bank Plc</t>
        </is>
      </c>
      <c r="D99" s="15" t="inlineStr">
        <is>
          <t>0150661422</t>
        </is>
      </c>
      <c r="E99" s="15" t="inlineStr">
        <is>
          <t>058152052</t>
        </is>
      </c>
      <c r="F99" s="16">
        <f>_xlfn.XLOOKUP(Table13[[#This Row],[Contractor Code]],DLE!A:A,DLE!AB:AB)</f>
        <v>381805</v>
      </c>
    </row>
    <row r="100" spans="1:6" ht="13.5" customHeight="1" x14ac:dyDescent="0.25">
      <c r="A100" s="15" t="inlineStr">
        <is>
          <t>C2387</t>
        </is>
      </c>
      <c r="B100" s="15" t="inlineStr">
        <is>
          <t>ADEKUNLE KOLAWOLE</t>
        </is>
      </c>
      <c r="C100" s="15" t="inlineStr">
        <is>
          <t>Polaris Bank</t>
        </is>
      </c>
      <c r="D100" s="15" t="inlineStr">
        <is>
          <t>1019909914</t>
        </is>
      </c>
      <c r="E100" s="15" t="inlineStr">
        <is>
          <t>076151006</t>
        </is>
      </c>
      <c r="F100" s="16">
        <f>_xlfn.XLOOKUP(Table13[[#This Row],[Contractor Code]],DLE!A:A,DLE!AB:AB)</f>
        <v>299564.28</v>
      </c>
    </row>
    <row r="101" spans="1:6" ht="13.5" customHeight="1" x14ac:dyDescent="0.25">
      <c r="A101" s="15" t="inlineStr">
        <is>
          <t>C2395</t>
        </is>
      </c>
      <c r="B101" s="15" t="inlineStr">
        <is>
          <t>AKEEM AKINGBADE</t>
        </is>
      </c>
      <c r="C101" s="15" t="inlineStr">
        <is>
          <t>Fidelity Bank Plc</t>
        </is>
      </c>
      <c r="D101" s="15" t="inlineStr">
        <is>
          <t>4020097988</t>
        </is>
      </c>
      <c r="E101" s="15" t="inlineStr">
        <is>
          <t>070150003</t>
        </is>
      </c>
      <c r="F101" s="16">
        <f>_xlfn.XLOOKUP(Table13[[#This Row],[Contractor Code]],DLE!A:A,DLE!AB:AB)</f>
        <v>378699.69</v>
      </c>
    </row>
    <row r="102" spans="1:6" ht="13.5" customHeight="1" x14ac:dyDescent="0.25">
      <c r="A102" s="15" t="inlineStr">
        <is>
          <t>C2402</t>
        </is>
      </c>
      <c r="B102" s="15" t="inlineStr">
        <is>
          <t>ALIYU MOHAMMED</t>
        </is>
      </c>
      <c r="C102" s="15" t="inlineStr">
        <is>
          <t>United Bank for Africa Plc</t>
        </is>
      </c>
      <c r="D102" s="15" t="inlineStr">
        <is>
          <t>2062265010</t>
        </is>
      </c>
      <c r="E102" s="15" t="inlineStr">
        <is>
          <t>033150011</t>
        </is>
      </c>
      <c r="F102" s="16">
        <f>_xlfn.XLOOKUP(Table13[[#This Row],[Contractor Code]],DLE!A:A,DLE!AB:AB)</f>
        <v>279819.54</v>
      </c>
    </row>
    <row r="103" spans="1:6" ht="13.5" customHeight="1" x14ac:dyDescent="0.25">
      <c r="A103" s="15" t="inlineStr">
        <is>
          <t>C2404</t>
        </is>
      </c>
      <c r="B103" s="15" t="inlineStr">
        <is>
          <t>AMEH MATHEW</t>
        </is>
      </c>
      <c r="C103" s="15" t="inlineStr">
        <is>
          <t>Zenith Bank Plc</t>
        </is>
      </c>
      <c r="D103" s="15" t="inlineStr">
        <is>
          <t>2190500645</t>
        </is>
      </c>
      <c r="E103" s="15" t="inlineStr">
        <is>
          <t>057150013</t>
        </is>
      </c>
      <c r="F103" s="16">
        <f>_xlfn.XLOOKUP(Table13[[#This Row],[Contractor Code]],DLE!A:A,DLE!AB:AB)</f>
        <v>279819.54</v>
      </c>
    </row>
    <row r="104" spans="1:6" ht="13.5" customHeight="1" x14ac:dyDescent="0.25">
      <c r="A104" s="15" t="inlineStr">
        <is>
          <t>C2410</t>
        </is>
      </c>
      <c r="B104" s="15" t="inlineStr">
        <is>
          <t>AFENIFORO AYODELE</t>
        </is>
      </c>
      <c r="C104" s="15" t="inlineStr">
        <is>
          <t>Zenith Bank Plc</t>
        </is>
      </c>
      <c r="D104" s="15" t="inlineStr">
        <is>
          <t>4070334353</t>
        </is>
      </c>
      <c r="E104" s="15" t="inlineStr">
        <is>
          <t>057150013</t>
        </is>
      </c>
      <c r="F104" s="16">
        <f>_xlfn.XLOOKUP(Table13[[#This Row],[Contractor Code]],DLE!A:A,DLE!AB:AB)</f>
        <v>301705.75</v>
      </c>
    </row>
    <row r="105" spans="1:6" ht="13.5" customHeight="1" x14ac:dyDescent="0.25">
      <c r="A105" s="15" t="inlineStr">
        <is>
          <t>C2412</t>
        </is>
      </c>
      <c r="B105" s="15" t="inlineStr">
        <is>
          <t>BABATUNDE OYELEYE</t>
        </is>
      </c>
      <c r="C105" s="15" t="inlineStr">
        <is>
          <t>Zenith Bank Plc</t>
        </is>
      </c>
      <c r="D105" s="15" t="inlineStr">
        <is>
          <t>2089542877</t>
        </is>
      </c>
      <c r="E105" s="15" t="inlineStr">
        <is>
          <t>057150013</t>
        </is>
      </c>
      <c r="F105" s="16">
        <f>_xlfn.XLOOKUP(Table13[[#This Row],[Contractor Code]],DLE!A:A,DLE!AB:AB)</f>
        <v>378699.69</v>
      </c>
    </row>
    <row r="106" spans="1:6" ht="13.5" customHeight="1" x14ac:dyDescent="0.25">
      <c r="A106" s="15" t="inlineStr">
        <is>
          <t>C2421</t>
        </is>
      </c>
      <c r="B106" s="15" t="inlineStr">
        <is>
          <t>DANIEL OKPE</t>
        </is>
      </c>
      <c r="C106" s="15" t="inlineStr">
        <is>
          <t>United Bank for Africa Plc</t>
        </is>
      </c>
      <c r="D106" s="15" t="inlineStr">
        <is>
          <t>2066834128</t>
        </is>
      </c>
      <c r="E106" s="15" t="inlineStr">
        <is>
          <t>033150011</t>
        </is>
      </c>
      <c r="F106" s="16">
        <f>_xlfn.XLOOKUP(Table13[[#This Row],[Contractor Code]],DLE!A:A,DLE!AB:AB)</f>
        <v>547170.31</v>
      </c>
    </row>
    <row r="107" spans="1:6" ht="13.5" customHeight="1" x14ac:dyDescent="0.25">
      <c r="A107" s="15" t="inlineStr">
        <is>
          <t>C2422</t>
        </is>
      </c>
      <c r="B107" s="15" t="inlineStr">
        <is>
          <t>DAVID UDEH ANTHONY</t>
        </is>
      </c>
      <c r="C107" s="15" t="inlineStr">
        <is>
          <t>Stanbic IBTC Bank Plc</t>
        </is>
      </c>
      <c r="D107" s="15" t="inlineStr">
        <is>
          <t>0034111065</t>
        </is>
      </c>
      <c r="E107" s="15" t="inlineStr">
        <is>
          <t>221150014</t>
        </is>
      </c>
      <c r="F107" s="16">
        <f>_xlfn.XLOOKUP(Table13[[#This Row],[Contractor Code]],DLE!A:A,DLE!AB:AB)</f>
        <v>371450.89</v>
      </c>
    </row>
    <row r="108" spans="1:6" ht="13.5" customHeight="1" x14ac:dyDescent="0.25">
      <c r="A108" s="15" t="inlineStr">
        <is>
          <t>C2427</t>
        </is>
      </c>
      <c r="B108" s="15" t="inlineStr">
        <is>
          <t>EBELE SIMON</t>
        </is>
      </c>
      <c r="C108" s="15" t="inlineStr">
        <is>
          <t>Fidelity Bank Plc</t>
        </is>
      </c>
      <c r="D108" s="15" t="inlineStr">
        <is>
          <t>6171895932</t>
        </is>
      </c>
      <c r="E108" s="15" t="inlineStr">
        <is>
          <t>070150003</t>
        </is>
      </c>
      <c r="F108" s="16">
        <f>_xlfn.XLOOKUP(Table13[[#This Row],[Contractor Code]],DLE!A:A,DLE!AB:AB)</f>
        <v>232360.5</v>
      </c>
    </row>
    <row r="109" spans="1:6" ht="13.5" customHeight="1" x14ac:dyDescent="0.25">
      <c r="A109" s="15" t="inlineStr">
        <is>
          <t>C2431</t>
        </is>
      </c>
      <c r="B109" s="15" t="inlineStr">
        <is>
          <t>EMEKA EZEBIRO</t>
        </is>
      </c>
      <c r="C109" s="15" t="inlineStr">
        <is>
          <t>United Bank for Africa Plc</t>
        </is>
      </c>
      <c r="D109" s="15" t="inlineStr">
        <is>
          <t>2036688430</t>
        </is>
      </c>
      <c r="E109" s="15" t="inlineStr">
        <is>
          <t>033150011</t>
        </is>
      </c>
      <c r="F109" s="16">
        <f>_xlfn.XLOOKUP(Table13[[#This Row],[Contractor Code]],DLE!A:A,DLE!AB:AB)</f>
        <v>400631.33</v>
      </c>
    </row>
    <row r="110" spans="1:6" ht="13.5" customHeight="1" x14ac:dyDescent="0.25">
      <c r="A110" s="15" t="inlineStr">
        <is>
          <t>C2438</t>
        </is>
      </c>
      <c r="B110" s="15" t="inlineStr">
        <is>
          <t>EZENWA CHIBUZOR</t>
        </is>
      </c>
      <c r="C110" s="15" t="inlineStr">
        <is>
          <t>Zenith Bank Plc</t>
        </is>
      </c>
      <c r="D110" s="15" t="inlineStr">
        <is>
          <t>2209301498</t>
        </is>
      </c>
      <c r="E110" s="15" t="inlineStr">
        <is>
          <t>057150013</t>
        </is>
      </c>
      <c r="F110" s="16">
        <f>_xlfn.XLOOKUP(Table13[[#This Row],[Contractor Code]],DLE!A:A,DLE!AB:AB)</f>
        <v>226637.35</v>
      </c>
    </row>
    <row r="111" spans="1:6" ht="13.5" customHeight="1" x14ac:dyDescent="0.25">
      <c r="A111" s="15" t="inlineStr">
        <is>
          <t>C2445</t>
        </is>
      </c>
      <c r="B111" s="15" t="inlineStr">
        <is>
          <t>AKOR GODWIN</t>
        </is>
      </c>
      <c r="C111" s="15" t="inlineStr">
        <is>
          <t>Guaranty Trust Bank Plc</t>
        </is>
      </c>
      <c r="D111" s="15" t="inlineStr">
        <is>
          <t>0569721821</t>
        </is>
      </c>
      <c r="E111" s="15" t="inlineStr">
        <is>
          <t>058152052</t>
        </is>
      </c>
      <c r="F111" s="16">
        <f>_xlfn.XLOOKUP(Table13[[#This Row],[Contractor Code]],DLE!A:A,DLE!AB:AB)</f>
        <v>338304.21</v>
      </c>
    </row>
    <row r="112" spans="1:6" ht="13.5" customHeight="1" x14ac:dyDescent="0.25">
      <c r="A112" s="15" t="inlineStr">
        <is>
          <t>C2449</t>
        </is>
      </c>
      <c r="B112" s="15" t="inlineStr">
        <is>
          <t>ICHUKWU PETER</t>
        </is>
      </c>
      <c r="C112" s="15" t="inlineStr">
        <is>
          <t>Guaranty Trust Bank Plc</t>
        </is>
      </c>
      <c r="D112" s="15" t="inlineStr">
        <is>
          <t>0599364867</t>
        </is>
      </c>
      <c r="E112" s="15" t="inlineStr">
        <is>
          <t>058152052</t>
        </is>
      </c>
      <c r="F112" s="16">
        <f>_xlfn.XLOOKUP(Table13[[#This Row],[Contractor Code]],DLE!A:A,DLE!AB:AB)</f>
        <v>330982.97</v>
      </c>
    </row>
    <row r="113" spans="1:6" ht="13.5" customHeight="1" x14ac:dyDescent="0.25">
      <c r="A113" s="15" t="inlineStr">
        <is>
          <t>C2456</t>
        </is>
      </c>
      <c r="B113" s="15" t="inlineStr">
        <is>
          <t>IMONI OGAH</t>
        </is>
      </c>
      <c r="C113" s="15" t="inlineStr">
        <is>
          <t>Access Bank Plc</t>
        </is>
      </c>
      <c r="D113" s="15" t="inlineStr">
        <is>
          <t>1766485586</t>
        </is>
      </c>
      <c r="E113" s="15" t="inlineStr">
        <is>
          <t>044150149</t>
        </is>
      </c>
      <c r="F113" s="16">
        <f>_xlfn.XLOOKUP(Table13[[#This Row],[Contractor Code]],DLE!A:A,DLE!AB:AB)</f>
        <v>398160.88</v>
      </c>
    </row>
    <row r="114" spans="1:6" ht="13.5" customHeight="1" x14ac:dyDescent="0.25">
      <c r="A114" s="15" t="inlineStr">
        <is>
          <t>C2460</t>
        </is>
      </c>
      <c r="B114" s="15" t="inlineStr">
        <is>
          <t>JACOB AKPO</t>
        </is>
      </c>
      <c r="C114" s="15" t="inlineStr">
        <is>
          <t>Zenith Bank Plc</t>
        </is>
      </c>
      <c r="D114" s="15" t="inlineStr">
        <is>
          <t>1001802817</t>
        </is>
      </c>
      <c r="E114" s="15" t="inlineStr">
        <is>
          <t>057150013</t>
        </is>
      </c>
      <c r="F114" s="16">
        <f>_xlfn.XLOOKUP(Table13[[#This Row],[Contractor Code]],DLE!A:A,DLE!AB:AB)</f>
        <v>389823.6</v>
      </c>
    </row>
    <row r="115" spans="1:6" ht="13.5" customHeight="1" x14ac:dyDescent="0.25">
      <c r="A115" s="15" t="inlineStr">
        <is>
          <t>C2462</t>
        </is>
      </c>
      <c r="B115" s="15" t="inlineStr">
        <is>
          <t>JAMIU NASIRU</t>
        </is>
      </c>
      <c r="C115" s="15" t="inlineStr">
        <is>
          <t>United Bank for Africa Plc</t>
        </is>
      </c>
      <c r="D115" s="15" t="inlineStr">
        <is>
          <t>2051749974</t>
        </is>
      </c>
      <c r="E115" s="15" t="inlineStr">
        <is>
          <t>033150011</t>
        </is>
      </c>
      <c r="F115" s="16">
        <f>_xlfn.XLOOKUP(Table13[[#This Row],[Contractor Code]],DLE!A:A,DLE!AB:AB)</f>
        <v>507638.44</v>
      </c>
    </row>
    <row r="116" spans="1:6" ht="13.5" customHeight="1" x14ac:dyDescent="0.25">
      <c r="A116" s="15" t="inlineStr">
        <is>
          <t>C2463</t>
        </is>
      </c>
      <c r="B116" s="15" t="inlineStr">
        <is>
          <t>JAMES JANET</t>
        </is>
      </c>
      <c r="C116" s="15" t="inlineStr">
        <is>
          <t>United Bank for Africa Plc</t>
        </is>
      </c>
      <c r="D116" s="15" t="inlineStr">
        <is>
          <t>2416428162</t>
        </is>
      </c>
      <c r="E116" s="15" t="inlineStr">
        <is>
          <t>033150011</t>
        </is>
      </c>
      <c r="F116" s="16">
        <f>_xlfn.XLOOKUP(Table13[[#This Row],[Contractor Code]],DLE!A:A,DLE!AB:AB)</f>
        <v>330982.97</v>
      </c>
    </row>
    <row r="117" spans="1:6" ht="13.5" customHeight="1" x14ac:dyDescent="0.25">
      <c r="A117" s="15" t="inlineStr">
        <is>
          <t>C2469</t>
        </is>
      </c>
      <c r="B117" s="15" t="inlineStr">
        <is>
          <t>KINGSLEY OBIEJE</t>
        </is>
      </c>
      <c r="C117" s="15" t="inlineStr">
        <is>
          <t>First Bank of Nigeria Limited</t>
        </is>
      </c>
      <c r="D117" s="15" t="inlineStr">
        <is>
          <t>3015587072</t>
        </is>
      </c>
      <c r="E117" s="15" t="inlineStr">
        <is>
          <t>011151003</t>
        </is>
      </c>
      <c r="F117" s="16">
        <f>_xlfn.XLOOKUP(Table13[[#This Row],[Contractor Code]],DLE!A:A,DLE!AB:AB)</f>
        <v>405608.44</v>
      </c>
    </row>
    <row r="118" spans="1:6" ht="13.5" customHeight="1" x14ac:dyDescent="0.25">
      <c r="A118" s="15" t="inlineStr">
        <is>
          <t>C2470</t>
        </is>
      </c>
      <c r="B118" s="15" t="inlineStr">
        <is>
          <t>LAWAL YEKINI</t>
        </is>
      </c>
      <c r="C118" s="15" t="inlineStr">
        <is>
          <t>Guaranty Trust Bank Plc</t>
        </is>
      </c>
      <c r="D118" s="15" t="inlineStr">
        <is>
          <t>0005774860</t>
        </is>
      </c>
      <c r="E118" s="15" t="inlineStr">
        <is>
          <t>058152052</t>
        </is>
      </c>
      <c r="F118" s="16">
        <f>_xlfn.XLOOKUP(Table13[[#This Row],[Contractor Code]],DLE!A:A,DLE!AB:AB)</f>
        <v>274591.56</v>
      </c>
    </row>
    <row r="119" spans="1:6" ht="13.5" customHeight="1" x14ac:dyDescent="0.25">
      <c r="A119" s="15" t="inlineStr">
        <is>
          <t>C2477</t>
        </is>
      </c>
      <c r="B119" s="15" t="inlineStr">
        <is>
          <t>MOHAMMED GAMBO SULE</t>
        </is>
      </c>
      <c r="C119" s="15" t="inlineStr">
        <is>
          <t>Stanbic IBTC Bank Plc</t>
        </is>
      </c>
      <c r="D119" s="15" t="inlineStr">
        <is>
          <t>0032786269</t>
        </is>
      </c>
      <c r="E119" s="15" t="inlineStr">
        <is>
          <t>221150014</t>
        </is>
      </c>
      <c r="F119" s="16">
        <f>_xlfn.XLOOKUP(Table13[[#This Row],[Contractor Code]],DLE!A:A,DLE!AB:AB)</f>
        <v>279819.54</v>
      </c>
    </row>
    <row r="120" spans="1:6" ht="13.5" customHeight="1" x14ac:dyDescent="0.25">
      <c r="A120" s="15" t="inlineStr">
        <is>
          <t>C2482</t>
        </is>
      </c>
      <c r="B120" s="15" t="inlineStr">
        <is>
          <t>OBILIKWU RAPHAEL</t>
        </is>
      </c>
      <c r="C120" s="15" t="inlineStr">
        <is>
          <t>Zenith Bank Plc</t>
        </is>
      </c>
      <c r="D120" s="15" t="inlineStr">
        <is>
          <t>2419467034</t>
        </is>
      </c>
      <c r="E120" s="15" t="inlineStr">
        <is>
          <t>057150013</t>
        </is>
      </c>
      <c r="F120" s="16">
        <f>_xlfn.XLOOKUP(Table13[[#This Row],[Contractor Code]],DLE!A:A,DLE!AB:AB)</f>
        <v>330982.97</v>
      </c>
    </row>
    <row r="121" spans="1:6" ht="13.5" customHeight="1" x14ac:dyDescent="0.25">
      <c r="A121" s="15" t="inlineStr">
        <is>
          <t>C2483</t>
        </is>
      </c>
      <c r="B121" s="15" t="inlineStr">
        <is>
          <t>OBILIKWU JOHN</t>
        </is>
      </c>
      <c r="C121" s="15" t="inlineStr">
        <is>
          <t>Zenith Bank Plc</t>
        </is>
      </c>
      <c r="D121" s="15" t="inlineStr">
        <is>
          <t>2401190357</t>
        </is>
      </c>
      <c r="E121" s="15" t="inlineStr">
        <is>
          <t>057150013</t>
        </is>
      </c>
      <c r="F121" s="16">
        <f>_xlfn.XLOOKUP(Table13[[#This Row],[Contractor Code]],DLE!A:A,DLE!AB:AB)</f>
        <v>287493.75</v>
      </c>
    </row>
    <row r="122" spans="1:6" ht="13.5" customHeight="1" x14ac:dyDescent="0.25">
      <c r="A122" s="15" t="inlineStr">
        <is>
          <t>C2484</t>
        </is>
      </c>
      <c r="B122" s="15" t="inlineStr">
        <is>
          <t>OBINNA ONUOHA</t>
        </is>
      </c>
      <c r="C122" s="15" t="inlineStr">
        <is>
          <t>Fidelity Bank Plc</t>
        </is>
      </c>
      <c r="D122" s="15" t="inlineStr">
        <is>
          <t>6011571039</t>
        </is>
      </c>
      <c r="E122" s="15" t="inlineStr">
        <is>
          <t>070150003</t>
        </is>
      </c>
      <c r="F122" s="16">
        <f>_xlfn.XLOOKUP(Table13[[#This Row],[Contractor Code]],DLE!A:A,DLE!AB:AB)</f>
        <v>363683.75</v>
      </c>
    </row>
    <row r="123" spans="1:6" ht="13.5" customHeight="1" x14ac:dyDescent="0.25">
      <c r="A123" s="15" t="inlineStr">
        <is>
          <t>C2491</t>
        </is>
      </c>
      <c r="B123" s="15" t="inlineStr">
        <is>
          <t>OGUNYEMI AYODELE</t>
        </is>
      </c>
      <c r="C123" s="15" t="inlineStr">
        <is>
          <t>First Bank of Nigeria Limited</t>
        </is>
      </c>
      <c r="D123" s="15" t="inlineStr">
        <is>
          <t>3022947106</t>
        </is>
      </c>
      <c r="E123" s="15" t="inlineStr">
        <is>
          <t>011151003</t>
        </is>
      </c>
      <c r="F123" s="16">
        <f>_xlfn.XLOOKUP(Table13[[#This Row],[Contractor Code]],DLE!A:A,DLE!AB:AB)</f>
        <v>378699.69</v>
      </c>
    </row>
    <row r="124" spans="1:6" ht="13.5" customHeight="1" x14ac:dyDescent="0.25">
      <c r="A124" s="15" t="inlineStr">
        <is>
          <t>C2492</t>
        </is>
      </c>
      <c r="B124" s="15" t="inlineStr">
        <is>
          <t>OGWUA TIMOTHY</t>
        </is>
      </c>
      <c r="C124" s="15" t="inlineStr">
        <is>
          <t>STANBIC-IBTC BANK PLC</t>
        </is>
      </c>
      <c r="D124" s="15" t="inlineStr">
        <is>
          <t>0086066360</t>
        </is>
      </c>
      <c r="E124" s="15" t="inlineStr">
        <is>
          <t>033150011</t>
        </is>
      </c>
      <c r="F124" s="16">
        <f>_xlfn.XLOOKUP(Table13[[#This Row],[Contractor Code]],DLE!A:A,DLE!AB:AB)</f>
        <v>354906.64</v>
      </c>
    </row>
    <row r="125" spans="1:6" ht="13.5" customHeight="1" x14ac:dyDescent="0.25">
      <c r="A125" s="15" t="inlineStr">
        <is>
          <t>C2507</t>
        </is>
      </c>
      <c r="B125" s="15" t="inlineStr">
        <is>
          <t>ONWUNTA CHINEMERE</t>
        </is>
      </c>
      <c r="C125" s="15" t="inlineStr">
        <is>
          <t>Zenith Bank Plc</t>
        </is>
      </c>
      <c r="D125" s="15" t="inlineStr">
        <is>
          <t>2000484152</t>
        </is>
      </c>
      <c r="E125" s="15" t="inlineStr">
        <is>
          <t>057150013</t>
        </is>
      </c>
      <c r="F125" s="16">
        <f>_xlfn.XLOOKUP(Table13[[#This Row],[Contractor Code]],DLE!A:A,DLE!AB:AB)</f>
        <v>405608.44</v>
      </c>
    </row>
    <row r="126" spans="1:6" ht="13.5" customHeight="1" x14ac:dyDescent="0.25">
      <c r="A126" s="15" t="inlineStr">
        <is>
          <t>C2513</t>
        </is>
      </c>
      <c r="B126" s="15" t="inlineStr">
        <is>
          <t>OWOLABI OLAYIWOLA</t>
        </is>
      </c>
      <c r="C126" s="15" t="inlineStr">
        <is>
          <t>First Bank of Nigeria Limited</t>
        </is>
      </c>
      <c r="D126" s="15" t="inlineStr">
        <is>
          <t>3052773276</t>
        </is>
      </c>
      <c r="E126" s="15" t="inlineStr">
        <is>
          <t>011151003</t>
        </is>
      </c>
      <c r="F126" s="16">
        <f>_xlfn.XLOOKUP(Table13[[#This Row],[Contractor Code]],DLE!A:A,DLE!AB:AB)</f>
        <v>388710.31</v>
      </c>
    </row>
    <row r="127" spans="1:6" ht="13.5" customHeight="1" x14ac:dyDescent="0.25">
      <c r="A127" s="15" t="inlineStr">
        <is>
          <t>C2515</t>
        </is>
      </c>
      <c r="B127" s="15" t="inlineStr">
        <is>
          <t>OYEWOLE KAZEEM</t>
        </is>
      </c>
      <c r="C127" s="15" t="inlineStr">
        <is>
          <t>Zenith Bank Plc</t>
        </is>
      </c>
      <c r="D127" s="15" t="inlineStr">
        <is>
          <t>4318480624</t>
        </is>
      </c>
      <c r="E127" s="15" t="inlineStr">
        <is>
          <t>057150013</t>
        </is>
      </c>
      <c r="F127" s="16">
        <f>_xlfn.XLOOKUP(Table13[[#This Row],[Contractor Code]],DLE!A:A,DLE!AB:AB)</f>
        <v>300688.36</v>
      </c>
    </row>
    <row r="128" spans="1:6" ht="13.5" customHeight="1" x14ac:dyDescent="0.25">
      <c r="A128" s="15" t="inlineStr">
        <is>
          <t>C2516</t>
        </is>
      </c>
      <c r="B128" s="15" t="inlineStr">
        <is>
          <t>OZILI NDUBUISI</t>
        </is>
      </c>
      <c r="C128" s="15" t="inlineStr">
        <is>
          <t>Access Bank Plc</t>
        </is>
      </c>
      <c r="D128" s="15" t="inlineStr">
        <is>
          <t>1403985606</t>
        </is>
      </c>
      <c r="E128" s="15" t="inlineStr">
        <is>
          <t>044150149</t>
        </is>
      </c>
      <c r="F128" s="16">
        <f>_xlfn.XLOOKUP(Table13[[#This Row],[Contractor Code]],DLE!A:A,DLE!AB:AB)</f>
        <v>308248.29</v>
      </c>
    </row>
    <row r="129" spans="1:6" ht="13.5" customHeight="1" x14ac:dyDescent="0.25">
      <c r="A129" s="15" t="inlineStr">
        <is>
          <t>C2523</t>
        </is>
      </c>
      <c r="B129" s="15" t="inlineStr">
        <is>
          <t>RASAK OMOGBOLAHAN</t>
        </is>
      </c>
      <c r="C129" s="15" t="inlineStr">
        <is>
          <t>Guaranty Trust Bank Plc</t>
        </is>
      </c>
      <c r="D129" s="15" t="inlineStr">
        <is>
          <t>0938563632</t>
        </is>
      </c>
      <c r="E129" s="15" t="inlineStr">
        <is>
          <t>058152052</t>
        </is>
      </c>
      <c r="F129" s="16">
        <f>_xlfn.XLOOKUP(Table13[[#This Row],[Contractor Code]],DLE!A:A,DLE!AB:AB)</f>
        <v>386025.08</v>
      </c>
    </row>
    <row r="130" spans="1:6" ht="13.5" customHeight="1" x14ac:dyDescent="0.25">
      <c r="A130" s="15" t="inlineStr">
        <is>
          <t>C2526</t>
        </is>
      </c>
      <c r="B130" s="15" t="inlineStr">
        <is>
          <t>ROMANUS ABLE</t>
        </is>
      </c>
      <c r="C130" s="15" t="inlineStr">
        <is>
          <t>Union Bank of Nigeria Plc</t>
        </is>
      </c>
      <c r="D130" s="15" t="inlineStr">
        <is>
          <t>0107453467</t>
        </is>
      </c>
      <c r="E130" s="15" t="inlineStr">
        <is>
          <t>032154568</t>
        </is>
      </c>
      <c r="F130" s="16">
        <f>_xlfn.XLOOKUP(Table13[[#This Row],[Contractor Code]],DLE!A:A,DLE!AB:AB)</f>
        <v>313815.86</v>
      </c>
    </row>
    <row r="131" spans="1:6" ht="13.5" customHeight="1" x14ac:dyDescent="0.25">
      <c r="A131" s="15" t="inlineStr">
        <is>
          <t>C2534</t>
        </is>
      </c>
      <c r="B131" s="15" t="inlineStr">
        <is>
          <t>STANLEY OVAT</t>
        </is>
      </c>
      <c r="C131" s="15" t="inlineStr">
        <is>
          <t>Zenith Bank Plc</t>
        </is>
      </c>
      <c r="D131" s="15" t="inlineStr">
        <is>
          <t>2190497792</t>
        </is>
      </c>
      <c r="E131" s="15" t="inlineStr">
        <is>
          <t>057150013</t>
        </is>
      </c>
      <c r="F131" s="16">
        <f>_xlfn.XLOOKUP(Table13[[#This Row],[Contractor Code]],DLE!A:A,DLE!AB:AB)</f>
        <v>84645</v>
      </c>
    </row>
    <row r="132" spans="1:6" ht="13.5" customHeight="1" x14ac:dyDescent="0.25">
      <c r="A132" s="15" t="inlineStr">
        <is>
          <t>C2536</t>
        </is>
      </c>
      <c r="B132" s="15" t="inlineStr">
        <is>
          <t>SUNDAY EMMANUEL</t>
        </is>
      </c>
      <c r="C132" s="15" t="inlineStr">
        <is>
          <t>Guaranty Trust Bank Plc</t>
        </is>
      </c>
      <c r="D132" s="15" t="inlineStr">
        <is>
          <t>0422659368</t>
        </is>
      </c>
      <c r="E132" s="15" t="inlineStr">
        <is>
          <t>058152052</t>
        </is>
      </c>
      <c r="F132" s="16">
        <f>_xlfn.XLOOKUP(Table13[[#This Row],[Contractor Code]],DLE!A:A,DLE!AB:AB)</f>
        <v>302196.33</v>
      </c>
    </row>
    <row r="133" spans="1:6" ht="13.5" customHeight="1" x14ac:dyDescent="0.25">
      <c r="A133" s="15" t="inlineStr">
        <is>
          <t>C2537</t>
        </is>
      </c>
      <c r="B133" s="15" t="inlineStr">
        <is>
          <t>SUNDAY SIMIRE</t>
        </is>
      </c>
      <c r="C133" s="15" t="inlineStr">
        <is>
          <t>United Bank for Africa Plc</t>
        </is>
      </c>
      <c r="D133" s="15" t="inlineStr">
        <is>
          <t>2157448368</t>
        </is>
      </c>
      <c r="E133" s="15" t="inlineStr">
        <is>
          <t>033150011</t>
        </is>
      </c>
      <c r="F133" s="16">
        <f>_xlfn.XLOOKUP(Table13[[#This Row],[Contractor Code]],DLE!A:A,DLE!AB:AB)</f>
        <v>311867.19</v>
      </c>
    </row>
    <row r="134" spans="1:6" ht="13.5" customHeight="1" x14ac:dyDescent="0.25">
      <c r="A134" s="15" t="inlineStr">
        <is>
          <t>C2555</t>
        </is>
      </c>
      <c r="B134" s="15" t="inlineStr">
        <is>
          <t>EZE UDENZI JUDE</t>
        </is>
      </c>
      <c r="C134" s="15" t="inlineStr">
        <is>
          <t>Fidelity Bank Plc</t>
        </is>
      </c>
      <c r="D134" s="15" t="inlineStr">
        <is>
          <t>4020097940</t>
        </is>
      </c>
      <c r="E134" s="15" t="inlineStr">
        <is>
          <t>070150003</t>
        </is>
      </c>
      <c r="F134" s="16">
        <f>_xlfn.XLOOKUP(Table13[[#This Row],[Contractor Code]],DLE!A:A,DLE!AB:AB)</f>
        <v>394849.69</v>
      </c>
    </row>
    <row r="135" spans="1:6" ht="13.5" customHeight="1" x14ac:dyDescent="0.25">
      <c r="A135" s="15" t="inlineStr">
        <is>
          <t>C2585</t>
        </is>
      </c>
      <c r="B135" s="15" t="inlineStr">
        <is>
          <t>AZIEKWE EMMANUEL</t>
        </is>
      </c>
      <c r="C135" s="15" t="inlineStr">
        <is>
          <t>Zenith Bank Plc</t>
        </is>
      </c>
      <c r="D135" s="15" t="inlineStr">
        <is>
          <t>243811</t>
        </is>
      </c>
      <c r="E135" s="15" t="inlineStr">
        <is>
          <t>057150013</t>
        </is>
      </c>
      <c r="F135" s="16">
        <f>_xlfn.XLOOKUP(Table13[[#This Row],[Contractor Code]],DLE!A:A,DLE!AB:AB)</f>
        <v>421251.37</v>
      </c>
    </row>
    <row r="136" spans="1:6" ht="13.5" customHeight="1" x14ac:dyDescent="0.25">
      <c r="A136" s="15" t="inlineStr">
        <is>
          <t>C2597</t>
        </is>
      </c>
      <c r="B136" s="15" t="inlineStr">
        <is>
          <t>IRIKEFE OYABUGBE</t>
        </is>
      </c>
      <c r="C136" s="15" t="inlineStr">
        <is>
          <t>Fidelity Bank Plc</t>
        </is>
      </c>
      <c r="D136" s="15" t="inlineStr">
        <is>
          <t>6050576994</t>
        </is>
      </c>
      <c r="E136" s="15" t="inlineStr">
        <is>
          <t>070150003</t>
        </is>
      </c>
      <c r="F136" s="16">
        <f>_xlfn.XLOOKUP(Table13[[#This Row],[Contractor Code]],DLE!A:A,DLE!AB:AB)</f>
        <v>493317.19</v>
      </c>
    </row>
    <row r="137" spans="1:6" ht="13.5" customHeight="1" x14ac:dyDescent="0.25">
      <c r="A137" s="15" t="inlineStr">
        <is>
          <t>C2604</t>
        </is>
      </c>
      <c r="B137" s="15" t="inlineStr">
        <is>
          <t>ADAH PATRICK OHEME</t>
        </is>
      </c>
      <c r="C137" s="15" t="inlineStr">
        <is>
          <t>United Bank for Africa Plc</t>
        </is>
      </c>
      <c r="D137" s="15" t="inlineStr">
        <is>
          <t>2117347573</t>
        </is>
      </c>
      <c r="E137" s="15" t="inlineStr">
        <is>
          <t>033150011</t>
        </is>
      </c>
      <c r="F137" s="16">
        <f>_xlfn.XLOOKUP(Table13[[#This Row],[Contractor Code]],DLE!A:A,DLE!AB:AB)</f>
        <v>357569.91</v>
      </c>
    </row>
    <row r="138" spans="1:6" ht="13.5" customHeight="1" x14ac:dyDescent="0.25">
      <c r="A138" s="15" t="inlineStr">
        <is>
          <t>C2605</t>
        </is>
      </c>
      <c r="B138" s="15" t="inlineStr">
        <is>
          <t>ONAJI FRIDAY</t>
        </is>
      </c>
      <c r="C138" s="15" t="inlineStr">
        <is>
          <t>United Bank for Africa Plc</t>
        </is>
      </c>
      <c r="D138" s="15" t="inlineStr">
        <is>
          <t>2111014563</t>
        </is>
      </c>
      <c r="E138" s="15" t="inlineStr">
        <is>
          <t>033150011</t>
        </is>
      </c>
      <c r="F138" s="16">
        <f>_xlfn.XLOOKUP(Table13[[#This Row],[Contractor Code]],DLE!A:A,DLE!AB:AB)</f>
        <v>326155.79</v>
      </c>
    </row>
    <row r="139" spans="1:6" ht="13.5" customHeight="1" x14ac:dyDescent="0.25">
      <c r="A139" s="15" t="inlineStr">
        <is>
          <t>C2607</t>
        </is>
      </c>
      <c r="B139" s="15" t="inlineStr">
        <is>
          <t>ADEOSUN RASAK ADEKUNLE</t>
        </is>
      </c>
      <c r="C139" s="15" t="inlineStr">
        <is>
          <t>Guaranty Trust Bank Plc</t>
        </is>
      </c>
      <c r="D139" s="15" t="inlineStr">
        <is>
          <t>0800170320</t>
        </is>
      </c>
      <c r="E139" s="15" t="inlineStr">
        <is>
          <t>058152052</t>
        </is>
      </c>
      <c r="F139" s="16">
        <f>_xlfn.XLOOKUP(Table13[[#This Row],[Contractor Code]],DLE!A:A,DLE!AB:AB)</f>
        <v>348834.06</v>
      </c>
    </row>
    <row r="140" spans="1:6" ht="13.5" customHeight="1" x14ac:dyDescent="0.25">
      <c r="A140" s="15" t="inlineStr">
        <is>
          <t>C2614</t>
        </is>
      </c>
      <c r="B140" s="15" t="inlineStr">
        <is>
          <t>ADELEKE IDOWU</t>
        </is>
      </c>
      <c r="C140" s="15" t="inlineStr">
        <is>
          <t>Guaranty Trust Bank Plc</t>
        </is>
      </c>
      <c r="D140" s="15" t="inlineStr">
        <is>
          <t>0162107947</t>
        </is>
      </c>
      <c r="E140" s="15" t="inlineStr">
        <is>
          <t>058152052</t>
        </is>
      </c>
      <c r="F140" s="16">
        <f>_xlfn.XLOOKUP(Table13[[#This Row],[Contractor Code]],DLE!A:A,DLE!AB:AB)</f>
        <v>363683.75</v>
      </c>
    </row>
    <row r="141" spans="1:6" ht="13.5" customHeight="1" x14ac:dyDescent="0.25">
      <c r="A141" s="15" t="inlineStr">
        <is>
          <t>C2615</t>
        </is>
      </c>
      <c r="B141" s="15" t="inlineStr">
        <is>
          <t>HART CECILIA</t>
        </is>
      </c>
      <c r="C141" s="15" t="inlineStr">
        <is>
          <t>Zenith Bank Plc</t>
        </is>
      </c>
      <c r="D141" s="15" t="inlineStr">
        <is>
          <t>2191783951</t>
        </is>
      </c>
      <c r="E141" s="15" t="inlineStr">
        <is>
          <t>057150013</t>
        </is>
      </c>
      <c r="F141" s="16">
        <f>_xlfn.XLOOKUP(Table13[[#This Row],[Contractor Code]],DLE!A:A,DLE!AB:AB)</f>
        <v>366186.41</v>
      </c>
    </row>
    <row r="142" spans="1:6" ht="13.5" customHeight="1" x14ac:dyDescent="0.25">
      <c r="A142" s="15" t="inlineStr">
        <is>
          <t>C2622</t>
        </is>
      </c>
      <c r="B142" s="15" t="inlineStr">
        <is>
          <t>JOHN AUDU</t>
        </is>
      </c>
      <c r="C142" s="15" t="inlineStr">
        <is>
          <t>Stanbic IBTC Bank Plc</t>
        </is>
      </c>
      <c r="D142" s="15" t="inlineStr">
        <is>
          <t>0006050248</t>
        </is>
      </c>
      <c r="E142" s="15" t="inlineStr">
        <is>
          <t>221150014</t>
        </is>
      </c>
      <c r="F142" s="16">
        <f>_xlfn.XLOOKUP(Table13[[#This Row],[Contractor Code]],DLE!A:A,DLE!AB:AB)</f>
        <v>328178.98</v>
      </c>
    </row>
    <row r="143" spans="1:6" ht="13.5" customHeight="1" x14ac:dyDescent="0.25">
      <c r="A143" s="15" t="inlineStr">
        <is>
          <t>C2623</t>
        </is>
      </c>
      <c r="B143" s="15" t="inlineStr">
        <is>
          <t>NWACHUKWU MONDAY</t>
        </is>
      </c>
      <c r="C143" s="15" t="inlineStr">
        <is>
          <t>Zenith Bank Plc</t>
        </is>
      </c>
      <c r="D143" s="15" t="inlineStr">
        <is>
          <t>2001413067</t>
        </is>
      </c>
      <c r="E143" s="15" t="inlineStr">
        <is>
          <t>057150013</t>
        </is>
      </c>
      <c r="F143" s="16">
        <f>_xlfn.XLOOKUP(Table13[[#This Row],[Contractor Code]],DLE!A:A,DLE!AB:AB)</f>
        <v>405608.44</v>
      </c>
    </row>
    <row r="144" spans="1:6" ht="13.5" customHeight="1" x14ac:dyDescent="0.25">
      <c r="A144" s="15" t="inlineStr">
        <is>
          <t>C2626</t>
        </is>
      </c>
      <c r="B144" s="15" t="inlineStr">
        <is>
          <t>OKPE BONIFACE</t>
        </is>
      </c>
      <c r="C144" s="15" t="inlineStr">
        <is>
          <t>Zenith Bank Plc</t>
        </is>
      </c>
      <c r="D144" s="15" t="inlineStr">
        <is>
          <t>2000466774</t>
        </is>
      </c>
      <c r="E144" s="15" t="inlineStr">
        <is>
          <t>057150013</t>
        </is>
      </c>
      <c r="F144" s="16">
        <f>_xlfn.XLOOKUP(Table13[[#This Row],[Contractor Code]],DLE!A:A,DLE!AB:AB)</f>
        <v>279819.54</v>
      </c>
    </row>
    <row r="145" spans="1:6" ht="13.5" customHeight="1" x14ac:dyDescent="0.25">
      <c r="A145" s="15" t="inlineStr">
        <is>
          <t>C2632</t>
        </is>
      </c>
      <c r="B145" s="15" t="inlineStr">
        <is>
          <t>OGUNBONA AYUBA</t>
        </is>
      </c>
      <c r="C145" s="15" t="inlineStr">
        <is>
          <t>Guaranty Trust Bank Plc</t>
        </is>
      </c>
      <c r="D145" s="15" t="inlineStr">
        <is>
          <t>0152834824</t>
        </is>
      </c>
      <c r="E145" s="15" t="inlineStr">
        <is>
          <t>058152052</t>
        </is>
      </c>
      <c r="F145" s="16">
        <f>_xlfn.XLOOKUP(Table13[[#This Row],[Contractor Code]],DLE!A:A,DLE!AB:AB)</f>
        <v>270200.79</v>
      </c>
    </row>
    <row r="146" spans="1:6" ht="13.5" customHeight="1" x14ac:dyDescent="0.25">
      <c r="A146" s="15" t="inlineStr">
        <is>
          <t>C2633</t>
        </is>
      </c>
      <c r="B146" s="15" t="inlineStr">
        <is>
          <t>KENECHUKWU SUNDAY</t>
        </is>
      </c>
      <c r="C146" s="15" t="inlineStr">
        <is>
          <t>Ecobank Nigeria</t>
        </is>
      </c>
      <c r="D146" s="15" t="inlineStr">
        <is>
          <t>5791052220</t>
        </is>
      </c>
      <c r="E146" s="15" t="inlineStr">
        <is>
          <t>050150311</t>
        </is>
      </c>
      <c r="F146" s="16">
        <f>_xlfn.XLOOKUP(Table13[[#This Row],[Contractor Code]],DLE!A:A,DLE!AB:AB)</f>
        <v>253457.04</v>
      </c>
    </row>
    <row r="147" spans="1:6" ht="13.5" customHeight="1" x14ac:dyDescent="0.25">
      <c r="A147" s="15" t="inlineStr">
        <is>
          <t>C2647</t>
        </is>
      </c>
      <c r="B147" s="15" t="inlineStr">
        <is>
          <t>ADEYEMI KABIRU ADESHINA</t>
        </is>
      </c>
      <c r="C147" s="15" t="inlineStr">
        <is>
          <t>Fidelity Bank Plc</t>
        </is>
      </c>
      <c r="D147" s="15" t="inlineStr">
        <is>
          <t>3069237992</t>
        </is>
      </c>
      <c r="E147" s="15" t="inlineStr">
        <is>
          <t>214150018</t>
        </is>
      </c>
      <c r="F147" s="16">
        <f>_xlfn.XLOOKUP(Table13[[#This Row],[Contractor Code]],DLE!A:A,DLE!AB:AB)</f>
        <v>580915.5</v>
      </c>
    </row>
    <row r="148" spans="1:6" ht="13.5" customHeight="1" x14ac:dyDescent="0.25">
      <c r="A148" s="15" t="inlineStr">
        <is>
          <t>C2663</t>
        </is>
      </c>
      <c r="B148" s="15" t="inlineStr">
        <is>
          <t>DAVID JEREMIAH</t>
        </is>
      </c>
      <c r="C148" s="15" t="inlineStr">
        <is>
          <t>Zenith Bank Plc</t>
        </is>
      </c>
      <c r="D148" s="15" t="inlineStr">
        <is>
          <t>2251223076</t>
        </is>
      </c>
      <c r="E148" s="15" t="inlineStr">
        <is>
          <t>057150013</t>
        </is>
      </c>
      <c r="F148" s="16">
        <f>_xlfn.XLOOKUP(Table13[[#This Row],[Contractor Code]],DLE!A:A,DLE!AB:AB)</f>
        <v>172330</v>
      </c>
    </row>
    <row r="149" spans="1:6" ht="13.5" customHeight="1" x14ac:dyDescent="0.25">
      <c r="A149" s="15" t="inlineStr">
        <is>
          <t>C2664</t>
        </is>
      </c>
      <c r="B149" s="15" t="inlineStr">
        <is>
          <t>UDO IME JIMMY</t>
        </is>
      </c>
      <c r="C149" s="15" t="inlineStr">
        <is>
          <t>Guaranty Trust Bank Plc</t>
        </is>
      </c>
      <c r="D149" s="15" t="inlineStr">
        <is>
          <t>0714034161</t>
        </is>
      </c>
      <c r="E149" s="15" t="inlineStr">
        <is>
          <t>058152052</t>
        </is>
      </c>
      <c r="F149" s="16">
        <f>_xlfn.XLOOKUP(Table13[[#This Row],[Contractor Code]],DLE!A:A,DLE!AB:AB)</f>
        <v>377484.87</v>
      </c>
    </row>
    <row r="150" spans="1:6" ht="13.5" customHeight="1" x14ac:dyDescent="0.25">
      <c r="A150" s="15" t="inlineStr">
        <is>
          <t>C2665</t>
        </is>
      </c>
      <c r="B150" s="15" t="inlineStr">
        <is>
          <t>OSAUZO CHRISTOPHER</t>
        </is>
      </c>
      <c r="C150" s="15" t="inlineStr">
        <is>
          <t>First City Monument Bank Limited</t>
        </is>
      </c>
      <c r="D150" s="15" t="inlineStr">
        <is>
          <t>4012700029</t>
        </is>
      </c>
      <c r="E150" s="15" t="inlineStr">
        <is>
          <t>214150018</t>
        </is>
      </c>
      <c r="F150" s="16">
        <f>_xlfn.XLOOKUP(Table13[[#This Row],[Contractor Code]],DLE!A:A,DLE!AB:AB)</f>
        <v>405608.44</v>
      </c>
    </row>
    <row r="151" spans="1:6" ht="13.5" customHeight="1" x14ac:dyDescent="0.25">
      <c r="A151" s="15" t="inlineStr">
        <is>
          <t>C2690</t>
        </is>
      </c>
      <c r="B151" s="15" t="inlineStr">
        <is>
          <t>OJO PETER OLAMILEKAN</t>
        </is>
      </c>
      <c r="C151" s="15" t="inlineStr">
        <is>
          <t>Guaranty Trust Bank Plc</t>
        </is>
      </c>
      <c r="D151" s="15" t="inlineStr">
        <is>
          <t>0109040744</t>
        </is>
      </c>
      <c r="E151" s="15" t="inlineStr">
        <is>
          <t>058152052</t>
        </is>
      </c>
      <c r="F151" s="16">
        <f>_xlfn.XLOOKUP(Table13[[#This Row],[Contractor Code]],DLE!A:A,DLE!AB:AB)</f>
        <v>378699.69</v>
      </c>
    </row>
    <row r="152" spans="1:6" ht="13.5" customHeight="1" x14ac:dyDescent="0.25">
      <c r="A152" s="15" t="inlineStr">
        <is>
          <t>C2697</t>
        </is>
      </c>
      <c r="B152" s="15" t="inlineStr">
        <is>
          <t>SUNDAY YERIMA</t>
        </is>
      </c>
      <c r="C152" s="15" t="inlineStr">
        <is>
          <t>First Bank of Nigeria Limited</t>
        </is>
      </c>
      <c r="D152" s="15" t="inlineStr">
        <is>
          <t>3089124775</t>
        </is>
      </c>
      <c r="E152" s="15" t="inlineStr">
        <is>
          <t>011151003</t>
        </is>
      </c>
      <c r="F152" s="16">
        <f>_xlfn.XLOOKUP(Table13[[#This Row],[Contractor Code]],DLE!A:A,DLE!AB:AB)</f>
        <v>368689.06</v>
      </c>
    </row>
    <row r="153" spans="1:6" ht="13.5" customHeight="1" x14ac:dyDescent="0.25">
      <c r="A153" s="15" t="inlineStr">
        <is>
          <t>C2699</t>
        </is>
      </c>
      <c r="B153" s="15" t="inlineStr">
        <is>
          <t>AKINMOLADUN AKINLABI KOLAJO</t>
        </is>
      </c>
      <c r="C153" s="15" t="inlineStr">
        <is>
          <t>First Bank of Nigeria Limited</t>
        </is>
      </c>
      <c r="D153" s="15" t="inlineStr">
        <is>
          <t>2018278211</t>
        </is>
      </c>
      <c r="E153" s="15" t="inlineStr">
        <is>
          <t>011151003</t>
        </is>
      </c>
      <c r="F153" s="16">
        <f>_xlfn.XLOOKUP(Table13[[#This Row],[Contractor Code]],DLE!A:A,DLE!AB:AB)</f>
        <v>373694.37</v>
      </c>
    </row>
    <row r="154" spans="1:6" ht="13.5" customHeight="1" x14ac:dyDescent="0.25">
      <c r="A154" s="15" t="inlineStr">
        <is>
          <t>C2704</t>
        </is>
      </c>
      <c r="B154" s="15" t="inlineStr">
        <is>
          <t>ADEBISI OLALEKAN AKANBI</t>
        </is>
      </c>
      <c r="C154" s="15" t="inlineStr">
        <is>
          <t>Guaranty Trust Bank Plc</t>
        </is>
      </c>
      <c r="D154" s="15" t="inlineStr">
        <is>
          <t>0139087591</t>
        </is>
      </c>
      <c r="E154" s="15" t="inlineStr">
        <is>
          <t>058152052</t>
        </is>
      </c>
      <c r="F154" s="16">
        <f>_xlfn.XLOOKUP(Table13[[#This Row],[Contractor Code]],DLE!A:A,DLE!AB:AB)</f>
        <v>383705</v>
      </c>
    </row>
    <row r="155" spans="1:6" ht="13.5" customHeight="1" x14ac:dyDescent="0.25">
      <c r="A155" s="15" t="inlineStr">
        <is>
          <t>C2722</t>
        </is>
      </c>
      <c r="B155" s="15" t="inlineStr">
        <is>
          <t>ADENIJI SUNDAY SOLOMON</t>
        </is>
      </c>
      <c r="C155" s="15" t="inlineStr">
        <is>
          <t>Zenith Bank Plc</t>
        </is>
      </c>
      <c r="D155" s="15" t="inlineStr">
        <is>
          <t>2252901698</t>
        </is>
      </c>
      <c r="E155" s="15" t="inlineStr">
        <is>
          <t>057150013</t>
        </is>
      </c>
      <c r="F155" s="16">
        <f>_xlfn.XLOOKUP(Table13[[#This Row],[Contractor Code]],DLE!A:A,DLE!AB:AB)</f>
        <v>259350</v>
      </c>
    </row>
    <row r="156" spans="1:6" ht="13.5" customHeight="1" x14ac:dyDescent="0.25">
      <c r="A156" s="15" t="inlineStr">
        <is>
          <t>C2724</t>
        </is>
      </c>
      <c r="B156" s="15" t="inlineStr">
        <is>
          <t>AMANOKHAI MOSES</t>
        </is>
      </c>
      <c r="C156" s="15" t="inlineStr">
        <is>
          <t>Sterling Bank Plc</t>
        </is>
      </c>
      <c r="D156" s="15" t="inlineStr">
        <is>
          <t>0064990863</t>
        </is>
      </c>
      <c r="E156" s="15" t="inlineStr">
        <is>
          <t>232150016</t>
        </is>
      </c>
      <c r="F156" s="16">
        <f>_xlfn.XLOOKUP(Table13[[#This Row],[Contractor Code]],DLE!A:A,DLE!AB:AB)</f>
        <v>306873.75</v>
      </c>
    </row>
    <row r="157" spans="1:6" ht="13.5" customHeight="1" x14ac:dyDescent="0.25">
      <c r="A157" s="15" t="inlineStr">
        <is>
          <t>C2725</t>
        </is>
      </c>
      <c r="B157" s="15" t="inlineStr">
        <is>
          <t>AMODU HENRY AUDU</t>
        </is>
      </c>
      <c r="C157" s="15" t="inlineStr">
        <is>
          <t>Guaranty Trust Bank Plc</t>
        </is>
      </c>
      <c r="D157" s="15" t="inlineStr">
        <is>
          <t>0128450939</t>
        </is>
      </c>
      <c r="E157" s="15" t="inlineStr">
        <is>
          <t>058152052</t>
        </is>
      </c>
      <c r="F157" s="16">
        <f>_xlfn.XLOOKUP(Table13[[#This Row],[Contractor Code]],DLE!A:A,DLE!AB:AB)</f>
        <v>328178.98</v>
      </c>
    </row>
    <row r="158" spans="1:6" ht="13.5" customHeight="1" x14ac:dyDescent="0.25">
      <c r="A158" s="15" t="inlineStr">
        <is>
          <t>C2728</t>
        </is>
      </c>
      <c r="B158" s="15" t="inlineStr">
        <is>
          <t>UDOH CHRISTIAN AMOS</t>
        </is>
      </c>
      <c r="C158" s="15" t="inlineStr">
        <is>
          <t>Access Bank Plc</t>
        </is>
      </c>
      <c r="D158" s="15" t="inlineStr">
        <is>
          <t>0060933874</t>
        </is>
      </c>
      <c r="E158" s="15" t="inlineStr">
        <is>
          <t>044150149</t>
        </is>
      </c>
      <c r="F158" s="16">
        <f>_xlfn.XLOOKUP(Table13[[#This Row],[Contractor Code]],DLE!A:A,DLE!AB:AB)</f>
        <v>233995.7</v>
      </c>
    </row>
    <row r="159" spans="1:6" ht="13.5" customHeight="1" x14ac:dyDescent="0.25">
      <c r="A159" s="15" t="inlineStr">
        <is>
          <t>C2751</t>
        </is>
      </c>
      <c r="B159" s="15" t="inlineStr">
        <is>
          <t>ODUNNIYI FUAD SAYO</t>
        </is>
      </c>
      <c r="C159" s="15" t="inlineStr">
        <is>
          <t>Guaranty Trust Bank Plc</t>
        </is>
      </c>
      <c r="D159" s="15" t="inlineStr">
        <is>
          <t>0918465347</t>
        </is>
      </c>
      <c r="E159" s="15" t="inlineStr">
        <is>
          <t>058152052</t>
        </is>
      </c>
      <c r="F159" s="16">
        <f>_xlfn.XLOOKUP(Table13[[#This Row],[Contractor Code]],DLE!A:A,DLE!AB:AB)</f>
        <v>240055.5</v>
      </c>
    </row>
    <row r="160" spans="1:6" ht="13.5" customHeight="1" x14ac:dyDescent="0.25">
      <c r="A160" s="15" t="inlineStr">
        <is>
          <t>C2757</t>
        </is>
      </c>
      <c r="B160" s="15" t="inlineStr">
        <is>
          <t>OKONYIA BENJAMIN CHUKS</t>
        </is>
      </c>
      <c r="C160" s="15" t="inlineStr">
        <is>
          <t>Access Bank Plc</t>
        </is>
      </c>
      <c r="D160" s="15" t="inlineStr">
        <is>
          <t>0069947431</t>
        </is>
      </c>
      <c r="E160" s="15" t="inlineStr">
        <is>
          <t>044150149</t>
        </is>
      </c>
      <c r="F160" s="16">
        <f>_xlfn.XLOOKUP(Table13[[#This Row],[Contractor Code]],DLE!A:A,DLE!AB:AB)</f>
        <v>368689.06</v>
      </c>
    </row>
    <row r="161" spans="1:6" ht="13.5" customHeight="1" x14ac:dyDescent="0.25">
      <c r="A161" s="15" t="inlineStr">
        <is>
          <t>C2760</t>
        </is>
      </c>
      <c r="B161" s="15" t="inlineStr">
        <is>
          <t>AJAYI TEMIDAYO JOHNSON</t>
        </is>
      </c>
      <c r="C161" s="15" t="inlineStr">
        <is>
          <t>Keystone Bank Limited</t>
        </is>
      </c>
      <c r="D161" s="15" t="inlineStr">
        <is>
          <t>6035361932</t>
        </is>
      </c>
      <c r="E161" s="15" t="inlineStr">
        <is>
          <t>082150001</t>
        </is>
      </c>
      <c r="F161" s="16">
        <f>_xlfn.XLOOKUP(Table13[[#This Row],[Contractor Code]],DLE!A:A,DLE!AB:AB)</f>
        <v>298448.44</v>
      </c>
    </row>
    <row r="162" spans="1:6" ht="13.5" customHeight="1" x14ac:dyDescent="0.25">
      <c r="A162" s="15" t="inlineStr">
        <is>
          <t>C2762</t>
        </is>
      </c>
      <c r="B162" s="15" t="inlineStr">
        <is>
          <t>OWOLABI SUNDAY</t>
        </is>
      </c>
      <c r="C162" s="15" t="inlineStr">
        <is>
          <t>Zenith Bank Plc</t>
        </is>
      </c>
      <c r="D162" s="15" t="inlineStr">
        <is>
          <t>2266705437</t>
        </is>
      </c>
      <c r="E162" s="15" t="inlineStr">
        <is>
          <t>057150013</t>
        </is>
      </c>
      <c r="F162" s="16">
        <f>_xlfn.XLOOKUP(Table13[[#This Row],[Contractor Code]],DLE!A:A,DLE!AB:AB)</f>
        <v>338072.35</v>
      </c>
    </row>
    <row r="163" spans="1:6" ht="13.5" customHeight="1" x14ac:dyDescent="0.25">
      <c r="A163" s="15" t="inlineStr">
        <is>
          <t>C2776</t>
        </is>
      </c>
      <c r="B163" s="15" t="inlineStr">
        <is>
          <t>SUNDAY OLANREWAJU ISAIAH</t>
        </is>
      </c>
      <c r="C163" s="15" t="inlineStr">
        <is>
          <t>Ecobank Nigeria</t>
        </is>
      </c>
      <c r="D163" s="15" t="inlineStr">
        <is>
          <t>4450033961</t>
        </is>
      </c>
      <c r="E163" s="15" t="inlineStr">
        <is>
          <t>050150311</t>
        </is>
      </c>
      <c r="F163" s="16">
        <f>_xlfn.XLOOKUP(Table13[[#This Row],[Contractor Code]],DLE!A:A,DLE!AB:AB)</f>
        <v>281444.92</v>
      </c>
    </row>
    <row r="164" spans="1:6" ht="13.5" customHeight="1" x14ac:dyDescent="0.25">
      <c r="A164" s="15" t="inlineStr">
        <is>
          <t>C2790</t>
        </is>
      </c>
      <c r="B164" s="15" t="inlineStr">
        <is>
          <t>ADEBANJO OLUWASEYI</t>
        </is>
      </c>
      <c r="C164" s="15" t="inlineStr">
        <is>
          <t>Wema Bank Plc</t>
        </is>
      </c>
      <c r="D164" s="15" t="inlineStr">
        <is>
          <t>0238485392</t>
        </is>
      </c>
      <c r="E164" s="15" t="inlineStr">
        <is>
          <t>0270332072</t>
        </is>
      </c>
      <c r="F164" s="16">
        <f>_xlfn.XLOOKUP(Table13[[#This Row],[Contractor Code]],DLE!A:A,DLE!AB:AB)</f>
        <v>306731.25</v>
      </c>
    </row>
    <row r="165" spans="1:6" ht="13.5" customHeight="1" x14ac:dyDescent="0.25">
      <c r="A165" s="15" t="inlineStr">
        <is>
          <t>C2795</t>
        </is>
      </c>
      <c r="B165" s="15" t="inlineStr">
        <is>
          <t>IDOKO BABA</t>
        </is>
      </c>
      <c r="C165" s="15" t="inlineStr">
        <is>
          <t>Guaranty Trust Bank Plc</t>
        </is>
      </c>
      <c r="D165" s="15" t="inlineStr">
        <is>
          <t>0468239331</t>
        </is>
      </c>
      <c r="E165" s="15" t="inlineStr">
        <is>
          <t>058152052</t>
        </is>
      </c>
      <c r="F165" s="16">
        <f>_xlfn.XLOOKUP(Table13[[#This Row],[Contractor Code]],DLE!A:A,DLE!AB:AB)</f>
        <v>304994.54</v>
      </c>
    </row>
    <row r="166" spans="1:6" ht="13.5" customHeight="1" x14ac:dyDescent="0.25">
      <c r="A166" s="15" t="inlineStr">
        <is>
          <t>C2805</t>
        </is>
      </c>
      <c r="B166" s="15" t="inlineStr">
        <is>
          <t>UZOMA VERONICA</t>
        </is>
      </c>
      <c r="C166" s="15" t="inlineStr">
        <is>
          <t>Access Bank Plc</t>
        </is>
      </c>
      <c r="D166" s="15" t="inlineStr">
        <is>
          <t>0087128423</t>
        </is>
      </c>
      <c r="E166" s="15" t="inlineStr">
        <is>
          <t>044150149</t>
        </is>
      </c>
      <c r="F166" s="16">
        <f>_xlfn.XLOOKUP(Table13[[#This Row],[Contractor Code]],DLE!A:A,DLE!AB:AB)</f>
        <v>507478.12</v>
      </c>
    </row>
    <row r="167" spans="1:6" ht="13.5" customHeight="1" x14ac:dyDescent="0.25">
      <c r="A167" s="15" t="inlineStr">
        <is>
          <t>C2808</t>
        </is>
      </c>
      <c r="B167" s="15" t="inlineStr">
        <is>
          <t>UZOMA CHIJOKE</t>
        </is>
      </c>
      <c r="C167" s="15" t="inlineStr">
        <is>
          <t>Zenith Bank Plc</t>
        </is>
      </c>
      <c r="D167" s="15" t="inlineStr">
        <is>
          <t>2111002511</t>
        </is>
      </c>
      <c r="E167" s="15" t="inlineStr">
        <is>
          <t>057150013</t>
        </is>
      </c>
      <c r="F167" s="16">
        <f>_xlfn.XLOOKUP(Table13[[#This Row],[Contractor Code]],DLE!A:A,DLE!AB:AB)</f>
        <v>400900</v>
      </c>
    </row>
    <row r="168" spans="1:6" ht="13.5" customHeight="1" x14ac:dyDescent="0.25">
      <c r="A168" s="15" t="inlineStr">
        <is>
          <t>C2810</t>
        </is>
      </c>
      <c r="B168" s="15" t="inlineStr">
        <is>
          <t>EKWERE NITEDO</t>
        </is>
      </c>
      <c r="C168" s="15" t="inlineStr">
        <is>
          <t>First Bank of Nigeria Limited</t>
        </is>
      </c>
      <c r="D168" s="15" t="inlineStr">
        <is>
          <t>3025811857</t>
        </is>
      </c>
      <c r="E168" s="15"/>
      <c r="F168" s="16">
        <f>_xlfn.XLOOKUP(Table13[[#This Row],[Contractor Code]],DLE!A:A,DLE!AB:AB)</f>
        <v>290272.5</v>
      </c>
    </row>
    <row r="169" spans="1:6" ht="13.5" customHeight="1" x14ac:dyDescent="0.25">
      <c r="A169" s="15" t="inlineStr">
        <is>
          <t>C2812</t>
        </is>
      </c>
      <c r="B169" s="15" t="inlineStr">
        <is>
          <t>ONABANJO WASIU</t>
        </is>
      </c>
      <c r="C169" s="15" t="inlineStr">
        <is>
          <t>Access Bank Plc</t>
        </is>
      </c>
      <c r="D169" s="15" t="inlineStr">
        <is>
          <t>0016498346</t>
        </is>
      </c>
      <c r="E169" s="15"/>
      <c r="F169" s="16">
        <f>_xlfn.XLOOKUP(Table13[[#This Row],[Contractor Code]],DLE!A:A,DLE!AB:AB)</f>
        <v>237362.25</v>
      </c>
    </row>
    <row r="170" spans="1:6" ht="13.5" customHeight="1" x14ac:dyDescent="0.25">
      <c r="A170" s="15" t="inlineStr">
        <is>
          <t>C2813</t>
        </is>
      </c>
      <c r="B170" s="15" t="inlineStr">
        <is>
          <t>AKINGBOYE GIDEON</t>
        </is>
      </c>
      <c r="C170" s="15" t="inlineStr">
        <is>
          <t>Zenith Bank Plc</t>
        </is>
      </c>
      <c r="D170" s="15" t="inlineStr">
        <is>
          <t>1226218497</t>
        </is>
      </c>
      <c r="E170" s="15" t="inlineStr">
        <is>
          <t>057150013</t>
        </is>
      </c>
      <c r="F170" s="16">
        <f>_xlfn.XLOOKUP(Table13[[#This Row],[Contractor Code]],DLE!A:A,DLE!AB:AB)</f>
        <v>373694.37</v>
      </c>
    </row>
    <row r="171" spans="1:6" ht="13.5" customHeight="1" x14ac:dyDescent="0.25">
      <c r="A171" s="15" t="inlineStr">
        <is>
          <t>C2814</t>
        </is>
      </c>
      <c r="B171" s="15" t="inlineStr">
        <is>
          <t>FASHINA AYOMIDE</t>
        </is>
      </c>
      <c r="C171" s="15" t="inlineStr">
        <is>
          <t>United Bank for Africa Plc</t>
        </is>
      </c>
      <c r="D171" s="15" t="inlineStr">
        <is>
          <t>2393427301</t>
        </is>
      </c>
      <c r="E171" s="15"/>
      <c r="F171" s="16">
        <f>_xlfn.XLOOKUP(Table13[[#This Row],[Contractor Code]],DLE!A:A,DLE!AB:AB)</f>
        <v>231206.25</v>
      </c>
    </row>
    <row r="172" spans="1:6" ht="13.5" customHeight="1" x14ac:dyDescent="0.25">
      <c r="A172" s="15" t="inlineStr">
        <is>
          <t>C2815</t>
        </is>
      </c>
      <c r="B172" s="15" t="inlineStr">
        <is>
          <t>OKPUTU PAUL</t>
        </is>
      </c>
      <c r="C172" s="15" t="inlineStr">
        <is>
          <t>Polaris Bank</t>
        </is>
      </c>
      <c r="D172" s="15" t="inlineStr">
        <is>
          <t>3054243198</t>
        </is>
      </c>
      <c r="E172" s="15"/>
      <c r="F172" s="16">
        <f>_xlfn.XLOOKUP(Table13[[#This Row],[Contractor Code]],DLE!A:A,DLE!AB:AB)</f>
        <v>228705.37</v>
      </c>
    </row>
    <row r="173" spans="1:6" ht="13.5" customHeight="1" x14ac:dyDescent="0.25">
      <c r="A173" s="15" t="inlineStr">
        <is>
          <t>C2816</t>
        </is>
      </c>
      <c r="B173" s="15" t="inlineStr">
        <is>
          <t>ANANU CHIBUZO</t>
        </is>
      </c>
      <c r="C173" s="15" t="inlineStr">
        <is>
          <t>Zenith Bank Plc</t>
        </is>
      </c>
      <c r="D173" s="15" t="inlineStr">
        <is>
          <t>2171959394</t>
        </is>
      </c>
      <c r="E173" s="15" t="inlineStr">
        <is>
          <t>057150013</t>
        </is>
      </c>
      <c r="F173" s="16">
        <f>_xlfn.XLOOKUP(Table13[[#This Row],[Contractor Code]],DLE!A:A,DLE!AB:AB)</f>
        <v>283031.72</v>
      </c>
    </row>
    <row r="174" spans="1:6" ht="13.5" customHeight="1" x14ac:dyDescent="0.25">
      <c r="A174" s="15" t="inlineStr">
        <is>
          <t>C2817</t>
        </is>
      </c>
      <c r="B174" s="15" t="inlineStr">
        <is>
          <t>FATOYINBO SAMUEL</t>
        </is>
      </c>
      <c r="C174" s="15" t="inlineStr">
        <is>
          <t>Wema Bank Plc</t>
        </is>
      </c>
      <c r="D174" s="15" t="inlineStr">
        <is>
          <t>0233753896</t>
        </is>
      </c>
      <c r="E174" s="15"/>
      <c r="F174" s="16">
        <f>_xlfn.XLOOKUP(Table13[[#This Row],[Contractor Code]],DLE!A:A,DLE!AB:AB)</f>
        <v>229282.5</v>
      </c>
    </row>
    <row r="175" spans="1:6" ht="13.5" customHeight="1" x14ac:dyDescent="0.25">
      <c r="A175" s="15" t="inlineStr">
        <is>
          <t>C2818</t>
        </is>
      </c>
      <c r="B175" s="15" t="inlineStr">
        <is>
          <t>ODJEGBA PETER</t>
        </is>
      </c>
      <c r="C175" s="15" t="inlineStr">
        <is>
          <t>Zenith Bank Plc</t>
        </is>
      </c>
      <c r="D175" s="15" t="inlineStr">
        <is>
          <t>2002378560</t>
        </is>
      </c>
      <c r="E175" s="15" t="inlineStr">
        <is>
          <t>057150013</t>
        </is>
      </c>
      <c r="F175" s="16">
        <f>_xlfn.XLOOKUP(Table13[[#This Row],[Contractor Code]],DLE!A:A,DLE!AB:AB)</f>
        <v>372014.06</v>
      </c>
    </row>
    <row r="176" spans="1:6" ht="13.5" customHeight="1" x14ac:dyDescent="0.25">
      <c r="A176" s="15" t="inlineStr">
        <is>
          <t>C2820</t>
        </is>
      </c>
      <c r="B176" s="15" t="inlineStr">
        <is>
          <t>SAMAILA BILIKISU</t>
        </is>
      </c>
      <c r="C176" s="15" t="inlineStr">
        <is>
          <t>Guaranty Trust Bank Plc</t>
        </is>
      </c>
      <c r="D176" s="15" t="inlineStr">
        <is>
          <t>1038928167</t>
        </is>
      </c>
      <c r="E176" s="15"/>
      <c r="F176" s="16">
        <f>_xlfn.XLOOKUP(Table13[[#This Row],[Contractor Code]],DLE!A:A,DLE!AB:AB)</f>
        <v>212642.06</v>
      </c>
    </row>
    <row r="177" spans="1:6" ht="13.5" customHeight="1" x14ac:dyDescent="0.25">
      <c r="A177" s="15" t="inlineStr">
        <is>
          <t>C2823</t>
        </is>
      </c>
      <c r="B177" s="15" t="inlineStr">
        <is>
          <t>AMADI VALINS</t>
        </is>
      </c>
      <c r="C177" s="15" t="inlineStr">
        <is>
          <t>Zenith Bank Plc</t>
        </is>
      </c>
      <c r="D177" s="15" t="inlineStr">
        <is>
          <t>2267726679</t>
        </is>
      </c>
      <c r="E177" s="15" t="inlineStr">
        <is>
          <t>057150013</t>
        </is>
      </c>
      <c r="F177" s="16">
        <f>_xlfn.XLOOKUP(Table13[[#This Row],[Contractor Code]],DLE!A:A,DLE!AB:AB)</f>
        <v>43379.37</v>
      </c>
    </row>
    <row r="178" spans="1:6" ht="13.5" customHeight="1" x14ac:dyDescent="0.25">
      <c r="A178" s="15" t="inlineStr">
        <is>
          <t>C2824</t>
        </is>
      </c>
      <c r="B178" s="15" t="inlineStr">
        <is>
          <t>MUYIDEEN SALAWU</t>
        </is>
      </c>
      <c r="C178" s="15" t="inlineStr">
        <is>
          <t>First Bank of Nigeria Limited</t>
        </is>
      </c>
      <c r="D178" s="15" t="inlineStr">
        <is>
          <t>3031302466</t>
        </is>
      </c>
      <c r="E178" s="15"/>
      <c r="F178" s="16">
        <f>_xlfn.XLOOKUP(Table13[[#This Row],[Contractor Code]],DLE!A:A,DLE!AB:AB)</f>
        <v>382814.37</v>
      </c>
    </row>
    <row r="179" spans="1:6" ht="13.5" customHeight="1" x14ac:dyDescent="0.25">
      <c r="A179" s="15" t="inlineStr">
        <is>
          <t>C2825</t>
        </is>
      </c>
      <c r="B179" s="15" t="inlineStr">
        <is>
          <t>AKANDE ISMAIL</t>
        </is>
      </c>
      <c r="C179" s="15"/>
      <c r="D179" s="15"/>
      <c r="E179" s="15"/>
      <c r="F179" s="16">
        <f>_xlfn.XLOOKUP(Table13[[#This Row],[Contractor Code]],DLE!A:A,DLE!AB:AB)</f>
        <v>417067.81</v>
      </c>
    </row>
    <row r="180" spans="1:6" ht="13.5" customHeight="1" x14ac:dyDescent="0.25">
      <c r="A180" s="15" t="inlineStr">
        <is>
          <t>C2826</t>
        </is>
      </c>
      <c r="B180" s="15" t="inlineStr">
        <is>
          <t>OYEWOLE TUNDE</t>
        </is>
      </c>
      <c r="C180" s="15"/>
      <c r="D180" s="15"/>
      <c r="E180" s="15"/>
      <c r="F180" s="16">
        <f>_xlfn.XLOOKUP(Table13[[#This Row],[Contractor Code]],DLE!A:A,DLE!AB:AB)</f>
        <v>338677.97</v>
      </c>
    </row>
    <row r="181" spans="1:6" ht="13.5" customHeight="1" x14ac:dyDescent="0.25">
      <c r="A181" s="15" t="inlineStr">
        <is>
          <t>C2827</t>
        </is>
      </c>
      <c r="B181" s="15" t="inlineStr">
        <is>
          <t>AKAKA CHARLES</t>
        </is>
      </c>
      <c r="C181" s="15" t="inlineStr">
        <is>
          <t>Zenith Bank</t>
        </is>
      </c>
      <c r="D181" s="15" t="inlineStr">
        <is>
          <t>2193745140</t>
        </is>
      </c>
      <c r="E181" s="15" t="inlineStr">
        <is>
          <t>057150013</t>
        </is>
      </c>
      <c r="F181" s="16">
        <f>_xlfn.XLOOKUP(Table13[[#This Row],[Contractor Code]],DLE!A:A,DLE!AB:AB)</f>
        <v>264337.5</v>
      </c>
    </row>
    <row r="182" spans="1:6" ht="13.5" customHeight="1" x14ac:dyDescent="0.25">
      <c r="A182" s="15" t="inlineStr">
        <is>
          <t>C2829</t>
        </is>
      </c>
      <c r="B182" s="15" t="inlineStr">
        <is>
          <t>OGUWA CHRISTIAN</t>
        </is>
      </c>
      <c r="C182" s="15"/>
      <c r="D182" s="15"/>
      <c r="E182" s="15"/>
      <c r="F182" s="16">
        <f>_xlfn.XLOOKUP(Table13[[#This Row],[Contractor Code]],DLE!A:A,DLE!AB:AB)</f>
        <v>302019.85</v>
      </c>
    </row>
    <row r="183" spans="1:7" ht="15.6" customHeight="1" x14ac:dyDescent="0.25">
      <c r="A183" s="6">
        <f>SUBTOTAL(103,Table13[Contractor Code])</f>
        <v>180</v>
      </c>
      <c r="B183" s="6"/>
      <c r="C183" s="6"/>
      <c r="D183" s="6"/>
      <c r="E183" s="6"/>
      <c r="F183" s="5">
        <f>SUBTOTAL(109,Table13[NET Salary])</f>
        <v>60471838.64</v>
      </c>
    </row>
  </sheetData>
  <mergeCells count="2">
    <mergeCell ref="A1:F1"/>
    <mergeCell ref="A185:B185"/>
  </mergeCells>
  <conditionalFormatting sqref="A3:A183">
    <cfRule type="duplicateValues" dxfId="3" priority="18"/>
  </conditionalFormatting>
  <pageMargins left="0.5" right="0.5" top="0.40000000596046398" bottom="0.55000001192092896" header="0.3" footer="0.3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C95F-232A-4671-B7FA-B8A30FE35967}">
  <sheetPr>
    <outlinePr summaryBelow="0"/>
  </sheetPr>
  <dimension ref="A1:G10"/>
  <sheetViews>
    <sheetView showGridLines="0" workbookViewId="0">
      <selection activeCell="C11" sqref="C11"/>
    </sheetView>
  </sheetViews>
  <sheetFormatPr defaultRowHeight="14.4" x14ac:dyDescent="0.3"/>
  <cols>
    <col min="1" max="1" width="10.5546875" customWidth="1"/>
    <col min="2" max="2" width="31.109375" customWidth="1"/>
    <col min="3" max="3" width="20.88671875" customWidth="1"/>
    <col min="4" max="6" width="15.5546875" customWidth="1"/>
    <col min="7" max="7" width="11.6640625" bestFit="1" customWidth="1"/>
  </cols>
  <sheetData>
    <row r="1" spans="1:7" ht="31.5" customHeight="1" x14ac:dyDescent="0.3">
      <c r="A1" s="10" t="s">
        <v>491</v>
      </c>
      <c r="B1" s="10"/>
      <c r="C1" s="10"/>
      <c r="D1" s="10"/>
      <c r="E1" s="10"/>
      <c r="F1" s="10"/>
      <c r="G1" s="10"/>
    </row>
    <row r="2" spans="1:7" ht="21" customHeight="1" x14ac:dyDescent="0.3">
      <c r="A2" s="2" t="s">
        <v>0</v>
      </c>
      <c r="B2" s="2" t="s">
        <v>492</v>
      </c>
      <c r="C2" s="2" t="s">
        <v>493</v>
      </c>
      <c r="D2" s="2" t="s">
        <v>494</v>
      </c>
      <c r="E2" s="2" t="s">
        <v>495</v>
      </c>
      <c r="F2" s="3" t="s">
        <v>496</v>
      </c>
      <c r="G2" s="2" t="s">
        <v>497</v>
      </c>
    </row>
    <row r="3" spans="1:7" ht="12.75" customHeight="1" x14ac:dyDescent="0.25">
      <c r="A3" s="4" t="inlineStr">
        <is>
          <t>C2394</t>
        </is>
      </c>
      <c r="B3" s="4" t="inlineStr">
        <is>
          <t>HAMMED IDOWU</t>
        </is>
      </c>
      <c r="C3" s="4" t="inlineStr">
        <is>
          <t>Guaranty Trust Bank Plc</t>
        </is>
      </c>
      <c r="D3" s="4" t="inlineStr">
        <is>
          <t>0729570216</t>
        </is>
      </c>
      <c r="E3" s="4" t="inlineStr">
        <is>
          <t>058152052</t>
        </is>
      </c>
      <c r="F3" s="5">
        <f>_xlfn.XLOOKUP(Table146[[#This Row],[Contractor Code]],Table52[Contractor Code],Table52[Amount Payable])</f>
        <v>203448.44</v>
      </c>
      <c r="G3" s="4" t="inlineStr">
        <is>
          <t>AGEGE</t>
        </is>
      </c>
    </row>
    <row r="4" spans="1:7" ht="12.75" customHeight="1" x14ac:dyDescent="0.25">
      <c r="A4" s="4" t="inlineStr">
        <is>
          <t>C2396</t>
        </is>
      </c>
      <c r="B4" s="4" t="inlineStr">
        <is>
          <t>AKINDELE MUSBAU</t>
        </is>
      </c>
      <c r="C4" s="4" t="inlineStr">
        <is>
          <t>Fidelity Bank Plc</t>
        </is>
      </c>
      <c r="D4" s="4" t="inlineStr">
        <is>
          <t>5330178152</t>
        </is>
      </c>
      <c r="E4" s="4" t="inlineStr">
        <is>
          <t>070150003</t>
        </is>
      </c>
      <c r="F4" s="5">
        <f>_xlfn.XLOOKUP(Table146[[#This Row],[Contractor Code]],Table52[Contractor Code],Table52[Amount Payable])</f>
        <v>203448.44</v>
      </c>
      <c r="G4" s="4" t="inlineStr">
        <is>
          <t>AGEGE</t>
        </is>
      </c>
    </row>
    <row r="5" spans="1:7" ht="12.75" customHeight="1" x14ac:dyDescent="0.25">
      <c r="A5" s="4" t="inlineStr">
        <is>
          <t>C2408</t>
        </is>
      </c>
      <c r="B5" s="4" t="inlineStr">
        <is>
          <t>ANTHONY LAWRENCE</t>
        </is>
      </c>
      <c r="C5" s="4" t="inlineStr">
        <is>
          <t>Guaranty Trust Bank Plc</t>
        </is>
      </c>
      <c r="D5" s="4" t="inlineStr">
        <is>
          <t>0742476502</t>
        </is>
      </c>
      <c r="E5" s="4" t="inlineStr">
        <is>
          <t>058152052</t>
        </is>
      </c>
      <c r="F5" s="5">
        <f>_xlfn.XLOOKUP(Table146[[#This Row],[Contractor Code]],Table52[Contractor Code],Table52[Amount Payable])</f>
        <v>213631.25</v>
      </c>
      <c r="G5" s="4" t="inlineStr">
        <is>
          <t>AGEGE</t>
        </is>
      </c>
    </row>
    <row r="6" spans="1:7" ht="12.75" customHeight="1" x14ac:dyDescent="0.25">
      <c r="A6" s="4" t="inlineStr">
        <is>
          <t>C2443</t>
        </is>
      </c>
      <c r="B6" s="4" t="inlineStr">
        <is>
          <t>GANIYU ADEBIYI</t>
        </is>
      </c>
      <c r="C6" s="4" t="inlineStr">
        <is>
          <t>Guaranty Trust Bank Plc</t>
        </is>
      </c>
      <c r="D6" s="4" t="inlineStr">
        <is>
          <t>0254241197</t>
        </is>
      </c>
      <c r="E6" s="4" t="inlineStr">
        <is>
          <t>058152052</t>
        </is>
      </c>
      <c r="F6" s="5">
        <f>_xlfn.XLOOKUP(Table146[[#This Row],[Contractor Code]],Table52[Contractor Code],Table52[Amount Payable])</f>
        <v>203448.44</v>
      </c>
      <c r="G6" s="4" t="inlineStr">
        <is>
          <t>AGEGE</t>
        </is>
      </c>
    </row>
    <row r="7" spans="1:7" ht="12.75" customHeight="1" x14ac:dyDescent="0.25">
      <c r="A7" s="4" t="inlineStr">
        <is>
          <t>C2506</t>
        </is>
      </c>
      <c r="B7" s="4" t="inlineStr">
        <is>
          <t>ONOJA MICHAEL</t>
        </is>
      </c>
      <c r="C7" s="4" t="inlineStr">
        <is>
          <t>Guaranty Trust Bank Plc</t>
        </is>
      </c>
      <c r="D7" s="4" t="inlineStr">
        <is>
          <t>0797313568</t>
        </is>
      </c>
      <c r="E7" s="4" t="inlineStr">
        <is>
          <t>058152052</t>
        </is>
      </c>
      <c r="F7" s="5">
        <f>_xlfn.XLOOKUP(Table146[[#This Row],[Contractor Code]],Table52[Contractor Code],Table52[Amount Payable])</f>
        <v>203448.44</v>
      </c>
      <c r="G7" s="4" t="inlineStr">
        <is>
          <t>AGEGE</t>
        </is>
      </c>
    </row>
    <row r="8" spans="1:7" ht="12.75" customHeight="1" x14ac:dyDescent="0.25">
      <c r="A8" s="4" t="inlineStr">
        <is>
          <t>C2512</t>
        </is>
      </c>
      <c r="B8" s="4" t="inlineStr">
        <is>
          <t>OVAT SUNDAY</t>
        </is>
      </c>
      <c r="C8" s="4" t="inlineStr">
        <is>
          <t>Zenith Bank Plc</t>
        </is>
      </c>
      <c r="D8" s="4" t="inlineStr">
        <is>
          <t>4243185836</t>
        </is>
      </c>
      <c r="E8" s="4" t="inlineStr">
        <is>
          <t>057150013</t>
        </is>
      </c>
      <c r="F8" s="5">
        <f>_xlfn.XLOOKUP(Table146[[#This Row],[Contractor Code]],Table52[Contractor Code],Table52[Amount Payable])</f>
        <v>185119.37</v>
      </c>
      <c r="G8" s="4" t="inlineStr">
        <is>
          <t>AGEGE</t>
        </is>
      </c>
    </row>
    <row r="9" spans="1:7" ht="12.75" customHeight="1" x14ac:dyDescent="0.25">
      <c r="A9" s="4" t="inlineStr">
        <is>
          <t>C2522</t>
        </is>
      </c>
      <c r="B9" s="4" t="inlineStr">
        <is>
          <t>RASAK JAMIU</t>
        </is>
      </c>
      <c r="C9" s="4" t="inlineStr">
        <is>
          <t>Guaranty Trust Bank Plc</t>
        </is>
      </c>
      <c r="D9" s="4" t="inlineStr">
        <is>
          <t>0743000458</t>
        </is>
      </c>
      <c r="E9" s="4" t="inlineStr">
        <is>
          <t>058152052</t>
        </is>
      </c>
      <c r="F9" s="5">
        <f>_xlfn.XLOOKUP(Table146[[#This Row],[Contractor Code]],Table52[Contractor Code],Table52[Amount Payable])</f>
        <v>203448.44</v>
      </c>
      <c r="G9" s="4" t="inlineStr">
        <is>
          <t>AGEGE</t>
        </is>
      </c>
    </row>
    <row r="10" spans="1:7" ht="15.6" customHeight="1" x14ac:dyDescent="0.25">
      <c r="A10" s="6">
        <f>SUBTOTAL(103,Table146[Contractor Code])</f>
        <v>7</v>
      </c>
      <c r="B10" s="6"/>
      <c r="C10" s="6"/>
      <c r="D10" s="6"/>
      <c r="E10" s="6"/>
      <c r="F10" s="5">
        <f>SUBTOTAL(109,Table146[NET Salary])</f>
        <v>1415992.82</v>
      </c>
    </row>
  </sheetData>
  <mergeCells count="3">
    <mergeCell ref="A1:G1"/>
    <mergeCell ref="A11:B11"/>
    <mergeCell ref="A12:B12"/>
  </mergeCells>
  <conditionalFormatting sqref="A3:A9">
    <cfRule type="duplicateValues" dxfId="4" priority="10"/>
  </conditionalFormatting>
  <pageMargins left="0.5" right="0.5" top="0.40000000596046398" bottom="0.55000001192092896" header="0.3" footer="0.3"/>
  <pageSetup orientation="landscape"/>
  <ignoredErrors>
    <ignoredError sqref="F3:F9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DLE</vt:lpstr>
      <vt:lpstr>DLPC</vt:lpstr>
      <vt:lpstr>DLE BANK SCHD</vt:lpstr>
      <vt:lpstr>DLPC.BANK.SCHD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2026-07-27T12:39:11Z</cp:lastPrinted>
  <dcterms:created xsi:type="dcterms:W3CDTF">2026-07-21T12:03:41Z</dcterms:created>
  <dcterms:modified xsi:type="dcterms:W3CDTF">2026-08-19T07:34:31Z</dcterms:modified>
</cp:coreProperties>
</file>